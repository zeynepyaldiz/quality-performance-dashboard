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E:\5S Dosyalar\"/>
    </mc:Choice>
  </mc:AlternateContent>
  <bookViews>
    <workbookView xWindow="-105" yWindow="-105" windowWidth="25815" windowHeight="15495"/>
  </bookViews>
  <sheets>
    <sheet name="Sayfa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22" i="1" l="1"/>
  <c r="D1221" i="1"/>
  <c r="D1214" i="1"/>
  <c r="D1213" i="1"/>
  <c r="D1218" i="1"/>
  <c r="D1211" i="1"/>
  <c r="D1220" i="1"/>
  <c r="D1212" i="1"/>
  <c r="D1217" i="1"/>
  <c r="D1216" i="1"/>
  <c r="D1210" i="1"/>
  <c r="D1208" i="1"/>
  <c r="D1219" i="1"/>
  <c r="D1215" i="1"/>
  <c r="D1209" i="1"/>
  <c r="D1205" i="1"/>
  <c r="D1206" i="1"/>
  <c r="D1223" i="1"/>
  <c r="D1207" i="1"/>
  <c r="G1223" i="1"/>
  <c r="F1223" i="1" s="1"/>
  <c r="H1223" i="1" s="1"/>
  <c r="E1223" i="1"/>
  <c r="C1223" i="1"/>
  <c r="G1222" i="1"/>
  <c r="E1222" i="1"/>
  <c r="C1222" i="1"/>
  <c r="G1221" i="1"/>
  <c r="F1221" i="1" s="1"/>
  <c r="H1221" i="1" s="1"/>
  <c r="E1221" i="1"/>
  <c r="C1221" i="1"/>
  <c r="G1220" i="1"/>
  <c r="E1220" i="1"/>
  <c r="C1220" i="1"/>
  <c r="G1219" i="1"/>
  <c r="F1219" i="1" s="1"/>
  <c r="H1219" i="1" s="1"/>
  <c r="E1219" i="1"/>
  <c r="C1219" i="1"/>
  <c r="G1218" i="1"/>
  <c r="E1218" i="1"/>
  <c r="C1218" i="1"/>
  <c r="G1217" i="1"/>
  <c r="F1217" i="1" s="1"/>
  <c r="H1217" i="1" s="1"/>
  <c r="E1217" i="1"/>
  <c r="C1217" i="1"/>
  <c r="G1216" i="1"/>
  <c r="E1216" i="1"/>
  <c r="C1216" i="1"/>
  <c r="G1215" i="1"/>
  <c r="E1215" i="1"/>
  <c r="C1215" i="1"/>
  <c r="G1214" i="1"/>
  <c r="E1214" i="1"/>
  <c r="C1214" i="1"/>
  <c r="G1213" i="1"/>
  <c r="E1213" i="1"/>
  <c r="C1213" i="1"/>
  <c r="G1212" i="1"/>
  <c r="E1212" i="1"/>
  <c r="C1212" i="1"/>
  <c r="G1211" i="1"/>
  <c r="E1211" i="1"/>
  <c r="C1211" i="1"/>
  <c r="G1210" i="1"/>
  <c r="E1210" i="1"/>
  <c r="C1210" i="1"/>
  <c r="G1209" i="1"/>
  <c r="E1209" i="1"/>
  <c r="C1209" i="1"/>
  <c r="G1208" i="1"/>
  <c r="E1208" i="1"/>
  <c r="C1208" i="1"/>
  <c r="G1207" i="1"/>
  <c r="F1207" i="1" s="1"/>
  <c r="H1207" i="1" s="1"/>
  <c r="E1207" i="1"/>
  <c r="C1207" i="1"/>
  <c r="G1206" i="1"/>
  <c r="F1206" i="1" s="1"/>
  <c r="H1206" i="1" s="1"/>
  <c r="E1206" i="1"/>
  <c r="C1206" i="1"/>
  <c r="G1205" i="1"/>
  <c r="E1205" i="1"/>
  <c r="C1205" i="1"/>
  <c r="F1211" i="1" l="1"/>
  <c r="H1211" i="1" s="1"/>
  <c r="F1215" i="1"/>
  <c r="H1215" i="1" s="1"/>
  <c r="F1222" i="1"/>
  <c r="H1222" i="1" s="1"/>
  <c r="F1210" i="1"/>
  <c r="H1210" i="1" s="1"/>
  <c r="F1209" i="1"/>
  <c r="H1209" i="1" s="1"/>
  <c r="F1220" i="1"/>
  <c r="H1220" i="1" s="1"/>
  <c r="F1205" i="1"/>
  <c r="H1205" i="1" s="1"/>
  <c r="F1213" i="1"/>
  <c r="H1213" i="1" s="1"/>
  <c r="F1208" i="1"/>
  <c r="H1208" i="1" s="1"/>
  <c r="F1212" i="1"/>
  <c r="H1212" i="1" s="1"/>
  <c r="F1214" i="1"/>
  <c r="H1214" i="1" s="1"/>
  <c r="F1216" i="1"/>
  <c r="H1216" i="1" s="1"/>
  <c r="F1218" i="1"/>
  <c r="H1218" i="1" s="1"/>
  <c r="D1198" i="1" l="1"/>
  <c r="D1199" i="1"/>
  <c r="D1188" i="1"/>
  <c r="D1185" i="1"/>
  <c r="D1184" i="1"/>
  <c r="D1203" i="1"/>
  <c r="D1201" i="1"/>
  <c r="D1196" i="1"/>
  <c r="D1195" i="1"/>
  <c r="D1200" i="1"/>
  <c r="D1193" i="1"/>
  <c r="D1191" i="1"/>
  <c r="D1192" i="1"/>
  <c r="D1204" i="1"/>
  <c r="D1186" i="1"/>
  <c r="D1189" i="1"/>
  <c r="D1190" i="1"/>
  <c r="D1202" i="1" l="1"/>
  <c r="C1202" i="1"/>
  <c r="E1202" i="1"/>
  <c r="G1202" i="1"/>
  <c r="F1202" i="1" s="1"/>
  <c r="H1202" i="1" s="1"/>
  <c r="D1194" i="1"/>
  <c r="D1187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G1224" i="1"/>
  <c r="F1224" i="1" s="1"/>
  <c r="H1224" i="1" s="1"/>
  <c r="G1225" i="1"/>
  <c r="F1225" i="1" s="1"/>
  <c r="H1225" i="1" s="1"/>
  <c r="G1226" i="1"/>
  <c r="F1226" i="1" s="1"/>
  <c r="H1226" i="1" s="1"/>
  <c r="G1227" i="1"/>
  <c r="F1227" i="1" s="1"/>
  <c r="H1227" i="1" s="1"/>
  <c r="G1228" i="1"/>
  <c r="F1228" i="1" s="1"/>
  <c r="H1228" i="1" s="1"/>
  <c r="G1229" i="1"/>
  <c r="F1229" i="1" s="1"/>
  <c r="H1229" i="1" s="1"/>
  <c r="G1230" i="1"/>
  <c r="F1230" i="1" s="1"/>
  <c r="H1230" i="1" s="1"/>
  <c r="G1231" i="1"/>
  <c r="F1231" i="1" s="1"/>
  <c r="H1231" i="1" s="1"/>
  <c r="G1232" i="1"/>
  <c r="F1232" i="1" s="1"/>
  <c r="H1232" i="1" s="1"/>
  <c r="G1233" i="1"/>
  <c r="F1233" i="1" s="1"/>
  <c r="H1233" i="1" s="1"/>
  <c r="G1234" i="1"/>
  <c r="F1234" i="1" s="1"/>
  <c r="H1234" i="1" s="1"/>
  <c r="G1235" i="1"/>
  <c r="F1235" i="1" s="1"/>
  <c r="H1235" i="1" s="1"/>
  <c r="G1236" i="1"/>
  <c r="F1236" i="1" s="1"/>
  <c r="H1236" i="1" s="1"/>
  <c r="G1237" i="1"/>
  <c r="F1237" i="1" s="1"/>
  <c r="H1237" i="1" s="1"/>
  <c r="G1238" i="1"/>
  <c r="F1238" i="1" s="1"/>
  <c r="H1238" i="1" s="1"/>
  <c r="G1239" i="1"/>
  <c r="F1239" i="1" s="1"/>
  <c r="H1239" i="1" s="1"/>
  <c r="G1240" i="1"/>
  <c r="F1240" i="1" s="1"/>
  <c r="H1240" i="1" s="1"/>
  <c r="G1241" i="1"/>
  <c r="F1241" i="1" s="1"/>
  <c r="H1241" i="1" s="1"/>
  <c r="G1242" i="1"/>
  <c r="F1242" i="1" s="1"/>
  <c r="G1243" i="1"/>
  <c r="F1243" i="1" s="1"/>
  <c r="H1243" i="1" s="1"/>
  <c r="G1244" i="1"/>
  <c r="F1244" i="1" s="1"/>
  <c r="H1244" i="1" s="1"/>
  <c r="G1245" i="1"/>
  <c r="F1245" i="1" s="1"/>
  <c r="H1245" i="1" s="1"/>
  <c r="G1246" i="1"/>
  <c r="F1246" i="1" s="1"/>
  <c r="G1247" i="1"/>
  <c r="F1247" i="1" s="1"/>
  <c r="H1247" i="1" s="1"/>
  <c r="G1248" i="1"/>
  <c r="F1248" i="1" s="1"/>
  <c r="H1248" i="1" s="1"/>
  <c r="G1249" i="1"/>
  <c r="F1249" i="1" s="1"/>
  <c r="H1249" i="1" s="1"/>
  <c r="G1250" i="1"/>
  <c r="F1250" i="1" s="1"/>
  <c r="H1250" i="1" s="1"/>
  <c r="G1251" i="1"/>
  <c r="F1251" i="1" s="1"/>
  <c r="H1251" i="1" s="1"/>
  <c r="G1252" i="1"/>
  <c r="F1252" i="1" s="1"/>
  <c r="H1252" i="1" s="1"/>
  <c r="G1253" i="1"/>
  <c r="F1253" i="1" s="1"/>
  <c r="H1253" i="1" s="1"/>
  <c r="G1254" i="1"/>
  <c r="F1254" i="1" s="1"/>
  <c r="H1254" i="1" s="1"/>
  <c r="G1255" i="1"/>
  <c r="F1255" i="1" s="1"/>
  <c r="H1255" i="1" s="1"/>
  <c r="G1256" i="1"/>
  <c r="F1256" i="1" s="1"/>
  <c r="H1256" i="1" s="1"/>
  <c r="G1257" i="1"/>
  <c r="F1257" i="1" s="1"/>
  <c r="H1257" i="1" s="1"/>
  <c r="G1258" i="1"/>
  <c r="F1258" i="1" s="1"/>
  <c r="H1258" i="1" s="1"/>
  <c r="G1259" i="1"/>
  <c r="F1259" i="1" s="1"/>
  <c r="H1259" i="1" s="1"/>
  <c r="G1260" i="1"/>
  <c r="F1260" i="1" s="1"/>
  <c r="H1260" i="1" s="1"/>
  <c r="G1261" i="1"/>
  <c r="F1261" i="1" s="1"/>
  <c r="H1261" i="1" s="1"/>
  <c r="G1262" i="1"/>
  <c r="F1262" i="1" s="1"/>
  <c r="G1263" i="1"/>
  <c r="F1263" i="1" s="1"/>
  <c r="H1263" i="1" s="1"/>
  <c r="G1264" i="1"/>
  <c r="F1264" i="1" s="1"/>
  <c r="H1264" i="1" s="1"/>
  <c r="G1265" i="1"/>
  <c r="F1265" i="1" s="1"/>
  <c r="H1265" i="1" s="1"/>
  <c r="G1266" i="1"/>
  <c r="F1266" i="1" s="1"/>
  <c r="H1266" i="1" s="1"/>
  <c r="G1267" i="1"/>
  <c r="F1267" i="1" s="1"/>
  <c r="H1267" i="1" s="1"/>
  <c r="G1268" i="1"/>
  <c r="F1268" i="1" s="1"/>
  <c r="H1268" i="1" s="1"/>
  <c r="G1269" i="1"/>
  <c r="F1269" i="1" s="1"/>
  <c r="H1269" i="1" s="1"/>
  <c r="G1270" i="1"/>
  <c r="F1270" i="1" s="1"/>
  <c r="H1270" i="1" s="1"/>
  <c r="G1271" i="1"/>
  <c r="F1271" i="1" s="1"/>
  <c r="H1271" i="1" s="1"/>
  <c r="G1272" i="1"/>
  <c r="F1272" i="1" s="1"/>
  <c r="H1272" i="1" s="1"/>
  <c r="G1273" i="1"/>
  <c r="F1273" i="1" s="1"/>
  <c r="H1273" i="1" s="1"/>
  <c r="G1274" i="1"/>
  <c r="F1274" i="1" s="1"/>
  <c r="H1274" i="1" s="1"/>
  <c r="G1275" i="1"/>
  <c r="F1275" i="1" s="1"/>
  <c r="H1275" i="1" s="1"/>
  <c r="G1276" i="1"/>
  <c r="F1276" i="1" s="1"/>
  <c r="H1276" i="1" s="1"/>
  <c r="G1277" i="1"/>
  <c r="F1277" i="1" s="1"/>
  <c r="H1277" i="1" s="1"/>
  <c r="G1278" i="1"/>
  <c r="F1278" i="1" s="1"/>
  <c r="H1278" i="1" s="1"/>
  <c r="G1279" i="1"/>
  <c r="F1279" i="1" s="1"/>
  <c r="H1279" i="1" s="1"/>
  <c r="G1280" i="1"/>
  <c r="F1280" i="1" s="1"/>
  <c r="H1280" i="1" s="1"/>
  <c r="G1281" i="1"/>
  <c r="F1281" i="1" s="1"/>
  <c r="H1281" i="1" s="1"/>
  <c r="G1282" i="1"/>
  <c r="F1282" i="1" s="1"/>
  <c r="G1283" i="1"/>
  <c r="F1283" i="1" s="1"/>
  <c r="H1283" i="1" s="1"/>
  <c r="G1284" i="1"/>
  <c r="F1284" i="1" s="1"/>
  <c r="H1284" i="1" s="1"/>
  <c r="G1285" i="1"/>
  <c r="F1285" i="1" s="1"/>
  <c r="H1285" i="1" s="1"/>
  <c r="G1286" i="1"/>
  <c r="F1286" i="1" s="1"/>
  <c r="G1287" i="1"/>
  <c r="F1287" i="1" s="1"/>
  <c r="H1287" i="1" s="1"/>
  <c r="G1288" i="1"/>
  <c r="F1288" i="1" s="1"/>
  <c r="H1288" i="1" s="1"/>
  <c r="G1289" i="1"/>
  <c r="F1289" i="1" s="1"/>
  <c r="H1289" i="1" s="1"/>
  <c r="G1290" i="1"/>
  <c r="F1290" i="1" s="1"/>
  <c r="H1290" i="1" s="1"/>
  <c r="G1291" i="1"/>
  <c r="F1291" i="1" s="1"/>
  <c r="H1291" i="1" s="1"/>
  <c r="G1292" i="1"/>
  <c r="F1292" i="1" s="1"/>
  <c r="H1292" i="1" s="1"/>
  <c r="G1293" i="1"/>
  <c r="F1293" i="1" s="1"/>
  <c r="H1293" i="1" s="1"/>
  <c r="G1294" i="1"/>
  <c r="F1294" i="1" s="1"/>
  <c r="H1294" i="1" s="1"/>
  <c r="G1295" i="1"/>
  <c r="F1295" i="1" s="1"/>
  <c r="H1295" i="1" s="1"/>
  <c r="G1296" i="1"/>
  <c r="F1296" i="1" s="1"/>
  <c r="H1296" i="1" s="1"/>
  <c r="G1297" i="1"/>
  <c r="F1297" i="1" s="1"/>
  <c r="H1297" i="1" s="1"/>
  <c r="G1298" i="1"/>
  <c r="F1298" i="1" s="1"/>
  <c r="H1298" i="1" s="1"/>
  <c r="G1299" i="1"/>
  <c r="F1299" i="1" s="1"/>
  <c r="H1299" i="1" s="1"/>
  <c r="G1300" i="1"/>
  <c r="F1300" i="1" s="1"/>
  <c r="H1300" i="1" s="1"/>
  <c r="G1301" i="1"/>
  <c r="F1301" i="1" s="1"/>
  <c r="H1301" i="1" s="1"/>
  <c r="G1302" i="1"/>
  <c r="F1302" i="1" s="1"/>
  <c r="G1303" i="1"/>
  <c r="F1303" i="1" s="1"/>
  <c r="H1303" i="1" s="1"/>
  <c r="G1304" i="1"/>
  <c r="F1304" i="1" s="1"/>
  <c r="H1304" i="1" s="1"/>
  <c r="G1305" i="1"/>
  <c r="F1305" i="1" s="1"/>
  <c r="H1305" i="1" s="1"/>
  <c r="G1306" i="1"/>
  <c r="F1306" i="1" s="1"/>
  <c r="H1306" i="1" s="1"/>
  <c r="G1307" i="1"/>
  <c r="F1307" i="1" s="1"/>
  <c r="H1307" i="1" s="1"/>
  <c r="G1308" i="1"/>
  <c r="F1308" i="1" s="1"/>
  <c r="H1308" i="1" s="1"/>
  <c r="G1309" i="1"/>
  <c r="F1309" i="1" s="1"/>
  <c r="H1309" i="1" s="1"/>
  <c r="G1310" i="1"/>
  <c r="F1310" i="1" s="1"/>
  <c r="G1311" i="1"/>
  <c r="F1311" i="1" s="1"/>
  <c r="H1311" i="1" s="1"/>
  <c r="G1312" i="1"/>
  <c r="F1312" i="1" s="1"/>
  <c r="G1313" i="1"/>
  <c r="F1313" i="1" s="1"/>
  <c r="H1313" i="1" s="1"/>
  <c r="G1314" i="1"/>
  <c r="F1314" i="1" s="1"/>
  <c r="H1314" i="1" s="1"/>
  <c r="G1315" i="1"/>
  <c r="F1315" i="1" s="1"/>
  <c r="H1315" i="1" s="1"/>
  <c r="G1316" i="1"/>
  <c r="F1316" i="1" s="1"/>
  <c r="H1316" i="1" s="1"/>
  <c r="G1317" i="1"/>
  <c r="F1317" i="1" s="1"/>
  <c r="H1317" i="1" s="1"/>
  <c r="G1318" i="1"/>
  <c r="F1318" i="1" s="1"/>
  <c r="H1318" i="1" s="1"/>
  <c r="G1319" i="1"/>
  <c r="F1319" i="1" s="1"/>
  <c r="H1319" i="1" s="1"/>
  <c r="G1320" i="1"/>
  <c r="F1320" i="1" s="1"/>
  <c r="H1320" i="1" s="1"/>
  <c r="G1321" i="1"/>
  <c r="F1321" i="1" s="1"/>
  <c r="H1321" i="1" s="1"/>
  <c r="G1322" i="1"/>
  <c r="F1322" i="1" s="1"/>
  <c r="H1322" i="1" s="1"/>
  <c r="G1323" i="1"/>
  <c r="F1323" i="1" s="1"/>
  <c r="H1323" i="1" s="1"/>
  <c r="G1324" i="1"/>
  <c r="F1324" i="1" s="1"/>
  <c r="H1324" i="1" s="1"/>
  <c r="G1325" i="1"/>
  <c r="F1325" i="1" s="1"/>
  <c r="H1325" i="1" s="1"/>
  <c r="G1326" i="1"/>
  <c r="F1326" i="1" s="1"/>
  <c r="H1326" i="1" s="1"/>
  <c r="G1327" i="1"/>
  <c r="F1327" i="1" s="1"/>
  <c r="H1327" i="1" s="1"/>
  <c r="G1328" i="1"/>
  <c r="F1328" i="1" s="1"/>
  <c r="H1328" i="1" s="1"/>
  <c r="G1329" i="1"/>
  <c r="F1329" i="1" s="1"/>
  <c r="H1329" i="1" s="1"/>
  <c r="G1330" i="1"/>
  <c r="F1330" i="1" s="1"/>
  <c r="H1330" i="1" s="1"/>
  <c r="G1331" i="1"/>
  <c r="F1331" i="1" s="1"/>
  <c r="H1331" i="1" s="1"/>
  <c r="G1332" i="1"/>
  <c r="F1332" i="1" s="1"/>
  <c r="H1332" i="1" s="1"/>
  <c r="G1333" i="1"/>
  <c r="F1333" i="1" s="1"/>
  <c r="H1333" i="1" s="1"/>
  <c r="G1334" i="1"/>
  <c r="F1334" i="1" s="1"/>
  <c r="H1334" i="1" s="1"/>
  <c r="G1335" i="1"/>
  <c r="F1335" i="1" s="1"/>
  <c r="H1335" i="1" s="1"/>
  <c r="G1336" i="1"/>
  <c r="F1336" i="1" s="1"/>
  <c r="H1336" i="1" s="1"/>
  <c r="G1337" i="1"/>
  <c r="F1337" i="1" s="1"/>
  <c r="H1337" i="1" s="1"/>
  <c r="G1338" i="1"/>
  <c r="F1338" i="1" s="1"/>
  <c r="H1338" i="1" s="1"/>
  <c r="G1339" i="1"/>
  <c r="F1339" i="1" s="1"/>
  <c r="H1339" i="1" s="1"/>
  <c r="G1340" i="1"/>
  <c r="F1340" i="1" s="1"/>
  <c r="H1340" i="1" s="1"/>
  <c r="G1341" i="1"/>
  <c r="F1341" i="1" s="1"/>
  <c r="H1341" i="1" s="1"/>
  <c r="G1342" i="1"/>
  <c r="F1342" i="1" s="1"/>
  <c r="G1343" i="1"/>
  <c r="F1343" i="1" s="1"/>
  <c r="H1343" i="1" s="1"/>
  <c r="G1344" i="1"/>
  <c r="F1344" i="1" s="1"/>
  <c r="H1344" i="1" s="1"/>
  <c r="G1345" i="1"/>
  <c r="F1345" i="1" s="1"/>
  <c r="H1345" i="1" s="1"/>
  <c r="G1346" i="1"/>
  <c r="F1346" i="1" s="1"/>
  <c r="G1347" i="1"/>
  <c r="F1347" i="1" s="1"/>
  <c r="H1347" i="1" s="1"/>
  <c r="G1348" i="1"/>
  <c r="F1348" i="1" s="1"/>
  <c r="H1348" i="1" s="1"/>
  <c r="G1349" i="1"/>
  <c r="F1349" i="1" s="1"/>
  <c r="H1349" i="1" s="1"/>
  <c r="G1350" i="1"/>
  <c r="F1350" i="1" s="1"/>
  <c r="H1350" i="1" s="1"/>
  <c r="G1351" i="1"/>
  <c r="F1351" i="1" s="1"/>
  <c r="H1351" i="1" s="1"/>
  <c r="G1352" i="1"/>
  <c r="F1352" i="1" s="1"/>
  <c r="H1352" i="1" s="1"/>
  <c r="G1353" i="1"/>
  <c r="F1353" i="1" s="1"/>
  <c r="H1353" i="1" s="1"/>
  <c r="G1354" i="1"/>
  <c r="F1354" i="1" s="1"/>
  <c r="H1354" i="1" s="1"/>
  <c r="G1355" i="1"/>
  <c r="F1355" i="1" s="1"/>
  <c r="H1355" i="1" s="1"/>
  <c r="G1356" i="1"/>
  <c r="F1356" i="1" s="1"/>
  <c r="H1356" i="1" s="1"/>
  <c r="G1357" i="1"/>
  <c r="F1357" i="1" s="1"/>
  <c r="H1357" i="1" s="1"/>
  <c r="G1358" i="1"/>
  <c r="F1358" i="1" s="1"/>
  <c r="H1358" i="1" s="1"/>
  <c r="G1359" i="1"/>
  <c r="F1359" i="1" s="1"/>
  <c r="H1359" i="1" s="1"/>
  <c r="G1360" i="1"/>
  <c r="F1360" i="1" s="1"/>
  <c r="H1360" i="1" s="1"/>
  <c r="G1361" i="1"/>
  <c r="F1361" i="1" s="1"/>
  <c r="H1361" i="1" s="1"/>
  <c r="G1362" i="1"/>
  <c r="F1362" i="1" s="1"/>
  <c r="G1363" i="1"/>
  <c r="F1363" i="1" s="1"/>
  <c r="H1363" i="1" s="1"/>
  <c r="G1364" i="1"/>
  <c r="F1364" i="1" s="1"/>
  <c r="H1364" i="1" s="1"/>
  <c r="G1365" i="1"/>
  <c r="F1365" i="1" s="1"/>
  <c r="H1365" i="1" s="1"/>
  <c r="G1366" i="1"/>
  <c r="F1366" i="1" s="1"/>
  <c r="H1366" i="1" s="1"/>
  <c r="G1367" i="1"/>
  <c r="F1367" i="1" s="1"/>
  <c r="H1367" i="1" s="1"/>
  <c r="G1368" i="1"/>
  <c r="F1368" i="1" s="1"/>
  <c r="H1368" i="1" s="1"/>
  <c r="G1369" i="1"/>
  <c r="F1369" i="1" s="1"/>
  <c r="H1369" i="1" s="1"/>
  <c r="G1370" i="1"/>
  <c r="F1370" i="1" s="1"/>
  <c r="G1371" i="1"/>
  <c r="F1371" i="1" s="1"/>
  <c r="H1371" i="1" s="1"/>
  <c r="G1372" i="1"/>
  <c r="F1372" i="1" s="1"/>
  <c r="H1372" i="1" s="1"/>
  <c r="G1373" i="1"/>
  <c r="F1373" i="1" s="1"/>
  <c r="H1373" i="1" s="1"/>
  <c r="G1374" i="1"/>
  <c r="F1374" i="1" s="1"/>
  <c r="H1374" i="1" s="1"/>
  <c r="G1375" i="1"/>
  <c r="F1375" i="1" s="1"/>
  <c r="H1375" i="1" s="1"/>
  <c r="G1376" i="1"/>
  <c r="F1376" i="1" s="1"/>
  <c r="H1376" i="1" s="1"/>
  <c r="G1377" i="1"/>
  <c r="F1377" i="1" s="1"/>
  <c r="H1377" i="1" s="1"/>
  <c r="G1378" i="1"/>
  <c r="F1378" i="1" s="1"/>
  <c r="H1378" i="1" s="1"/>
  <c r="G1379" i="1"/>
  <c r="F1379" i="1" s="1"/>
  <c r="H1379" i="1" s="1"/>
  <c r="G1380" i="1"/>
  <c r="F1380" i="1" s="1"/>
  <c r="H1380" i="1" s="1"/>
  <c r="G1381" i="1"/>
  <c r="F1381" i="1" s="1"/>
  <c r="H1381" i="1" s="1"/>
  <c r="G1382" i="1"/>
  <c r="F1382" i="1" s="1"/>
  <c r="G1383" i="1"/>
  <c r="F1383" i="1" s="1"/>
  <c r="H1383" i="1" s="1"/>
  <c r="G1384" i="1"/>
  <c r="F1384" i="1" s="1"/>
  <c r="H1384" i="1" s="1"/>
  <c r="G1385" i="1"/>
  <c r="F1385" i="1" s="1"/>
  <c r="H1385" i="1" s="1"/>
  <c r="G1386" i="1"/>
  <c r="F1386" i="1" s="1"/>
  <c r="H1386" i="1" s="1"/>
  <c r="G1387" i="1"/>
  <c r="F1387" i="1" s="1"/>
  <c r="H1387" i="1" s="1"/>
  <c r="G1388" i="1"/>
  <c r="F1388" i="1" s="1"/>
  <c r="H1388" i="1" s="1"/>
  <c r="G1389" i="1"/>
  <c r="F1389" i="1" s="1"/>
  <c r="H1389" i="1" s="1"/>
  <c r="G1390" i="1"/>
  <c r="F1390" i="1" s="1"/>
  <c r="H1390" i="1" s="1"/>
  <c r="G1391" i="1"/>
  <c r="F1391" i="1" s="1"/>
  <c r="H1391" i="1" s="1"/>
  <c r="G1392" i="1"/>
  <c r="F1392" i="1" s="1"/>
  <c r="H1392" i="1" s="1"/>
  <c r="G1393" i="1"/>
  <c r="F1393" i="1" s="1"/>
  <c r="H1393" i="1" s="1"/>
  <c r="G1394" i="1"/>
  <c r="F1394" i="1" s="1"/>
  <c r="H1394" i="1" s="1"/>
  <c r="G1395" i="1"/>
  <c r="F1395" i="1" s="1"/>
  <c r="H1395" i="1" s="1"/>
  <c r="G1396" i="1"/>
  <c r="F1396" i="1" s="1"/>
  <c r="H1396" i="1" s="1"/>
  <c r="G1397" i="1"/>
  <c r="F1397" i="1" s="1"/>
  <c r="H1397" i="1" s="1"/>
  <c r="G1398" i="1"/>
  <c r="F1398" i="1" s="1"/>
  <c r="H1398" i="1" s="1"/>
  <c r="G1399" i="1"/>
  <c r="F1399" i="1" s="1"/>
  <c r="H1399" i="1" s="1"/>
  <c r="G1400" i="1"/>
  <c r="F1400" i="1" s="1"/>
  <c r="H1400" i="1" s="1"/>
  <c r="G1401" i="1"/>
  <c r="F1401" i="1" s="1"/>
  <c r="H1401" i="1" s="1"/>
  <c r="G1402" i="1"/>
  <c r="F1402" i="1" s="1"/>
  <c r="H1402" i="1" s="1"/>
  <c r="G1403" i="1"/>
  <c r="F1403" i="1" s="1"/>
  <c r="H1403" i="1" s="1"/>
  <c r="G1404" i="1"/>
  <c r="F1404" i="1" s="1"/>
  <c r="H1404" i="1" s="1"/>
  <c r="G1405" i="1"/>
  <c r="F1405" i="1" s="1"/>
  <c r="H1405" i="1" s="1"/>
  <c r="G1406" i="1"/>
  <c r="F1406" i="1" s="1"/>
  <c r="H1406" i="1" s="1"/>
  <c r="G1407" i="1"/>
  <c r="F1407" i="1" s="1"/>
  <c r="H1407" i="1" s="1"/>
  <c r="G1408" i="1"/>
  <c r="F1408" i="1" s="1"/>
  <c r="H1408" i="1" s="1"/>
  <c r="G1409" i="1"/>
  <c r="F1409" i="1" s="1"/>
  <c r="H1409" i="1" s="1"/>
  <c r="G1410" i="1"/>
  <c r="F1410" i="1" s="1"/>
  <c r="H1410" i="1" s="1"/>
  <c r="G1411" i="1"/>
  <c r="F1411" i="1" s="1"/>
  <c r="H1411" i="1" s="1"/>
  <c r="G1412" i="1"/>
  <c r="F1412" i="1" s="1"/>
  <c r="H1412" i="1" s="1"/>
  <c r="G1413" i="1"/>
  <c r="F1413" i="1" s="1"/>
  <c r="H1413" i="1" s="1"/>
  <c r="G1414" i="1"/>
  <c r="F1414" i="1" s="1"/>
  <c r="H1414" i="1" s="1"/>
  <c r="G1415" i="1"/>
  <c r="F1415" i="1" s="1"/>
  <c r="H1415" i="1" s="1"/>
  <c r="G1416" i="1"/>
  <c r="F1416" i="1" s="1"/>
  <c r="H1416" i="1" s="1"/>
  <c r="G1417" i="1"/>
  <c r="F1417" i="1" s="1"/>
  <c r="H1417" i="1" s="1"/>
  <c r="G1418" i="1"/>
  <c r="F1418" i="1" s="1"/>
  <c r="H1418" i="1" s="1"/>
  <c r="G1419" i="1"/>
  <c r="F1419" i="1" s="1"/>
  <c r="H1419" i="1" s="1"/>
  <c r="G1420" i="1"/>
  <c r="F1420" i="1" s="1"/>
  <c r="H1420" i="1" s="1"/>
  <c r="G1421" i="1"/>
  <c r="F1421" i="1" s="1"/>
  <c r="H1421" i="1" s="1"/>
  <c r="G1422" i="1"/>
  <c r="F1422" i="1" s="1"/>
  <c r="G1423" i="1"/>
  <c r="F1423" i="1" s="1"/>
  <c r="H1423" i="1" s="1"/>
  <c r="G1424" i="1"/>
  <c r="F1424" i="1" s="1"/>
  <c r="H1424" i="1" s="1"/>
  <c r="G1425" i="1"/>
  <c r="F1425" i="1" s="1"/>
  <c r="H1425" i="1" s="1"/>
  <c r="G1426" i="1"/>
  <c r="F1426" i="1" s="1"/>
  <c r="H1426" i="1" s="1"/>
  <c r="G1427" i="1"/>
  <c r="F1427" i="1" s="1"/>
  <c r="H1427" i="1" s="1"/>
  <c r="G1428" i="1"/>
  <c r="F1428" i="1" s="1"/>
  <c r="H1428" i="1" s="1"/>
  <c r="G1429" i="1"/>
  <c r="F1429" i="1" s="1"/>
  <c r="H1429" i="1" s="1"/>
  <c r="G1430" i="1"/>
  <c r="F1430" i="1" s="1"/>
  <c r="H1430" i="1" s="1"/>
  <c r="G1431" i="1"/>
  <c r="F1431" i="1" s="1"/>
  <c r="H1431" i="1" s="1"/>
  <c r="G1432" i="1"/>
  <c r="F1432" i="1" s="1"/>
  <c r="H1432" i="1" s="1"/>
  <c r="G1433" i="1"/>
  <c r="F1433" i="1" s="1"/>
  <c r="H1433" i="1" s="1"/>
  <c r="G1434" i="1"/>
  <c r="F1434" i="1" s="1"/>
  <c r="H1434" i="1" s="1"/>
  <c r="G1435" i="1"/>
  <c r="F1435" i="1" s="1"/>
  <c r="H1435" i="1" s="1"/>
  <c r="G1436" i="1"/>
  <c r="F1436" i="1" s="1"/>
  <c r="H1436" i="1" s="1"/>
  <c r="G1437" i="1"/>
  <c r="F1437" i="1" s="1"/>
  <c r="H1437" i="1" s="1"/>
  <c r="G1438" i="1"/>
  <c r="F1438" i="1" s="1"/>
  <c r="H1438" i="1" s="1"/>
  <c r="G1439" i="1"/>
  <c r="F1439" i="1" s="1"/>
  <c r="H1439" i="1" s="1"/>
  <c r="G1440" i="1"/>
  <c r="F1440" i="1" s="1"/>
  <c r="H1440" i="1" s="1"/>
  <c r="G1441" i="1"/>
  <c r="F1441" i="1" s="1"/>
  <c r="H1441" i="1" s="1"/>
  <c r="G1442" i="1"/>
  <c r="F1442" i="1" s="1"/>
  <c r="G1443" i="1"/>
  <c r="F1443" i="1" s="1"/>
  <c r="H1443" i="1" s="1"/>
  <c r="G1444" i="1"/>
  <c r="F1444" i="1" s="1"/>
  <c r="H1444" i="1" s="1"/>
  <c r="G1445" i="1"/>
  <c r="F1445" i="1" s="1"/>
  <c r="H1445" i="1" s="1"/>
  <c r="G1446" i="1"/>
  <c r="F1446" i="1" s="1"/>
  <c r="G1447" i="1"/>
  <c r="F1447" i="1" s="1"/>
  <c r="H1447" i="1" s="1"/>
  <c r="G1448" i="1"/>
  <c r="F1448" i="1" s="1"/>
  <c r="H1448" i="1" s="1"/>
  <c r="G1449" i="1"/>
  <c r="F1449" i="1" s="1"/>
  <c r="H1449" i="1" s="1"/>
  <c r="G1450" i="1"/>
  <c r="F1450" i="1" s="1"/>
  <c r="H1450" i="1" s="1"/>
  <c r="G1451" i="1"/>
  <c r="F1451" i="1" s="1"/>
  <c r="H1451" i="1" s="1"/>
  <c r="G1452" i="1"/>
  <c r="F1452" i="1" s="1"/>
  <c r="H1452" i="1" s="1"/>
  <c r="G1453" i="1"/>
  <c r="F1453" i="1" s="1"/>
  <c r="H1453" i="1" s="1"/>
  <c r="G1454" i="1"/>
  <c r="F1454" i="1" s="1"/>
  <c r="H1454" i="1" s="1"/>
  <c r="G1455" i="1"/>
  <c r="F1455" i="1" s="1"/>
  <c r="H1455" i="1" s="1"/>
  <c r="G1456" i="1"/>
  <c r="F1456" i="1" s="1"/>
  <c r="H1456" i="1" s="1"/>
  <c r="G1457" i="1"/>
  <c r="F1457" i="1" s="1"/>
  <c r="H1457" i="1" s="1"/>
  <c r="G1458" i="1"/>
  <c r="F1458" i="1" s="1"/>
  <c r="H1458" i="1" s="1"/>
  <c r="G1459" i="1"/>
  <c r="F1459" i="1" s="1"/>
  <c r="H1459" i="1" s="1"/>
  <c r="G1460" i="1"/>
  <c r="F1460" i="1" s="1"/>
  <c r="H1460" i="1" s="1"/>
  <c r="G1461" i="1"/>
  <c r="F1461" i="1" s="1"/>
  <c r="H1461" i="1" s="1"/>
  <c r="G1462" i="1"/>
  <c r="F1462" i="1" s="1"/>
  <c r="G1463" i="1"/>
  <c r="F1463" i="1" s="1"/>
  <c r="H1463" i="1" s="1"/>
  <c r="G1464" i="1"/>
  <c r="F1464" i="1" s="1"/>
  <c r="H1464" i="1" s="1"/>
  <c r="G1465" i="1"/>
  <c r="F1465" i="1" s="1"/>
  <c r="H1465" i="1" s="1"/>
  <c r="G1466" i="1"/>
  <c r="F1466" i="1" s="1"/>
  <c r="H1466" i="1" s="1"/>
  <c r="G1467" i="1"/>
  <c r="F1467" i="1" s="1"/>
  <c r="H1467" i="1" s="1"/>
  <c r="G1468" i="1"/>
  <c r="F1468" i="1" s="1"/>
  <c r="H1468" i="1" s="1"/>
  <c r="G1469" i="1"/>
  <c r="F1469" i="1" s="1"/>
  <c r="H1469" i="1" s="1"/>
  <c r="G1470" i="1"/>
  <c r="F1470" i="1" s="1"/>
  <c r="H1470" i="1" s="1"/>
  <c r="G1471" i="1"/>
  <c r="F1471" i="1" s="1"/>
  <c r="H1471" i="1" s="1"/>
  <c r="G1472" i="1"/>
  <c r="F1472" i="1" s="1"/>
  <c r="H1472" i="1" s="1"/>
  <c r="G1473" i="1"/>
  <c r="F1473" i="1" s="1"/>
  <c r="H1473" i="1" s="1"/>
  <c r="G1474" i="1"/>
  <c r="F1474" i="1" s="1"/>
  <c r="H1474" i="1" s="1"/>
  <c r="G1475" i="1"/>
  <c r="F1475" i="1" s="1"/>
  <c r="H1475" i="1" s="1"/>
  <c r="G1476" i="1"/>
  <c r="F1476" i="1" s="1"/>
  <c r="H1476" i="1" s="1"/>
  <c r="G1477" i="1"/>
  <c r="F1477" i="1" s="1"/>
  <c r="H1477" i="1" s="1"/>
  <c r="G1478" i="1"/>
  <c r="F1478" i="1" s="1"/>
  <c r="H1478" i="1" s="1"/>
  <c r="G1479" i="1"/>
  <c r="F1479" i="1" s="1"/>
  <c r="H1479" i="1" s="1"/>
  <c r="G1480" i="1"/>
  <c r="F1480" i="1" s="1"/>
  <c r="H1480" i="1" s="1"/>
  <c r="G1481" i="1"/>
  <c r="F1481" i="1" s="1"/>
  <c r="H1481" i="1" s="1"/>
  <c r="G1482" i="1"/>
  <c r="F1482" i="1" s="1"/>
  <c r="G1483" i="1"/>
  <c r="F1483" i="1" s="1"/>
  <c r="H1483" i="1" s="1"/>
  <c r="G1484" i="1"/>
  <c r="F1484" i="1" s="1"/>
  <c r="H1484" i="1" s="1"/>
  <c r="G1485" i="1"/>
  <c r="F1485" i="1" s="1"/>
  <c r="H1485" i="1" s="1"/>
  <c r="G1486" i="1"/>
  <c r="F1486" i="1" s="1"/>
  <c r="H1486" i="1" s="1"/>
  <c r="G1487" i="1"/>
  <c r="F1487" i="1" s="1"/>
  <c r="H1487" i="1" s="1"/>
  <c r="G1488" i="1"/>
  <c r="F1488" i="1" s="1"/>
  <c r="H1488" i="1" s="1"/>
  <c r="G1489" i="1"/>
  <c r="F1489" i="1" s="1"/>
  <c r="H1489" i="1" s="1"/>
  <c r="G1490" i="1"/>
  <c r="F1490" i="1" s="1"/>
  <c r="H1490" i="1" s="1"/>
  <c r="G1491" i="1"/>
  <c r="F1491" i="1" s="1"/>
  <c r="H1491" i="1" s="1"/>
  <c r="G1492" i="1"/>
  <c r="F1492" i="1" s="1"/>
  <c r="H1492" i="1" s="1"/>
  <c r="G1493" i="1"/>
  <c r="F1493" i="1" s="1"/>
  <c r="H1493" i="1" s="1"/>
  <c r="G1494" i="1"/>
  <c r="F1494" i="1" s="1"/>
  <c r="H1494" i="1" s="1"/>
  <c r="G1495" i="1"/>
  <c r="F1495" i="1" s="1"/>
  <c r="H1495" i="1" s="1"/>
  <c r="G1496" i="1"/>
  <c r="F1496" i="1" s="1"/>
  <c r="H1496" i="1" s="1"/>
  <c r="G1497" i="1"/>
  <c r="F1497" i="1" s="1"/>
  <c r="H1497" i="1" s="1"/>
  <c r="G1498" i="1"/>
  <c r="F1498" i="1" s="1"/>
  <c r="H1498" i="1" s="1"/>
  <c r="G1499" i="1"/>
  <c r="F1499" i="1" s="1"/>
  <c r="H1499" i="1" s="1"/>
  <c r="G1500" i="1"/>
  <c r="F1500" i="1" s="1"/>
  <c r="H1500" i="1" s="1"/>
  <c r="G1501" i="1"/>
  <c r="F1501" i="1" s="1"/>
  <c r="H1501" i="1" s="1"/>
  <c r="G1502" i="1"/>
  <c r="F1502" i="1" s="1"/>
  <c r="G1503" i="1"/>
  <c r="F1503" i="1" s="1"/>
  <c r="H1503" i="1" s="1"/>
  <c r="G1504" i="1"/>
  <c r="F1504" i="1" s="1"/>
  <c r="H1504" i="1" s="1"/>
  <c r="G1505" i="1"/>
  <c r="F1505" i="1" s="1"/>
  <c r="H1505" i="1" s="1"/>
  <c r="G1506" i="1"/>
  <c r="F1506" i="1" s="1"/>
  <c r="H1506" i="1" s="1"/>
  <c r="G1507" i="1"/>
  <c r="F1507" i="1" s="1"/>
  <c r="H1507" i="1" s="1"/>
  <c r="G1508" i="1"/>
  <c r="F1508" i="1" s="1"/>
  <c r="H1508" i="1" s="1"/>
  <c r="G1509" i="1"/>
  <c r="F1509" i="1" s="1"/>
  <c r="H1509" i="1" s="1"/>
  <c r="G1510" i="1"/>
  <c r="F1510" i="1" s="1"/>
  <c r="H1510" i="1" s="1"/>
  <c r="G1511" i="1"/>
  <c r="F1511" i="1" s="1"/>
  <c r="H1511" i="1" s="1"/>
  <c r="G1512" i="1"/>
  <c r="F1512" i="1" s="1"/>
  <c r="H1512" i="1" s="1"/>
  <c r="G1513" i="1"/>
  <c r="F1513" i="1" s="1"/>
  <c r="H1513" i="1" s="1"/>
  <c r="G1514" i="1"/>
  <c r="F1514" i="1" s="1"/>
  <c r="H1514" i="1" s="1"/>
  <c r="G1515" i="1"/>
  <c r="F1515" i="1" s="1"/>
  <c r="H1515" i="1" s="1"/>
  <c r="G1516" i="1"/>
  <c r="F1516" i="1" s="1"/>
  <c r="H1516" i="1" s="1"/>
  <c r="G1517" i="1"/>
  <c r="F1517" i="1" s="1"/>
  <c r="H1517" i="1" s="1"/>
  <c r="G1518" i="1"/>
  <c r="F1518" i="1" s="1"/>
  <c r="H1518" i="1" s="1"/>
  <c r="G1519" i="1"/>
  <c r="F1519" i="1" s="1"/>
  <c r="H1519" i="1" s="1"/>
  <c r="G1520" i="1"/>
  <c r="F1520" i="1" s="1"/>
  <c r="H1520" i="1" s="1"/>
  <c r="G1521" i="1"/>
  <c r="F1521" i="1" s="1"/>
  <c r="H1521" i="1" s="1"/>
  <c r="G1522" i="1"/>
  <c r="F1522" i="1" s="1"/>
  <c r="G1523" i="1"/>
  <c r="F1523" i="1" s="1"/>
  <c r="H1523" i="1" s="1"/>
  <c r="G1524" i="1"/>
  <c r="F1524" i="1" s="1"/>
  <c r="H1524" i="1" s="1"/>
  <c r="G1525" i="1"/>
  <c r="F1525" i="1" s="1"/>
  <c r="H1525" i="1" s="1"/>
  <c r="G1526" i="1"/>
  <c r="F1526" i="1" s="1"/>
  <c r="G1527" i="1"/>
  <c r="F1527" i="1" s="1"/>
  <c r="H1527" i="1" s="1"/>
  <c r="G1528" i="1"/>
  <c r="F1528" i="1" s="1"/>
  <c r="H1528" i="1" s="1"/>
  <c r="G1529" i="1"/>
  <c r="F1529" i="1" s="1"/>
  <c r="H1529" i="1" s="1"/>
  <c r="G1530" i="1"/>
  <c r="F1530" i="1" s="1"/>
  <c r="H1530" i="1" s="1"/>
  <c r="G1531" i="1"/>
  <c r="F1531" i="1" s="1"/>
  <c r="H1531" i="1" s="1"/>
  <c r="G1532" i="1"/>
  <c r="F1532" i="1" s="1"/>
  <c r="H1532" i="1" s="1"/>
  <c r="G1533" i="1"/>
  <c r="F1533" i="1" s="1"/>
  <c r="H1533" i="1" s="1"/>
  <c r="G1534" i="1"/>
  <c r="F1534" i="1" s="1"/>
  <c r="H1534" i="1" s="1"/>
  <c r="G1535" i="1"/>
  <c r="F1535" i="1" s="1"/>
  <c r="H1535" i="1" s="1"/>
  <c r="G1536" i="1"/>
  <c r="F1536" i="1" s="1"/>
  <c r="H1536" i="1" s="1"/>
  <c r="G1537" i="1"/>
  <c r="F1537" i="1" s="1"/>
  <c r="H1537" i="1" s="1"/>
  <c r="G1538" i="1"/>
  <c r="F1538" i="1" s="1"/>
  <c r="H1538" i="1" s="1"/>
  <c r="G1539" i="1"/>
  <c r="F1539" i="1" s="1"/>
  <c r="H1539" i="1" s="1"/>
  <c r="G1540" i="1"/>
  <c r="F1540" i="1" s="1"/>
  <c r="H1540" i="1" s="1"/>
  <c r="G1541" i="1"/>
  <c r="F1541" i="1" s="1"/>
  <c r="H1541" i="1" s="1"/>
  <c r="G1542" i="1"/>
  <c r="F1542" i="1" s="1"/>
  <c r="H1542" i="1" s="1"/>
  <c r="G1543" i="1"/>
  <c r="F1543" i="1" s="1"/>
  <c r="H1543" i="1" s="1"/>
  <c r="G1544" i="1"/>
  <c r="F1544" i="1" s="1"/>
  <c r="H1544" i="1" s="1"/>
  <c r="G1545" i="1"/>
  <c r="F1545" i="1" s="1"/>
  <c r="H1545" i="1" s="1"/>
  <c r="G1546" i="1"/>
  <c r="F1546" i="1" s="1"/>
  <c r="H1546" i="1" s="1"/>
  <c r="G1547" i="1"/>
  <c r="F1547" i="1" s="1"/>
  <c r="H1547" i="1" s="1"/>
  <c r="G1548" i="1"/>
  <c r="F1548" i="1" s="1"/>
  <c r="H1548" i="1" s="1"/>
  <c r="G1549" i="1"/>
  <c r="F1549" i="1" s="1"/>
  <c r="H1549" i="1" s="1"/>
  <c r="G1550" i="1"/>
  <c r="F1550" i="1" s="1"/>
  <c r="H1550" i="1" s="1"/>
  <c r="G1551" i="1"/>
  <c r="F1551" i="1" s="1"/>
  <c r="H1551" i="1" s="1"/>
  <c r="G1552" i="1"/>
  <c r="F1552" i="1" s="1"/>
  <c r="H1552" i="1" s="1"/>
  <c r="G1553" i="1"/>
  <c r="F1553" i="1" s="1"/>
  <c r="H1553" i="1" s="1"/>
  <c r="G1554" i="1"/>
  <c r="F1554" i="1" s="1"/>
  <c r="H1554" i="1" s="1"/>
  <c r="G1555" i="1"/>
  <c r="F1555" i="1" s="1"/>
  <c r="H1555" i="1" s="1"/>
  <c r="G1556" i="1"/>
  <c r="F1556" i="1" s="1"/>
  <c r="H1556" i="1" s="1"/>
  <c r="G1557" i="1"/>
  <c r="F1557" i="1" s="1"/>
  <c r="H1557" i="1" s="1"/>
  <c r="G1558" i="1"/>
  <c r="F1558" i="1" s="1"/>
  <c r="H1558" i="1" s="1"/>
  <c r="G1559" i="1"/>
  <c r="F1559" i="1" s="1"/>
  <c r="H1559" i="1" s="1"/>
  <c r="G1560" i="1"/>
  <c r="F1560" i="1" s="1"/>
  <c r="H1560" i="1" s="1"/>
  <c r="G1561" i="1"/>
  <c r="F1561" i="1" s="1"/>
  <c r="H1561" i="1" s="1"/>
  <c r="G1562" i="1"/>
  <c r="F1562" i="1" s="1"/>
  <c r="G1563" i="1"/>
  <c r="F1563" i="1" s="1"/>
  <c r="H1563" i="1" s="1"/>
  <c r="G1564" i="1"/>
  <c r="F1564" i="1" s="1"/>
  <c r="H1564" i="1" s="1"/>
  <c r="G1565" i="1"/>
  <c r="F1565" i="1" s="1"/>
  <c r="H1565" i="1" s="1"/>
  <c r="G1566" i="1"/>
  <c r="F1566" i="1" s="1"/>
  <c r="H1566" i="1" s="1"/>
  <c r="G1567" i="1"/>
  <c r="F1567" i="1" s="1"/>
  <c r="H1567" i="1" s="1"/>
  <c r="G1568" i="1"/>
  <c r="F1568" i="1" s="1"/>
  <c r="H1568" i="1" s="1"/>
  <c r="G1569" i="1"/>
  <c r="F1569" i="1" s="1"/>
  <c r="H1569" i="1" s="1"/>
  <c r="G1570" i="1"/>
  <c r="F1570" i="1" s="1"/>
  <c r="H1570" i="1" s="1"/>
  <c r="G1571" i="1"/>
  <c r="F1571" i="1" s="1"/>
  <c r="H1571" i="1" s="1"/>
  <c r="G1572" i="1"/>
  <c r="F1572" i="1" s="1"/>
  <c r="H1572" i="1" s="1"/>
  <c r="G1573" i="1"/>
  <c r="F1573" i="1" s="1"/>
  <c r="H1573" i="1" s="1"/>
  <c r="G1574" i="1"/>
  <c r="F1574" i="1" s="1"/>
  <c r="H1574" i="1" s="1"/>
  <c r="G1575" i="1"/>
  <c r="F1575" i="1" s="1"/>
  <c r="H1575" i="1" s="1"/>
  <c r="G1576" i="1"/>
  <c r="F1576" i="1" s="1"/>
  <c r="H1576" i="1" s="1"/>
  <c r="G1577" i="1"/>
  <c r="F1577" i="1" s="1"/>
  <c r="H1577" i="1" s="1"/>
  <c r="G1578" i="1"/>
  <c r="F1578" i="1" s="1"/>
  <c r="H1578" i="1" s="1"/>
  <c r="G1579" i="1"/>
  <c r="F1579" i="1" s="1"/>
  <c r="H1579" i="1" s="1"/>
  <c r="G1580" i="1"/>
  <c r="F1580" i="1" s="1"/>
  <c r="H1580" i="1" s="1"/>
  <c r="G1581" i="1"/>
  <c r="F1581" i="1" s="1"/>
  <c r="H1581" i="1" s="1"/>
  <c r="G1582" i="1"/>
  <c r="F1582" i="1" s="1"/>
  <c r="G1583" i="1"/>
  <c r="F1583" i="1" s="1"/>
  <c r="H1583" i="1" s="1"/>
  <c r="G1584" i="1"/>
  <c r="F1584" i="1" s="1"/>
  <c r="H1584" i="1" s="1"/>
  <c r="G1585" i="1"/>
  <c r="F1585" i="1" s="1"/>
  <c r="H1585" i="1" s="1"/>
  <c r="G1586" i="1"/>
  <c r="F1586" i="1" s="1"/>
  <c r="H1586" i="1" s="1"/>
  <c r="G1587" i="1"/>
  <c r="F1587" i="1" s="1"/>
  <c r="H1587" i="1" s="1"/>
  <c r="G1588" i="1"/>
  <c r="F1588" i="1" s="1"/>
  <c r="H1588" i="1" s="1"/>
  <c r="G1589" i="1"/>
  <c r="F1589" i="1" s="1"/>
  <c r="H1589" i="1" s="1"/>
  <c r="G1590" i="1"/>
  <c r="F1590" i="1" s="1"/>
  <c r="H1590" i="1" s="1"/>
  <c r="G1591" i="1"/>
  <c r="F1591" i="1" s="1"/>
  <c r="H1591" i="1" s="1"/>
  <c r="G1592" i="1"/>
  <c r="F1592" i="1" s="1"/>
  <c r="H1592" i="1" s="1"/>
  <c r="G1593" i="1"/>
  <c r="F1593" i="1" s="1"/>
  <c r="H1593" i="1" s="1"/>
  <c r="G1594" i="1"/>
  <c r="F1594" i="1" s="1"/>
  <c r="H1594" i="1" s="1"/>
  <c r="G1595" i="1"/>
  <c r="F1595" i="1" s="1"/>
  <c r="H1595" i="1" s="1"/>
  <c r="G1596" i="1"/>
  <c r="F1596" i="1" s="1"/>
  <c r="H1596" i="1" s="1"/>
  <c r="G1597" i="1"/>
  <c r="F1597" i="1" s="1"/>
  <c r="H1597" i="1" s="1"/>
  <c r="G1598" i="1"/>
  <c r="F1598" i="1" s="1"/>
  <c r="H1598" i="1" s="1"/>
  <c r="G1599" i="1"/>
  <c r="F1599" i="1" s="1"/>
  <c r="H1599" i="1" s="1"/>
  <c r="G1600" i="1"/>
  <c r="F1600" i="1" s="1"/>
  <c r="H1600" i="1" s="1"/>
  <c r="G1601" i="1"/>
  <c r="F1601" i="1" s="1"/>
  <c r="H1601" i="1" s="1"/>
  <c r="G1602" i="1"/>
  <c r="F1602" i="1" s="1"/>
  <c r="H1602" i="1" s="1"/>
  <c r="G1603" i="1"/>
  <c r="F1603" i="1" s="1"/>
  <c r="H1603" i="1" s="1"/>
  <c r="G1604" i="1"/>
  <c r="F1604" i="1" s="1"/>
  <c r="H1604" i="1" s="1"/>
  <c r="G1605" i="1"/>
  <c r="F1605" i="1" s="1"/>
  <c r="H1605" i="1" s="1"/>
  <c r="G1606" i="1"/>
  <c r="F1606" i="1" s="1"/>
  <c r="H1606" i="1" s="1"/>
  <c r="G1607" i="1"/>
  <c r="F1607" i="1" s="1"/>
  <c r="H1607" i="1" s="1"/>
  <c r="G1608" i="1"/>
  <c r="F1608" i="1" s="1"/>
  <c r="H1608" i="1" s="1"/>
  <c r="G1609" i="1"/>
  <c r="F1609" i="1" s="1"/>
  <c r="H1609" i="1" s="1"/>
  <c r="G1610" i="1"/>
  <c r="F1610" i="1" s="1"/>
  <c r="H1610" i="1" s="1"/>
  <c r="G1611" i="1"/>
  <c r="F1611" i="1" s="1"/>
  <c r="H1611" i="1" s="1"/>
  <c r="G1612" i="1"/>
  <c r="F1612" i="1" s="1"/>
  <c r="H1612" i="1" s="1"/>
  <c r="G1613" i="1"/>
  <c r="F1613" i="1" s="1"/>
  <c r="H1613" i="1" s="1"/>
  <c r="G1614" i="1"/>
  <c r="F1614" i="1" s="1"/>
  <c r="H1614" i="1" s="1"/>
  <c r="G1615" i="1"/>
  <c r="F1615" i="1" s="1"/>
  <c r="H1615" i="1" s="1"/>
  <c r="G1616" i="1"/>
  <c r="F1616" i="1" s="1"/>
  <c r="H1616" i="1" s="1"/>
  <c r="G1617" i="1"/>
  <c r="F1617" i="1" s="1"/>
  <c r="H1617" i="1" s="1"/>
  <c r="G1618" i="1"/>
  <c r="F1618" i="1" s="1"/>
  <c r="H1618" i="1" s="1"/>
  <c r="G1619" i="1"/>
  <c r="F1619" i="1" s="1"/>
  <c r="H1619" i="1" s="1"/>
  <c r="G1620" i="1"/>
  <c r="F1620" i="1" s="1"/>
  <c r="H1620" i="1" s="1"/>
  <c r="G1621" i="1"/>
  <c r="F1621" i="1" s="1"/>
  <c r="H1621" i="1" s="1"/>
  <c r="G1622" i="1"/>
  <c r="F1622" i="1" s="1"/>
  <c r="G1623" i="1"/>
  <c r="F1623" i="1" s="1"/>
  <c r="H1623" i="1" s="1"/>
  <c r="G1624" i="1"/>
  <c r="F1624" i="1" s="1"/>
  <c r="H1624" i="1" s="1"/>
  <c r="G1625" i="1"/>
  <c r="F1625" i="1" s="1"/>
  <c r="H1625" i="1" s="1"/>
  <c r="G1626" i="1"/>
  <c r="F1626" i="1" s="1"/>
  <c r="H1626" i="1" s="1"/>
  <c r="G1627" i="1"/>
  <c r="F1627" i="1" s="1"/>
  <c r="H1627" i="1" s="1"/>
  <c r="G1628" i="1"/>
  <c r="F1628" i="1" s="1"/>
  <c r="H1628" i="1" s="1"/>
  <c r="G1629" i="1"/>
  <c r="F1629" i="1" s="1"/>
  <c r="H1629" i="1" s="1"/>
  <c r="G1630" i="1"/>
  <c r="F1630" i="1" s="1"/>
  <c r="H1630" i="1" s="1"/>
  <c r="G1631" i="1"/>
  <c r="F1631" i="1" s="1"/>
  <c r="H1631" i="1" s="1"/>
  <c r="G1632" i="1"/>
  <c r="F1632" i="1" s="1"/>
  <c r="H1632" i="1" s="1"/>
  <c r="G1633" i="1"/>
  <c r="F1633" i="1" s="1"/>
  <c r="H1633" i="1" s="1"/>
  <c r="G1634" i="1"/>
  <c r="F1634" i="1" s="1"/>
  <c r="H1634" i="1" s="1"/>
  <c r="G1635" i="1"/>
  <c r="F1635" i="1" s="1"/>
  <c r="H1635" i="1" s="1"/>
  <c r="G1636" i="1"/>
  <c r="F1636" i="1" s="1"/>
  <c r="H1636" i="1" s="1"/>
  <c r="G1637" i="1"/>
  <c r="F1637" i="1" s="1"/>
  <c r="H1637" i="1" s="1"/>
  <c r="G1638" i="1"/>
  <c r="F1638" i="1" s="1"/>
  <c r="H1638" i="1" s="1"/>
  <c r="G1639" i="1"/>
  <c r="F1639" i="1" s="1"/>
  <c r="H1639" i="1" s="1"/>
  <c r="G1640" i="1"/>
  <c r="F1640" i="1" s="1"/>
  <c r="H1640" i="1" s="1"/>
  <c r="G1641" i="1"/>
  <c r="F1641" i="1" s="1"/>
  <c r="H1641" i="1" s="1"/>
  <c r="G1642" i="1"/>
  <c r="F1642" i="1" s="1"/>
  <c r="H1642" i="1" s="1"/>
  <c r="G1643" i="1"/>
  <c r="F1643" i="1" s="1"/>
  <c r="H1643" i="1" s="1"/>
  <c r="G1644" i="1"/>
  <c r="F1644" i="1" s="1"/>
  <c r="H1644" i="1" s="1"/>
  <c r="G1645" i="1"/>
  <c r="F1645" i="1" s="1"/>
  <c r="H1645" i="1" s="1"/>
  <c r="G1646" i="1"/>
  <c r="F1646" i="1" s="1"/>
  <c r="H1646" i="1" s="1"/>
  <c r="G1647" i="1"/>
  <c r="F1647" i="1" s="1"/>
  <c r="H1647" i="1" s="1"/>
  <c r="G1648" i="1"/>
  <c r="F1648" i="1" s="1"/>
  <c r="H1648" i="1" s="1"/>
  <c r="G1649" i="1"/>
  <c r="F1649" i="1" s="1"/>
  <c r="H1649" i="1" s="1"/>
  <c r="G1650" i="1"/>
  <c r="F1650" i="1" s="1"/>
  <c r="H1650" i="1" s="1"/>
  <c r="G1651" i="1"/>
  <c r="F1651" i="1" s="1"/>
  <c r="H1651" i="1" s="1"/>
  <c r="G1652" i="1"/>
  <c r="F1652" i="1" s="1"/>
  <c r="H1652" i="1" s="1"/>
  <c r="G1653" i="1"/>
  <c r="F1653" i="1" s="1"/>
  <c r="H1653" i="1" s="1"/>
  <c r="G1654" i="1"/>
  <c r="F1654" i="1" s="1"/>
  <c r="H1654" i="1" s="1"/>
  <c r="G1655" i="1"/>
  <c r="F1655" i="1" s="1"/>
  <c r="H1655" i="1" s="1"/>
  <c r="G1656" i="1"/>
  <c r="F1656" i="1" s="1"/>
  <c r="H1656" i="1" s="1"/>
  <c r="G1657" i="1"/>
  <c r="F1657" i="1" s="1"/>
  <c r="H1657" i="1" s="1"/>
  <c r="G1658" i="1"/>
  <c r="F1658" i="1" s="1"/>
  <c r="H1658" i="1" s="1"/>
  <c r="G1659" i="1"/>
  <c r="F1659" i="1" s="1"/>
  <c r="H1659" i="1" s="1"/>
  <c r="G1660" i="1"/>
  <c r="F1660" i="1" s="1"/>
  <c r="H1660" i="1" s="1"/>
  <c r="G1661" i="1"/>
  <c r="F1661" i="1" s="1"/>
  <c r="H1661" i="1" s="1"/>
  <c r="G1662" i="1"/>
  <c r="F1662" i="1" s="1"/>
  <c r="H1662" i="1" s="1"/>
  <c r="G1663" i="1"/>
  <c r="F1663" i="1" s="1"/>
  <c r="H1663" i="1" s="1"/>
  <c r="G1664" i="1"/>
  <c r="F1664" i="1" s="1"/>
  <c r="H1664" i="1" s="1"/>
  <c r="G1665" i="1"/>
  <c r="F1665" i="1" s="1"/>
  <c r="H1665" i="1" s="1"/>
  <c r="G1666" i="1"/>
  <c r="F1666" i="1" s="1"/>
  <c r="H1666" i="1" s="1"/>
  <c r="G1667" i="1"/>
  <c r="F1667" i="1" s="1"/>
  <c r="H1667" i="1" s="1"/>
  <c r="G1668" i="1"/>
  <c r="F1668" i="1" s="1"/>
  <c r="H1668" i="1" s="1"/>
  <c r="G1669" i="1"/>
  <c r="F1669" i="1" s="1"/>
  <c r="H1669" i="1" s="1"/>
  <c r="G1670" i="1"/>
  <c r="F1670" i="1" s="1"/>
  <c r="H1670" i="1" s="1"/>
  <c r="G1671" i="1"/>
  <c r="F1671" i="1" s="1"/>
  <c r="H1671" i="1" s="1"/>
  <c r="G1672" i="1"/>
  <c r="F1672" i="1" s="1"/>
  <c r="H1672" i="1" s="1"/>
  <c r="G1673" i="1"/>
  <c r="F1673" i="1" s="1"/>
  <c r="H1673" i="1" s="1"/>
  <c r="G1674" i="1"/>
  <c r="F1674" i="1" s="1"/>
  <c r="H1674" i="1" s="1"/>
  <c r="G1675" i="1"/>
  <c r="F1675" i="1" s="1"/>
  <c r="H1675" i="1" s="1"/>
  <c r="G1676" i="1"/>
  <c r="F1676" i="1" s="1"/>
  <c r="H1676" i="1" s="1"/>
  <c r="G1677" i="1"/>
  <c r="F1677" i="1" s="1"/>
  <c r="H1677" i="1" s="1"/>
  <c r="G1678" i="1"/>
  <c r="F1678" i="1" s="1"/>
  <c r="H1678" i="1" s="1"/>
  <c r="G1679" i="1"/>
  <c r="F1679" i="1" s="1"/>
  <c r="H1679" i="1" s="1"/>
  <c r="G1680" i="1"/>
  <c r="F1680" i="1" s="1"/>
  <c r="H1680" i="1" s="1"/>
  <c r="G1681" i="1"/>
  <c r="F1681" i="1" s="1"/>
  <c r="H1681" i="1" s="1"/>
  <c r="G1682" i="1"/>
  <c r="F1682" i="1" s="1"/>
  <c r="H1682" i="1" s="1"/>
  <c r="G1683" i="1"/>
  <c r="F1683" i="1" s="1"/>
  <c r="H1683" i="1" s="1"/>
  <c r="G1684" i="1"/>
  <c r="F1684" i="1" s="1"/>
  <c r="H1684" i="1" s="1"/>
  <c r="G1685" i="1"/>
  <c r="F1685" i="1" s="1"/>
  <c r="H1685" i="1" s="1"/>
  <c r="G1686" i="1"/>
  <c r="F1686" i="1" s="1"/>
  <c r="H1686" i="1" s="1"/>
  <c r="G1687" i="1"/>
  <c r="F1687" i="1" s="1"/>
  <c r="H1687" i="1" s="1"/>
  <c r="G1688" i="1"/>
  <c r="F1688" i="1" s="1"/>
  <c r="H1688" i="1" s="1"/>
  <c r="G1689" i="1"/>
  <c r="F1689" i="1" s="1"/>
  <c r="H1689" i="1" s="1"/>
  <c r="G1690" i="1"/>
  <c r="F1690" i="1" s="1"/>
  <c r="H1690" i="1" s="1"/>
  <c r="G1691" i="1"/>
  <c r="F1691" i="1" s="1"/>
  <c r="H1691" i="1" s="1"/>
  <c r="G1692" i="1"/>
  <c r="F1692" i="1" s="1"/>
  <c r="H1692" i="1" s="1"/>
  <c r="G1693" i="1"/>
  <c r="F1693" i="1" s="1"/>
  <c r="H1693" i="1" s="1"/>
  <c r="G1694" i="1"/>
  <c r="F1694" i="1" s="1"/>
  <c r="H1694" i="1" s="1"/>
  <c r="G1695" i="1"/>
  <c r="F1695" i="1" s="1"/>
  <c r="H1695" i="1" s="1"/>
  <c r="G1696" i="1"/>
  <c r="F1696" i="1" s="1"/>
  <c r="H1696" i="1" s="1"/>
  <c r="G1697" i="1"/>
  <c r="F1697" i="1" s="1"/>
  <c r="H1697" i="1" s="1"/>
  <c r="G1698" i="1"/>
  <c r="F1698" i="1" s="1"/>
  <c r="H1698" i="1" s="1"/>
  <c r="G1699" i="1"/>
  <c r="F1699" i="1" s="1"/>
  <c r="H1699" i="1" s="1"/>
  <c r="G1700" i="1"/>
  <c r="F1700" i="1" s="1"/>
  <c r="H1700" i="1" s="1"/>
  <c r="G1701" i="1"/>
  <c r="F1701" i="1" s="1"/>
  <c r="H1701" i="1" s="1"/>
  <c r="G1702" i="1"/>
  <c r="F1702" i="1" s="1"/>
  <c r="H1702" i="1" s="1"/>
  <c r="G1703" i="1"/>
  <c r="F1703" i="1" s="1"/>
  <c r="H1703" i="1" s="1"/>
  <c r="G1704" i="1"/>
  <c r="F1704" i="1" s="1"/>
  <c r="H1704" i="1" s="1"/>
  <c r="G1705" i="1"/>
  <c r="F1705" i="1" s="1"/>
  <c r="H1705" i="1" s="1"/>
  <c r="G1706" i="1"/>
  <c r="F1706" i="1" s="1"/>
  <c r="H1706" i="1" s="1"/>
  <c r="G1707" i="1"/>
  <c r="F1707" i="1" s="1"/>
  <c r="H1707" i="1" s="1"/>
  <c r="G1708" i="1"/>
  <c r="F1708" i="1" s="1"/>
  <c r="H1708" i="1" s="1"/>
  <c r="G1709" i="1"/>
  <c r="F1709" i="1" s="1"/>
  <c r="H1709" i="1" s="1"/>
  <c r="G1710" i="1"/>
  <c r="F1710" i="1" s="1"/>
  <c r="H1710" i="1" s="1"/>
  <c r="G1711" i="1"/>
  <c r="F1711" i="1" s="1"/>
  <c r="H1711" i="1" s="1"/>
  <c r="G1712" i="1"/>
  <c r="F1712" i="1" s="1"/>
  <c r="H1712" i="1" s="1"/>
  <c r="G1713" i="1"/>
  <c r="F1713" i="1" s="1"/>
  <c r="H1713" i="1" s="1"/>
  <c r="G1714" i="1"/>
  <c r="F1714" i="1" s="1"/>
  <c r="H1714" i="1" s="1"/>
  <c r="G1715" i="1"/>
  <c r="F1715" i="1" s="1"/>
  <c r="H1715" i="1" s="1"/>
  <c r="G1716" i="1"/>
  <c r="F1716" i="1" s="1"/>
  <c r="H1716" i="1" s="1"/>
  <c r="G1717" i="1"/>
  <c r="F1717" i="1" s="1"/>
  <c r="H1717" i="1" s="1"/>
  <c r="G1718" i="1"/>
  <c r="F1718" i="1" s="1"/>
  <c r="H1718" i="1" s="1"/>
  <c r="G1719" i="1"/>
  <c r="F1719" i="1" s="1"/>
  <c r="H1719" i="1" s="1"/>
  <c r="G1720" i="1"/>
  <c r="F1720" i="1" s="1"/>
  <c r="H1720" i="1" s="1"/>
  <c r="G1721" i="1"/>
  <c r="F1721" i="1" s="1"/>
  <c r="H1721" i="1" s="1"/>
  <c r="G1722" i="1"/>
  <c r="F1722" i="1" s="1"/>
  <c r="H1722" i="1" s="1"/>
  <c r="G1723" i="1"/>
  <c r="F1723" i="1" s="1"/>
  <c r="H1723" i="1" s="1"/>
  <c r="G1724" i="1"/>
  <c r="F1724" i="1" s="1"/>
  <c r="H1724" i="1" s="1"/>
  <c r="G1725" i="1"/>
  <c r="F1725" i="1" s="1"/>
  <c r="H1725" i="1" s="1"/>
  <c r="G1726" i="1"/>
  <c r="F1726" i="1" s="1"/>
  <c r="H1726" i="1" s="1"/>
  <c r="G1727" i="1"/>
  <c r="F1727" i="1" s="1"/>
  <c r="H1727" i="1" s="1"/>
  <c r="G1728" i="1"/>
  <c r="F1728" i="1" s="1"/>
  <c r="H1728" i="1" s="1"/>
  <c r="G1729" i="1"/>
  <c r="F1729" i="1" s="1"/>
  <c r="H1729" i="1" s="1"/>
  <c r="G1730" i="1"/>
  <c r="F1730" i="1" s="1"/>
  <c r="H1730" i="1" s="1"/>
  <c r="G1731" i="1"/>
  <c r="F1731" i="1" s="1"/>
  <c r="H1731" i="1" s="1"/>
  <c r="G1732" i="1"/>
  <c r="F1732" i="1" s="1"/>
  <c r="H1732" i="1" s="1"/>
  <c r="G1733" i="1"/>
  <c r="F1733" i="1" s="1"/>
  <c r="H1733" i="1" s="1"/>
  <c r="G1734" i="1"/>
  <c r="F1734" i="1" s="1"/>
  <c r="H1734" i="1" s="1"/>
  <c r="G1735" i="1"/>
  <c r="F1735" i="1" s="1"/>
  <c r="H1735" i="1" s="1"/>
  <c r="G1736" i="1"/>
  <c r="F1736" i="1" s="1"/>
  <c r="H1736" i="1" s="1"/>
  <c r="G1737" i="1"/>
  <c r="F1737" i="1" s="1"/>
  <c r="H1737" i="1" s="1"/>
  <c r="G1738" i="1"/>
  <c r="F1738" i="1" s="1"/>
  <c r="H1738" i="1" s="1"/>
  <c r="G1739" i="1"/>
  <c r="F1739" i="1" s="1"/>
  <c r="H1739" i="1" s="1"/>
  <c r="G1740" i="1"/>
  <c r="F1740" i="1" s="1"/>
  <c r="H1740" i="1" s="1"/>
  <c r="G1741" i="1"/>
  <c r="F1741" i="1" s="1"/>
  <c r="H1741" i="1" s="1"/>
  <c r="G1742" i="1"/>
  <c r="F1742" i="1" s="1"/>
  <c r="H1742" i="1" s="1"/>
  <c r="G1743" i="1"/>
  <c r="F1743" i="1" s="1"/>
  <c r="H1743" i="1" s="1"/>
  <c r="G1744" i="1"/>
  <c r="F1744" i="1" s="1"/>
  <c r="H1744" i="1" s="1"/>
  <c r="G1745" i="1"/>
  <c r="F1745" i="1" s="1"/>
  <c r="H1745" i="1" s="1"/>
  <c r="G1746" i="1"/>
  <c r="F1746" i="1" s="1"/>
  <c r="H1746" i="1" s="1"/>
  <c r="G1747" i="1"/>
  <c r="F1747" i="1" s="1"/>
  <c r="H1747" i="1" s="1"/>
  <c r="G1748" i="1"/>
  <c r="F1748" i="1" s="1"/>
  <c r="H1748" i="1" s="1"/>
  <c r="G1749" i="1"/>
  <c r="F1749" i="1" s="1"/>
  <c r="H1749" i="1" s="1"/>
  <c r="G1750" i="1"/>
  <c r="F1750" i="1" s="1"/>
  <c r="H1750" i="1" s="1"/>
  <c r="G1751" i="1"/>
  <c r="F1751" i="1" s="1"/>
  <c r="H1751" i="1" s="1"/>
  <c r="G1752" i="1"/>
  <c r="F1752" i="1" s="1"/>
  <c r="H1752" i="1" s="1"/>
  <c r="G1753" i="1"/>
  <c r="F1753" i="1" s="1"/>
  <c r="H1753" i="1" s="1"/>
  <c r="G1754" i="1"/>
  <c r="F1754" i="1" s="1"/>
  <c r="H1754" i="1" s="1"/>
  <c r="G1755" i="1"/>
  <c r="F1755" i="1" s="1"/>
  <c r="H1755" i="1" s="1"/>
  <c r="G1756" i="1"/>
  <c r="F1756" i="1" s="1"/>
  <c r="H1756" i="1" s="1"/>
  <c r="G1757" i="1"/>
  <c r="F1757" i="1" s="1"/>
  <c r="H1757" i="1" s="1"/>
  <c r="G1758" i="1"/>
  <c r="F1758" i="1" s="1"/>
  <c r="H1758" i="1" s="1"/>
  <c r="G1759" i="1"/>
  <c r="F1759" i="1" s="1"/>
  <c r="H1759" i="1" s="1"/>
  <c r="G1760" i="1"/>
  <c r="F1760" i="1" s="1"/>
  <c r="H1760" i="1" s="1"/>
  <c r="G1761" i="1"/>
  <c r="F1761" i="1" s="1"/>
  <c r="H1761" i="1" s="1"/>
  <c r="G1762" i="1"/>
  <c r="F1762" i="1" s="1"/>
  <c r="H1762" i="1" s="1"/>
  <c r="G1763" i="1"/>
  <c r="F1763" i="1" s="1"/>
  <c r="H1763" i="1" s="1"/>
  <c r="G1764" i="1"/>
  <c r="F1764" i="1" s="1"/>
  <c r="H1764" i="1" s="1"/>
  <c r="G1765" i="1"/>
  <c r="F1765" i="1" s="1"/>
  <c r="H1765" i="1" s="1"/>
  <c r="G1766" i="1"/>
  <c r="F1766" i="1" s="1"/>
  <c r="H1766" i="1" s="1"/>
  <c r="G1767" i="1"/>
  <c r="F1767" i="1" s="1"/>
  <c r="H1767" i="1" s="1"/>
  <c r="G1768" i="1"/>
  <c r="F1768" i="1" s="1"/>
  <c r="H1768" i="1" s="1"/>
  <c r="G1769" i="1"/>
  <c r="F1769" i="1" s="1"/>
  <c r="H1769" i="1" s="1"/>
  <c r="G1770" i="1"/>
  <c r="F1770" i="1" s="1"/>
  <c r="H1770" i="1" s="1"/>
  <c r="G1771" i="1"/>
  <c r="F1771" i="1" s="1"/>
  <c r="H1771" i="1" s="1"/>
  <c r="G1772" i="1"/>
  <c r="F1772" i="1" s="1"/>
  <c r="H1772" i="1" s="1"/>
  <c r="G1773" i="1"/>
  <c r="F1773" i="1" s="1"/>
  <c r="H1773" i="1" s="1"/>
  <c r="G1774" i="1"/>
  <c r="F1774" i="1" s="1"/>
  <c r="H1774" i="1" s="1"/>
  <c r="G1775" i="1"/>
  <c r="F1775" i="1" s="1"/>
  <c r="H1775" i="1" s="1"/>
  <c r="G1776" i="1"/>
  <c r="F1776" i="1" s="1"/>
  <c r="H1776" i="1" s="1"/>
  <c r="G1777" i="1"/>
  <c r="F1777" i="1" s="1"/>
  <c r="H1777" i="1" s="1"/>
  <c r="G1778" i="1"/>
  <c r="F1778" i="1" s="1"/>
  <c r="H1778" i="1" s="1"/>
  <c r="G1779" i="1"/>
  <c r="F1779" i="1" s="1"/>
  <c r="H1779" i="1" s="1"/>
  <c r="G1780" i="1"/>
  <c r="F1780" i="1" s="1"/>
  <c r="H1780" i="1" s="1"/>
  <c r="G1781" i="1"/>
  <c r="F1781" i="1" s="1"/>
  <c r="H1781" i="1" s="1"/>
  <c r="G1782" i="1"/>
  <c r="F1782" i="1" s="1"/>
  <c r="H1782" i="1" s="1"/>
  <c r="G1783" i="1"/>
  <c r="F1783" i="1" s="1"/>
  <c r="H1783" i="1" s="1"/>
  <c r="G1784" i="1"/>
  <c r="F1784" i="1" s="1"/>
  <c r="H1784" i="1" s="1"/>
  <c r="G1785" i="1"/>
  <c r="F1785" i="1" s="1"/>
  <c r="H1785" i="1" s="1"/>
  <c r="G1786" i="1"/>
  <c r="F1786" i="1" s="1"/>
  <c r="H1786" i="1" s="1"/>
  <c r="G1787" i="1"/>
  <c r="F1787" i="1" s="1"/>
  <c r="H1787" i="1" s="1"/>
  <c r="G1788" i="1"/>
  <c r="F1788" i="1" s="1"/>
  <c r="H1788" i="1" s="1"/>
  <c r="G1789" i="1"/>
  <c r="F1789" i="1" s="1"/>
  <c r="H1789" i="1" s="1"/>
  <c r="G1790" i="1"/>
  <c r="F1790" i="1" s="1"/>
  <c r="H1790" i="1" s="1"/>
  <c r="G1791" i="1"/>
  <c r="F1791" i="1" s="1"/>
  <c r="H1791" i="1" s="1"/>
  <c r="G1792" i="1"/>
  <c r="F1792" i="1" s="1"/>
  <c r="H1792" i="1" s="1"/>
  <c r="G1793" i="1"/>
  <c r="F1793" i="1" s="1"/>
  <c r="H1793" i="1" s="1"/>
  <c r="G1794" i="1"/>
  <c r="F1794" i="1" s="1"/>
  <c r="H1794" i="1" s="1"/>
  <c r="G1795" i="1"/>
  <c r="F1795" i="1" s="1"/>
  <c r="H1795" i="1" s="1"/>
  <c r="G1796" i="1"/>
  <c r="F1796" i="1" s="1"/>
  <c r="H1796" i="1" s="1"/>
  <c r="G1797" i="1"/>
  <c r="F1797" i="1" s="1"/>
  <c r="H1797" i="1" s="1"/>
  <c r="G1798" i="1"/>
  <c r="F1798" i="1" s="1"/>
  <c r="H1798" i="1" s="1"/>
  <c r="G1799" i="1"/>
  <c r="F1799" i="1" s="1"/>
  <c r="H1799" i="1" s="1"/>
  <c r="G1800" i="1"/>
  <c r="F1800" i="1" s="1"/>
  <c r="H1800" i="1" s="1"/>
  <c r="G1801" i="1"/>
  <c r="F1801" i="1" s="1"/>
  <c r="H1801" i="1" s="1"/>
  <c r="G1802" i="1"/>
  <c r="F1802" i="1" s="1"/>
  <c r="H1802" i="1" s="1"/>
  <c r="G1803" i="1"/>
  <c r="F1803" i="1" s="1"/>
  <c r="H1803" i="1" s="1"/>
  <c r="G1804" i="1"/>
  <c r="F1804" i="1" s="1"/>
  <c r="H1804" i="1" s="1"/>
  <c r="G1805" i="1"/>
  <c r="F1805" i="1" s="1"/>
  <c r="H1805" i="1" s="1"/>
  <c r="G1806" i="1"/>
  <c r="F1806" i="1" s="1"/>
  <c r="H1806" i="1" s="1"/>
  <c r="G1807" i="1"/>
  <c r="F1807" i="1" s="1"/>
  <c r="H1807" i="1" s="1"/>
  <c r="G1808" i="1"/>
  <c r="F1808" i="1" s="1"/>
  <c r="H1808" i="1" s="1"/>
  <c r="G1809" i="1"/>
  <c r="F1809" i="1" s="1"/>
  <c r="H1809" i="1" s="1"/>
  <c r="G1810" i="1"/>
  <c r="F1810" i="1" s="1"/>
  <c r="H1810" i="1" s="1"/>
  <c r="G1811" i="1"/>
  <c r="F1811" i="1" s="1"/>
  <c r="H1811" i="1" s="1"/>
  <c r="G1812" i="1"/>
  <c r="F1812" i="1" s="1"/>
  <c r="H1812" i="1" s="1"/>
  <c r="G1813" i="1"/>
  <c r="F1813" i="1" s="1"/>
  <c r="H1813" i="1" s="1"/>
  <c r="G1814" i="1"/>
  <c r="F1814" i="1" s="1"/>
  <c r="H1814" i="1" s="1"/>
  <c r="G1815" i="1"/>
  <c r="F1815" i="1" s="1"/>
  <c r="H1815" i="1" s="1"/>
  <c r="G1816" i="1"/>
  <c r="F1816" i="1" s="1"/>
  <c r="H1816" i="1" s="1"/>
  <c r="G1817" i="1"/>
  <c r="F1817" i="1" s="1"/>
  <c r="H1817" i="1" s="1"/>
  <c r="G1818" i="1"/>
  <c r="F1818" i="1" s="1"/>
  <c r="H1818" i="1" s="1"/>
  <c r="G1819" i="1"/>
  <c r="F1819" i="1" s="1"/>
  <c r="H1819" i="1" s="1"/>
  <c r="G1820" i="1"/>
  <c r="F1820" i="1" s="1"/>
  <c r="H1820" i="1" s="1"/>
  <c r="G1821" i="1"/>
  <c r="F1821" i="1" s="1"/>
  <c r="H1821" i="1" s="1"/>
  <c r="G1822" i="1"/>
  <c r="F1822" i="1" s="1"/>
  <c r="H1822" i="1" s="1"/>
  <c r="G1823" i="1"/>
  <c r="F1823" i="1" s="1"/>
  <c r="H1823" i="1" s="1"/>
  <c r="G1824" i="1"/>
  <c r="F1824" i="1" s="1"/>
  <c r="H1824" i="1" s="1"/>
  <c r="G1825" i="1"/>
  <c r="F1825" i="1" s="1"/>
  <c r="H1825" i="1" s="1"/>
  <c r="G1826" i="1"/>
  <c r="F1826" i="1" s="1"/>
  <c r="H1826" i="1" s="1"/>
  <c r="G1827" i="1"/>
  <c r="F1827" i="1" s="1"/>
  <c r="H1827" i="1" s="1"/>
  <c r="G1828" i="1"/>
  <c r="F1828" i="1" s="1"/>
  <c r="H1828" i="1" s="1"/>
  <c r="G1829" i="1"/>
  <c r="F1829" i="1" s="1"/>
  <c r="H1829" i="1" s="1"/>
  <c r="G1830" i="1"/>
  <c r="F1830" i="1" s="1"/>
  <c r="H1830" i="1" s="1"/>
  <c r="G1831" i="1"/>
  <c r="F1831" i="1" s="1"/>
  <c r="H1831" i="1" s="1"/>
  <c r="G1832" i="1"/>
  <c r="F1832" i="1" s="1"/>
  <c r="H1832" i="1" s="1"/>
  <c r="G1833" i="1"/>
  <c r="F1833" i="1" s="1"/>
  <c r="H1833" i="1" s="1"/>
  <c r="G1834" i="1"/>
  <c r="F1834" i="1" s="1"/>
  <c r="H1834" i="1" s="1"/>
  <c r="G1835" i="1"/>
  <c r="F1835" i="1" s="1"/>
  <c r="H1835" i="1" s="1"/>
  <c r="G1836" i="1"/>
  <c r="F1836" i="1" s="1"/>
  <c r="H1836" i="1" s="1"/>
  <c r="G1837" i="1"/>
  <c r="F1837" i="1" s="1"/>
  <c r="H1837" i="1" s="1"/>
  <c r="G1838" i="1"/>
  <c r="F1838" i="1" s="1"/>
  <c r="H1838" i="1" s="1"/>
  <c r="G1839" i="1"/>
  <c r="F1839" i="1" s="1"/>
  <c r="H1839" i="1" s="1"/>
  <c r="G1840" i="1"/>
  <c r="F1840" i="1" s="1"/>
  <c r="H1840" i="1" s="1"/>
  <c r="G1841" i="1"/>
  <c r="F1841" i="1" s="1"/>
  <c r="H1841" i="1" s="1"/>
  <c r="G1842" i="1"/>
  <c r="F1842" i="1" s="1"/>
  <c r="H1842" i="1" s="1"/>
  <c r="G1843" i="1"/>
  <c r="F1843" i="1" s="1"/>
  <c r="H1843" i="1" s="1"/>
  <c r="G1844" i="1"/>
  <c r="F1844" i="1" s="1"/>
  <c r="H1844" i="1" s="1"/>
  <c r="G1845" i="1"/>
  <c r="F1845" i="1" s="1"/>
  <c r="H1845" i="1" s="1"/>
  <c r="G1846" i="1"/>
  <c r="F1846" i="1" s="1"/>
  <c r="H1846" i="1" s="1"/>
  <c r="G1847" i="1"/>
  <c r="F1847" i="1" s="1"/>
  <c r="H1847" i="1" s="1"/>
  <c r="G1848" i="1"/>
  <c r="F1848" i="1" s="1"/>
  <c r="H1848" i="1" s="1"/>
  <c r="G1849" i="1"/>
  <c r="F1849" i="1" s="1"/>
  <c r="H1849" i="1" s="1"/>
  <c r="G1850" i="1"/>
  <c r="F1850" i="1" s="1"/>
  <c r="H1850" i="1" s="1"/>
  <c r="G1851" i="1"/>
  <c r="F1851" i="1" s="1"/>
  <c r="H1851" i="1" s="1"/>
  <c r="G1852" i="1"/>
  <c r="F1852" i="1" s="1"/>
  <c r="H1852" i="1" s="1"/>
  <c r="G1853" i="1"/>
  <c r="F1853" i="1" s="1"/>
  <c r="H1853" i="1" s="1"/>
  <c r="G1854" i="1"/>
  <c r="F1854" i="1" s="1"/>
  <c r="H1854" i="1" s="1"/>
  <c r="G1855" i="1"/>
  <c r="F1855" i="1" s="1"/>
  <c r="H1855" i="1" s="1"/>
  <c r="G1856" i="1"/>
  <c r="F1856" i="1" s="1"/>
  <c r="H1856" i="1" s="1"/>
  <c r="G1857" i="1"/>
  <c r="F1857" i="1" s="1"/>
  <c r="H1857" i="1" s="1"/>
  <c r="G1858" i="1"/>
  <c r="F1858" i="1" s="1"/>
  <c r="H1858" i="1" s="1"/>
  <c r="G1859" i="1"/>
  <c r="F1859" i="1" s="1"/>
  <c r="H1859" i="1" s="1"/>
  <c r="G1860" i="1"/>
  <c r="F1860" i="1" s="1"/>
  <c r="H1860" i="1" s="1"/>
  <c r="G1861" i="1"/>
  <c r="F1861" i="1" s="1"/>
  <c r="H1861" i="1" s="1"/>
  <c r="G1862" i="1"/>
  <c r="F1862" i="1" s="1"/>
  <c r="H1862" i="1" s="1"/>
  <c r="G1863" i="1"/>
  <c r="F1863" i="1" s="1"/>
  <c r="H1863" i="1" s="1"/>
  <c r="G1864" i="1"/>
  <c r="F1864" i="1" s="1"/>
  <c r="H1864" i="1" s="1"/>
  <c r="G1865" i="1"/>
  <c r="F1865" i="1" s="1"/>
  <c r="H1865" i="1" s="1"/>
  <c r="G1866" i="1"/>
  <c r="F1866" i="1" s="1"/>
  <c r="H1866" i="1" s="1"/>
  <c r="G1867" i="1"/>
  <c r="F1867" i="1" s="1"/>
  <c r="H1867" i="1" s="1"/>
  <c r="G1868" i="1"/>
  <c r="F1868" i="1" s="1"/>
  <c r="H1868" i="1" s="1"/>
  <c r="G1869" i="1"/>
  <c r="F1869" i="1" s="1"/>
  <c r="H1869" i="1" s="1"/>
  <c r="G1870" i="1"/>
  <c r="F1870" i="1" s="1"/>
  <c r="H1870" i="1" s="1"/>
  <c r="G1871" i="1"/>
  <c r="F1871" i="1" s="1"/>
  <c r="H1871" i="1" s="1"/>
  <c r="G1872" i="1"/>
  <c r="F1872" i="1" s="1"/>
  <c r="H1872" i="1" s="1"/>
  <c r="G1873" i="1"/>
  <c r="F1873" i="1" s="1"/>
  <c r="H1873" i="1" s="1"/>
  <c r="G1874" i="1"/>
  <c r="F1874" i="1" s="1"/>
  <c r="H1874" i="1" s="1"/>
  <c r="G1875" i="1"/>
  <c r="F1875" i="1" s="1"/>
  <c r="H1875" i="1" s="1"/>
  <c r="G1876" i="1"/>
  <c r="F1876" i="1" s="1"/>
  <c r="H1876" i="1" s="1"/>
  <c r="G1877" i="1"/>
  <c r="F1877" i="1" s="1"/>
  <c r="H1877" i="1" s="1"/>
  <c r="G1878" i="1"/>
  <c r="F1878" i="1" s="1"/>
  <c r="H1878" i="1" s="1"/>
  <c r="G1879" i="1"/>
  <c r="F1879" i="1" s="1"/>
  <c r="H1879" i="1" s="1"/>
  <c r="G1880" i="1"/>
  <c r="F1880" i="1" s="1"/>
  <c r="H1880" i="1" s="1"/>
  <c r="G1881" i="1"/>
  <c r="F1881" i="1" s="1"/>
  <c r="H1881" i="1" s="1"/>
  <c r="G1882" i="1"/>
  <c r="F1882" i="1" s="1"/>
  <c r="H1882" i="1" s="1"/>
  <c r="G1883" i="1"/>
  <c r="F1883" i="1" s="1"/>
  <c r="H1883" i="1" s="1"/>
  <c r="G1884" i="1"/>
  <c r="F1884" i="1" s="1"/>
  <c r="H1884" i="1" s="1"/>
  <c r="G1885" i="1"/>
  <c r="F1885" i="1" s="1"/>
  <c r="H1885" i="1" s="1"/>
  <c r="G1886" i="1"/>
  <c r="F1886" i="1" s="1"/>
  <c r="H1886" i="1" s="1"/>
  <c r="G1887" i="1"/>
  <c r="F1887" i="1" s="1"/>
  <c r="H1887" i="1" s="1"/>
  <c r="G1888" i="1"/>
  <c r="F1888" i="1" s="1"/>
  <c r="H1888" i="1" s="1"/>
  <c r="G1889" i="1"/>
  <c r="F1889" i="1" s="1"/>
  <c r="H1889" i="1" s="1"/>
  <c r="G1890" i="1"/>
  <c r="F1890" i="1" s="1"/>
  <c r="H1890" i="1" s="1"/>
  <c r="G1891" i="1"/>
  <c r="F1891" i="1" s="1"/>
  <c r="H1891" i="1" s="1"/>
  <c r="G1892" i="1"/>
  <c r="F1892" i="1" s="1"/>
  <c r="H1892" i="1" s="1"/>
  <c r="G1893" i="1"/>
  <c r="F1893" i="1" s="1"/>
  <c r="H1893" i="1" s="1"/>
  <c r="G1894" i="1"/>
  <c r="F1894" i="1" s="1"/>
  <c r="H1894" i="1" s="1"/>
  <c r="G1895" i="1"/>
  <c r="F1895" i="1" s="1"/>
  <c r="H1895" i="1" s="1"/>
  <c r="G1896" i="1"/>
  <c r="F1896" i="1" s="1"/>
  <c r="H1896" i="1" s="1"/>
  <c r="G1897" i="1"/>
  <c r="F1897" i="1" s="1"/>
  <c r="H1897" i="1" s="1"/>
  <c r="G1898" i="1"/>
  <c r="F1898" i="1" s="1"/>
  <c r="H1898" i="1" s="1"/>
  <c r="G1899" i="1"/>
  <c r="F1899" i="1" s="1"/>
  <c r="H1899" i="1" s="1"/>
  <c r="G1900" i="1"/>
  <c r="F1900" i="1" s="1"/>
  <c r="H1900" i="1" s="1"/>
  <c r="G1901" i="1"/>
  <c r="F1901" i="1" s="1"/>
  <c r="H1901" i="1" s="1"/>
  <c r="G1902" i="1"/>
  <c r="F1902" i="1" s="1"/>
  <c r="H1902" i="1" s="1"/>
  <c r="G1903" i="1"/>
  <c r="F1903" i="1" s="1"/>
  <c r="H1903" i="1" s="1"/>
  <c r="G1904" i="1"/>
  <c r="F1904" i="1" s="1"/>
  <c r="H1904" i="1" s="1"/>
  <c r="G1905" i="1"/>
  <c r="F1905" i="1" s="1"/>
  <c r="H1905" i="1" s="1"/>
  <c r="G1906" i="1"/>
  <c r="F1906" i="1" s="1"/>
  <c r="H1906" i="1" s="1"/>
  <c r="G1907" i="1"/>
  <c r="F1907" i="1" s="1"/>
  <c r="H1907" i="1" s="1"/>
  <c r="G1908" i="1"/>
  <c r="F1908" i="1" s="1"/>
  <c r="H1908" i="1" s="1"/>
  <c r="G1909" i="1"/>
  <c r="F1909" i="1" s="1"/>
  <c r="H1909" i="1" s="1"/>
  <c r="G1910" i="1"/>
  <c r="F1910" i="1" s="1"/>
  <c r="H1910" i="1" s="1"/>
  <c r="G1911" i="1"/>
  <c r="F1911" i="1" s="1"/>
  <c r="H1911" i="1" s="1"/>
  <c r="G1912" i="1"/>
  <c r="F1912" i="1" s="1"/>
  <c r="H1912" i="1" s="1"/>
  <c r="G1913" i="1"/>
  <c r="F1913" i="1" s="1"/>
  <c r="H1913" i="1" s="1"/>
  <c r="G1914" i="1"/>
  <c r="F1914" i="1" s="1"/>
  <c r="H1914" i="1" s="1"/>
  <c r="G1915" i="1"/>
  <c r="F1915" i="1" s="1"/>
  <c r="H1915" i="1" s="1"/>
  <c r="G1916" i="1"/>
  <c r="F1916" i="1" s="1"/>
  <c r="H1916" i="1" s="1"/>
  <c r="G1917" i="1"/>
  <c r="F1917" i="1" s="1"/>
  <c r="H1917" i="1" s="1"/>
  <c r="G1918" i="1"/>
  <c r="F1918" i="1" s="1"/>
  <c r="H1918" i="1" s="1"/>
  <c r="G1919" i="1"/>
  <c r="F1919" i="1" s="1"/>
  <c r="H1919" i="1" s="1"/>
  <c r="G1920" i="1"/>
  <c r="F1920" i="1" s="1"/>
  <c r="H1920" i="1" s="1"/>
  <c r="G1921" i="1"/>
  <c r="F1921" i="1" s="1"/>
  <c r="H1921" i="1" s="1"/>
  <c r="G1922" i="1"/>
  <c r="F1922" i="1" s="1"/>
  <c r="H1922" i="1" s="1"/>
  <c r="G1923" i="1"/>
  <c r="F1923" i="1" s="1"/>
  <c r="H1923" i="1" s="1"/>
  <c r="G1924" i="1"/>
  <c r="F1924" i="1" s="1"/>
  <c r="H1924" i="1" s="1"/>
  <c r="G1925" i="1"/>
  <c r="F1925" i="1" s="1"/>
  <c r="H1925" i="1" s="1"/>
  <c r="G1926" i="1"/>
  <c r="F1926" i="1" s="1"/>
  <c r="H1926" i="1" s="1"/>
  <c r="G1927" i="1"/>
  <c r="F1927" i="1" s="1"/>
  <c r="H1927" i="1" s="1"/>
  <c r="G1928" i="1"/>
  <c r="F1928" i="1" s="1"/>
  <c r="H1928" i="1" s="1"/>
  <c r="G1929" i="1"/>
  <c r="F1929" i="1" s="1"/>
  <c r="H1929" i="1" s="1"/>
  <c r="G1930" i="1"/>
  <c r="F1930" i="1" s="1"/>
  <c r="H1930" i="1" s="1"/>
  <c r="G1931" i="1"/>
  <c r="F1931" i="1" s="1"/>
  <c r="H1931" i="1" s="1"/>
  <c r="G1932" i="1"/>
  <c r="F1932" i="1" s="1"/>
  <c r="H1932" i="1" s="1"/>
  <c r="G1933" i="1"/>
  <c r="F1933" i="1" s="1"/>
  <c r="H1933" i="1" s="1"/>
  <c r="G1934" i="1"/>
  <c r="F1934" i="1" s="1"/>
  <c r="H1934" i="1" s="1"/>
  <c r="G1935" i="1"/>
  <c r="F1935" i="1" s="1"/>
  <c r="H1935" i="1" s="1"/>
  <c r="G1936" i="1"/>
  <c r="F1936" i="1" s="1"/>
  <c r="H1936" i="1" s="1"/>
  <c r="G1937" i="1"/>
  <c r="F1937" i="1" s="1"/>
  <c r="H1937" i="1" s="1"/>
  <c r="G1938" i="1"/>
  <c r="F1938" i="1" s="1"/>
  <c r="H1938" i="1" s="1"/>
  <c r="G1939" i="1"/>
  <c r="F1939" i="1" s="1"/>
  <c r="H1939" i="1" s="1"/>
  <c r="G1940" i="1"/>
  <c r="F1940" i="1" s="1"/>
  <c r="H1940" i="1" s="1"/>
  <c r="G1941" i="1"/>
  <c r="F1941" i="1" s="1"/>
  <c r="H1941" i="1" s="1"/>
  <c r="G1942" i="1"/>
  <c r="F1942" i="1" s="1"/>
  <c r="H1942" i="1" s="1"/>
  <c r="G1943" i="1"/>
  <c r="F1943" i="1" s="1"/>
  <c r="H1943" i="1" s="1"/>
  <c r="G1944" i="1"/>
  <c r="F1944" i="1" s="1"/>
  <c r="H1944" i="1" s="1"/>
  <c r="G1945" i="1"/>
  <c r="F1945" i="1" s="1"/>
  <c r="H1945" i="1" s="1"/>
  <c r="G1946" i="1"/>
  <c r="F1946" i="1" s="1"/>
  <c r="H1946" i="1" s="1"/>
  <c r="G1947" i="1"/>
  <c r="F1947" i="1" s="1"/>
  <c r="H1947" i="1" s="1"/>
  <c r="G1948" i="1"/>
  <c r="F1948" i="1" s="1"/>
  <c r="H1948" i="1" s="1"/>
  <c r="G1949" i="1"/>
  <c r="F1949" i="1" s="1"/>
  <c r="H1949" i="1" s="1"/>
  <c r="G1950" i="1"/>
  <c r="F1950" i="1" s="1"/>
  <c r="H1950" i="1" s="1"/>
  <c r="G1951" i="1"/>
  <c r="F1951" i="1" s="1"/>
  <c r="H1951" i="1" s="1"/>
  <c r="G1952" i="1"/>
  <c r="F1952" i="1" s="1"/>
  <c r="H1952" i="1" s="1"/>
  <c r="G1953" i="1"/>
  <c r="F1953" i="1" s="1"/>
  <c r="H1953" i="1" s="1"/>
  <c r="G1954" i="1"/>
  <c r="F1954" i="1" s="1"/>
  <c r="H1954" i="1" s="1"/>
  <c r="G1955" i="1"/>
  <c r="F1955" i="1" s="1"/>
  <c r="H1955" i="1" s="1"/>
  <c r="G1956" i="1"/>
  <c r="F1956" i="1" s="1"/>
  <c r="H1956" i="1" s="1"/>
  <c r="G1957" i="1"/>
  <c r="F1957" i="1" s="1"/>
  <c r="H1957" i="1" s="1"/>
  <c r="G1958" i="1"/>
  <c r="F1958" i="1" s="1"/>
  <c r="H1958" i="1" s="1"/>
  <c r="G1959" i="1"/>
  <c r="F1959" i="1" s="1"/>
  <c r="H1959" i="1" s="1"/>
  <c r="G1960" i="1"/>
  <c r="F1960" i="1" s="1"/>
  <c r="H1960" i="1" s="1"/>
  <c r="G1961" i="1"/>
  <c r="F1961" i="1" s="1"/>
  <c r="H1961" i="1" s="1"/>
  <c r="G1962" i="1"/>
  <c r="F1962" i="1" s="1"/>
  <c r="H1962" i="1" s="1"/>
  <c r="G1963" i="1"/>
  <c r="F1963" i="1" s="1"/>
  <c r="H1963" i="1" s="1"/>
  <c r="G1964" i="1"/>
  <c r="F1964" i="1" s="1"/>
  <c r="H1964" i="1" s="1"/>
  <c r="G1965" i="1"/>
  <c r="F1965" i="1" s="1"/>
  <c r="H1965" i="1" s="1"/>
  <c r="G1966" i="1"/>
  <c r="F1966" i="1" s="1"/>
  <c r="H1966" i="1" s="1"/>
  <c r="G1967" i="1"/>
  <c r="F1967" i="1" s="1"/>
  <c r="H1967" i="1" s="1"/>
  <c r="G1968" i="1"/>
  <c r="F1968" i="1" s="1"/>
  <c r="H1968" i="1" s="1"/>
  <c r="G1969" i="1"/>
  <c r="F1969" i="1" s="1"/>
  <c r="H1969" i="1" s="1"/>
  <c r="G1970" i="1"/>
  <c r="F1970" i="1" s="1"/>
  <c r="H1970" i="1" s="1"/>
  <c r="G1971" i="1"/>
  <c r="F1971" i="1" s="1"/>
  <c r="H1971" i="1" s="1"/>
  <c r="G1972" i="1"/>
  <c r="F1972" i="1" s="1"/>
  <c r="H1972" i="1" s="1"/>
  <c r="G1973" i="1"/>
  <c r="F1973" i="1" s="1"/>
  <c r="H1973" i="1" s="1"/>
  <c r="G1974" i="1"/>
  <c r="F1974" i="1" s="1"/>
  <c r="H1974" i="1" s="1"/>
  <c r="G1975" i="1"/>
  <c r="F1975" i="1" s="1"/>
  <c r="H1975" i="1" s="1"/>
  <c r="G1976" i="1"/>
  <c r="F1976" i="1" s="1"/>
  <c r="H1976" i="1" s="1"/>
  <c r="G1977" i="1"/>
  <c r="F1977" i="1" s="1"/>
  <c r="H1977" i="1" s="1"/>
  <c r="G1978" i="1"/>
  <c r="F1978" i="1" s="1"/>
  <c r="H1978" i="1" s="1"/>
  <c r="G1979" i="1"/>
  <c r="F1979" i="1" s="1"/>
  <c r="H1979" i="1" s="1"/>
  <c r="G1980" i="1"/>
  <c r="F1980" i="1" s="1"/>
  <c r="H1980" i="1" s="1"/>
  <c r="G1981" i="1"/>
  <c r="F1981" i="1" s="1"/>
  <c r="H1981" i="1" s="1"/>
  <c r="G1982" i="1"/>
  <c r="F1982" i="1" s="1"/>
  <c r="H1982" i="1" s="1"/>
  <c r="G1983" i="1"/>
  <c r="F1983" i="1" s="1"/>
  <c r="H1983" i="1" s="1"/>
  <c r="G1984" i="1"/>
  <c r="F1984" i="1" s="1"/>
  <c r="H1984" i="1" s="1"/>
  <c r="G1985" i="1"/>
  <c r="F1985" i="1" s="1"/>
  <c r="H1985" i="1" s="1"/>
  <c r="G1986" i="1"/>
  <c r="F1986" i="1" s="1"/>
  <c r="H1986" i="1" s="1"/>
  <c r="G1987" i="1"/>
  <c r="F1987" i="1" s="1"/>
  <c r="H1987" i="1" s="1"/>
  <c r="G1988" i="1"/>
  <c r="F1988" i="1" s="1"/>
  <c r="H1988" i="1" s="1"/>
  <c r="G1989" i="1"/>
  <c r="F1989" i="1" s="1"/>
  <c r="H1989" i="1" s="1"/>
  <c r="G1990" i="1"/>
  <c r="F1990" i="1" s="1"/>
  <c r="H1990" i="1" s="1"/>
  <c r="G1991" i="1"/>
  <c r="F1991" i="1" s="1"/>
  <c r="H1991" i="1" s="1"/>
  <c r="G1992" i="1"/>
  <c r="F1992" i="1" s="1"/>
  <c r="H1992" i="1" s="1"/>
  <c r="G1993" i="1"/>
  <c r="F1993" i="1" s="1"/>
  <c r="H1993" i="1" s="1"/>
  <c r="G1994" i="1"/>
  <c r="F1994" i="1" s="1"/>
  <c r="H1994" i="1" s="1"/>
  <c r="G1995" i="1"/>
  <c r="F1995" i="1" s="1"/>
  <c r="H1995" i="1" s="1"/>
  <c r="G1996" i="1"/>
  <c r="F1996" i="1" s="1"/>
  <c r="H1996" i="1" s="1"/>
  <c r="G1997" i="1"/>
  <c r="F1997" i="1" s="1"/>
  <c r="H1997" i="1" s="1"/>
  <c r="G1998" i="1"/>
  <c r="F1998" i="1" s="1"/>
  <c r="H1998" i="1" s="1"/>
  <c r="G1999" i="1"/>
  <c r="F1999" i="1" s="1"/>
  <c r="H1999" i="1" s="1"/>
  <c r="G2000" i="1"/>
  <c r="F2000" i="1" s="1"/>
  <c r="H2000" i="1" s="1"/>
  <c r="G2001" i="1"/>
  <c r="F2001" i="1" s="1"/>
  <c r="H2001" i="1" s="1"/>
  <c r="G2002" i="1"/>
  <c r="F2002" i="1" s="1"/>
  <c r="H2002" i="1" s="1"/>
  <c r="G2003" i="1"/>
  <c r="F2003" i="1" s="1"/>
  <c r="H2003" i="1" s="1"/>
  <c r="G2004" i="1"/>
  <c r="F2004" i="1" s="1"/>
  <c r="H2004" i="1" s="1"/>
  <c r="G2005" i="1"/>
  <c r="F2005" i="1" s="1"/>
  <c r="H2005" i="1" s="1"/>
  <c r="G2006" i="1"/>
  <c r="F2006" i="1" s="1"/>
  <c r="H2006" i="1" s="1"/>
  <c r="G2007" i="1"/>
  <c r="F2007" i="1" s="1"/>
  <c r="H2007" i="1" s="1"/>
  <c r="G2008" i="1"/>
  <c r="F2008" i="1" s="1"/>
  <c r="H2008" i="1" s="1"/>
  <c r="G2009" i="1"/>
  <c r="F2009" i="1" s="1"/>
  <c r="H2009" i="1" s="1"/>
  <c r="G2010" i="1"/>
  <c r="F2010" i="1" s="1"/>
  <c r="H2010" i="1" s="1"/>
  <c r="G2011" i="1"/>
  <c r="F2011" i="1" s="1"/>
  <c r="H2011" i="1" s="1"/>
  <c r="G2012" i="1"/>
  <c r="F2012" i="1" s="1"/>
  <c r="H2012" i="1" s="1"/>
  <c r="G2013" i="1"/>
  <c r="F2013" i="1" s="1"/>
  <c r="H2013" i="1" s="1"/>
  <c r="G2014" i="1"/>
  <c r="F2014" i="1" s="1"/>
  <c r="H2014" i="1" s="1"/>
  <c r="G2015" i="1"/>
  <c r="F2015" i="1" s="1"/>
  <c r="H2015" i="1" s="1"/>
  <c r="G2016" i="1"/>
  <c r="F2016" i="1" s="1"/>
  <c r="H2016" i="1" s="1"/>
  <c r="G2017" i="1"/>
  <c r="F2017" i="1" s="1"/>
  <c r="H2017" i="1" s="1"/>
  <c r="G2018" i="1"/>
  <c r="F2018" i="1" s="1"/>
  <c r="H2018" i="1" s="1"/>
  <c r="G2019" i="1"/>
  <c r="F2019" i="1" s="1"/>
  <c r="H2019" i="1" s="1"/>
  <c r="G2020" i="1"/>
  <c r="F2020" i="1" s="1"/>
  <c r="H2020" i="1" s="1"/>
  <c r="G2021" i="1"/>
  <c r="F2021" i="1" s="1"/>
  <c r="H2021" i="1" s="1"/>
  <c r="G2022" i="1"/>
  <c r="F2022" i="1" s="1"/>
  <c r="H2022" i="1" s="1"/>
  <c r="G2023" i="1"/>
  <c r="F2023" i="1" s="1"/>
  <c r="H2023" i="1" s="1"/>
  <c r="G2024" i="1"/>
  <c r="F2024" i="1" s="1"/>
  <c r="H2024" i="1" s="1"/>
  <c r="G2025" i="1"/>
  <c r="F2025" i="1" s="1"/>
  <c r="H2025" i="1" s="1"/>
  <c r="G2026" i="1"/>
  <c r="F2026" i="1" s="1"/>
  <c r="H2026" i="1" s="1"/>
  <c r="G2027" i="1"/>
  <c r="F2027" i="1" s="1"/>
  <c r="H2027" i="1" s="1"/>
  <c r="G2028" i="1"/>
  <c r="F2028" i="1" s="1"/>
  <c r="H2028" i="1" s="1"/>
  <c r="G2029" i="1"/>
  <c r="F2029" i="1" s="1"/>
  <c r="H2029" i="1" s="1"/>
  <c r="G2030" i="1"/>
  <c r="F2030" i="1" s="1"/>
  <c r="H2030" i="1" s="1"/>
  <c r="G2031" i="1"/>
  <c r="F2031" i="1" s="1"/>
  <c r="H2031" i="1" s="1"/>
  <c r="G2032" i="1"/>
  <c r="F2032" i="1" s="1"/>
  <c r="H2032" i="1" s="1"/>
  <c r="G2033" i="1"/>
  <c r="F2033" i="1" s="1"/>
  <c r="H2033" i="1" s="1"/>
  <c r="G2034" i="1"/>
  <c r="F2034" i="1" s="1"/>
  <c r="H2034" i="1" s="1"/>
  <c r="G2035" i="1"/>
  <c r="F2035" i="1" s="1"/>
  <c r="H2035" i="1" s="1"/>
  <c r="G2036" i="1"/>
  <c r="F2036" i="1" s="1"/>
  <c r="H2036" i="1" s="1"/>
  <c r="G2037" i="1"/>
  <c r="F2037" i="1" s="1"/>
  <c r="H2037" i="1" s="1"/>
  <c r="G2038" i="1"/>
  <c r="F2038" i="1" s="1"/>
  <c r="H2038" i="1" s="1"/>
  <c r="G2039" i="1"/>
  <c r="F2039" i="1" s="1"/>
  <c r="H2039" i="1" s="1"/>
  <c r="G2040" i="1"/>
  <c r="F2040" i="1" s="1"/>
  <c r="H2040" i="1" s="1"/>
  <c r="G2041" i="1"/>
  <c r="F2041" i="1" s="1"/>
  <c r="H2041" i="1" s="1"/>
  <c r="H1242" i="1"/>
  <c r="H1246" i="1"/>
  <c r="H1262" i="1"/>
  <c r="H1282" i="1"/>
  <c r="H1286" i="1"/>
  <c r="H1302" i="1"/>
  <c r="H1310" i="1"/>
  <c r="H1312" i="1"/>
  <c r="H1342" i="1"/>
  <c r="H1346" i="1"/>
  <c r="H1362" i="1"/>
  <c r="H1370" i="1"/>
  <c r="H1382" i="1"/>
  <c r="H1422" i="1"/>
  <c r="H1442" i="1"/>
  <c r="H1446" i="1"/>
  <c r="H1462" i="1"/>
  <c r="H1482" i="1"/>
  <c r="H1502" i="1"/>
  <c r="H1522" i="1"/>
  <c r="H1526" i="1"/>
  <c r="H1562" i="1"/>
  <c r="H1582" i="1"/>
  <c r="H1622" i="1"/>
  <c r="D1197" i="1" l="1"/>
  <c r="G1101" i="1"/>
  <c r="F1101" i="1" s="1"/>
  <c r="H1101" i="1" s="1"/>
  <c r="E1101" i="1"/>
  <c r="C1101" i="1"/>
  <c r="G1100" i="1"/>
  <c r="E1100" i="1"/>
  <c r="D1100" i="1"/>
  <c r="C1100" i="1"/>
  <c r="G1099" i="1"/>
  <c r="F1099" i="1" s="1"/>
  <c r="H1099" i="1" s="1"/>
  <c r="E1099" i="1"/>
  <c r="C1099" i="1"/>
  <c r="G1098" i="1"/>
  <c r="F1098" i="1" s="1"/>
  <c r="H1098" i="1" s="1"/>
  <c r="E1098" i="1"/>
  <c r="C1098" i="1"/>
  <c r="G1097" i="1"/>
  <c r="E1097" i="1"/>
  <c r="D1097" i="1"/>
  <c r="C1097" i="1"/>
  <c r="G1096" i="1"/>
  <c r="E1096" i="1"/>
  <c r="D1096" i="1"/>
  <c r="C1096" i="1"/>
  <c r="G1095" i="1"/>
  <c r="F1095" i="1" s="1"/>
  <c r="H1095" i="1" s="1"/>
  <c r="E1095" i="1"/>
  <c r="C1095" i="1"/>
  <c r="M1094" i="1"/>
  <c r="G1094" i="1" s="1"/>
  <c r="E1094" i="1"/>
  <c r="D1094" i="1"/>
  <c r="C1094" i="1"/>
  <c r="M1093" i="1"/>
  <c r="G1093" i="1" s="1"/>
  <c r="E1093" i="1"/>
  <c r="D1093" i="1"/>
  <c r="C1093" i="1"/>
  <c r="G1092" i="1"/>
  <c r="E1092" i="1"/>
  <c r="D1092" i="1"/>
  <c r="C1092" i="1"/>
  <c r="G1091" i="1"/>
  <c r="E1091" i="1"/>
  <c r="D1091" i="1"/>
  <c r="C1091" i="1"/>
  <c r="G1090" i="1"/>
  <c r="F1090" i="1" s="1"/>
  <c r="H1090" i="1" s="1"/>
  <c r="E1090" i="1"/>
  <c r="C1090" i="1"/>
  <c r="G1089" i="1"/>
  <c r="E1089" i="1"/>
  <c r="D1089" i="1"/>
  <c r="C1089" i="1"/>
  <c r="M1088" i="1"/>
  <c r="J1088" i="1"/>
  <c r="E1088" i="1"/>
  <c r="D1088" i="1"/>
  <c r="C1088" i="1"/>
  <c r="L1087" i="1"/>
  <c r="J1087" i="1"/>
  <c r="E1087" i="1"/>
  <c r="D1087" i="1"/>
  <c r="C1087" i="1"/>
  <c r="G1086" i="1"/>
  <c r="F1086" i="1" s="1"/>
  <c r="H1086" i="1" s="1"/>
  <c r="E1086" i="1"/>
  <c r="C1086" i="1"/>
  <c r="L1085" i="1"/>
  <c r="G1085" i="1" s="1"/>
  <c r="E1085" i="1"/>
  <c r="D1085" i="1"/>
  <c r="C1085" i="1"/>
  <c r="G1084" i="1"/>
  <c r="E1084" i="1"/>
  <c r="D1084" i="1"/>
  <c r="C1084" i="1"/>
  <c r="G1083" i="1"/>
  <c r="F1083" i="1" s="1"/>
  <c r="H1083" i="1" s="1"/>
  <c r="E1083" i="1"/>
  <c r="C1083" i="1"/>
  <c r="G1082" i="1"/>
  <c r="F1082" i="1" s="1"/>
  <c r="H1082" i="1" s="1"/>
  <c r="E1082" i="1"/>
  <c r="C1082" i="1"/>
  <c r="G1081" i="1"/>
  <c r="F1081" i="1" s="1"/>
  <c r="H1081" i="1" s="1"/>
  <c r="E1081" i="1"/>
  <c r="C1081" i="1"/>
  <c r="G1080" i="1"/>
  <c r="F1080" i="1" s="1"/>
  <c r="H1080" i="1" s="1"/>
  <c r="E1080" i="1"/>
  <c r="C1080" i="1"/>
  <c r="G1079" i="1"/>
  <c r="F1079" i="1" s="1"/>
  <c r="H1079" i="1" s="1"/>
  <c r="E1079" i="1"/>
  <c r="C1079" i="1"/>
  <c r="G1078" i="1"/>
  <c r="F1078" i="1" s="1"/>
  <c r="H1078" i="1" s="1"/>
  <c r="E1078" i="1"/>
  <c r="C1078" i="1"/>
  <c r="G1077" i="1"/>
  <c r="F1077" i="1" s="1"/>
  <c r="H1077" i="1" s="1"/>
  <c r="E1077" i="1"/>
  <c r="C1077" i="1"/>
  <c r="G1076" i="1"/>
  <c r="F1076" i="1" s="1"/>
  <c r="H1076" i="1" s="1"/>
  <c r="E1076" i="1"/>
  <c r="C1076" i="1"/>
  <c r="G1075" i="1"/>
  <c r="F1075" i="1" s="1"/>
  <c r="H1075" i="1" s="1"/>
  <c r="E1075" i="1"/>
  <c r="C1075" i="1"/>
  <c r="F1074" i="1"/>
  <c r="H1074" i="1" s="1"/>
  <c r="E1074" i="1"/>
  <c r="C1074" i="1"/>
  <c r="G1073" i="1"/>
  <c r="F1073" i="1" s="1"/>
  <c r="H1073" i="1" s="1"/>
  <c r="E1073" i="1"/>
  <c r="C1073" i="1"/>
  <c r="G1072" i="1"/>
  <c r="F1072" i="1" s="1"/>
  <c r="H1072" i="1" s="1"/>
  <c r="E1072" i="1"/>
  <c r="C1072" i="1"/>
  <c r="G1071" i="1"/>
  <c r="F1071" i="1" s="1"/>
  <c r="H1071" i="1" s="1"/>
  <c r="E1071" i="1"/>
  <c r="C1071" i="1"/>
  <c r="G1070" i="1"/>
  <c r="F1070" i="1" s="1"/>
  <c r="H1070" i="1" s="1"/>
  <c r="E1070" i="1"/>
  <c r="C1070" i="1"/>
  <c r="G1069" i="1"/>
  <c r="F1069" i="1" s="1"/>
  <c r="H1069" i="1" s="1"/>
  <c r="E1069" i="1"/>
  <c r="C1069" i="1"/>
  <c r="G1068" i="1"/>
  <c r="F1068" i="1" s="1"/>
  <c r="H1068" i="1" s="1"/>
  <c r="E1068" i="1"/>
  <c r="C1068" i="1"/>
  <c r="G1067" i="1"/>
  <c r="F1067" i="1" s="1"/>
  <c r="H1067" i="1" s="1"/>
  <c r="E1067" i="1"/>
  <c r="C1067" i="1"/>
  <c r="G1066" i="1"/>
  <c r="F1066" i="1" s="1"/>
  <c r="H1066" i="1" s="1"/>
  <c r="E1066" i="1"/>
  <c r="C1066" i="1"/>
  <c r="G1065" i="1"/>
  <c r="F1065" i="1" s="1"/>
  <c r="H1065" i="1" s="1"/>
  <c r="E1065" i="1"/>
  <c r="C1065" i="1"/>
  <c r="F1064" i="1"/>
  <c r="H1064" i="1" s="1"/>
  <c r="E1064" i="1"/>
  <c r="C1064" i="1"/>
  <c r="G1063" i="1"/>
  <c r="F1063" i="1" s="1"/>
  <c r="H1063" i="1" s="1"/>
  <c r="E1063" i="1"/>
  <c r="C1063" i="1"/>
  <c r="G1062" i="1"/>
  <c r="F1062" i="1" s="1"/>
  <c r="H1062" i="1" s="1"/>
  <c r="E1062" i="1"/>
  <c r="C1062" i="1"/>
  <c r="G1061" i="1"/>
  <c r="F1061" i="1" s="1"/>
  <c r="H1061" i="1" s="1"/>
  <c r="E1061" i="1"/>
  <c r="C1061" i="1"/>
  <c r="G1060" i="1"/>
  <c r="F1060" i="1" s="1"/>
  <c r="H1060" i="1" s="1"/>
  <c r="E1060" i="1"/>
  <c r="C1060" i="1"/>
  <c r="G1059" i="1"/>
  <c r="F1059" i="1" s="1"/>
  <c r="H1059" i="1" s="1"/>
  <c r="E1059" i="1"/>
  <c r="C1059" i="1"/>
  <c r="G1058" i="1"/>
  <c r="F1058" i="1" s="1"/>
  <c r="H1058" i="1" s="1"/>
  <c r="E1058" i="1"/>
  <c r="C1058" i="1"/>
  <c r="G1057" i="1"/>
  <c r="F1057" i="1" s="1"/>
  <c r="H1057" i="1" s="1"/>
  <c r="E1057" i="1"/>
  <c r="C1057" i="1"/>
  <c r="F1056" i="1"/>
  <c r="H1056" i="1" s="1"/>
  <c r="E1056" i="1"/>
  <c r="C1056" i="1"/>
  <c r="F1055" i="1"/>
  <c r="H1055" i="1" s="1"/>
  <c r="E1055" i="1"/>
  <c r="C1055" i="1"/>
  <c r="G1054" i="1"/>
  <c r="F1054" i="1" s="1"/>
  <c r="H1054" i="1" s="1"/>
  <c r="E1054" i="1"/>
  <c r="C1054" i="1"/>
  <c r="F1053" i="1"/>
  <c r="H1053" i="1" s="1"/>
  <c r="E1053" i="1"/>
  <c r="C1053" i="1"/>
  <c r="F1052" i="1"/>
  <c r="H1052" i="1" s="1"/>
  <c r="E1052" i="1"/>
  <c r="C1052" i="1"/>
  <c r="G1051" i="1"/>
  <c r="F1051" i="1" s="1"/>
  <c r="H1051" i="1" s="1"/>
  <c r="E1051" i="1"/>
  <c r="C1051" i="1"/>
  <c r="F1050" i="1"/>
  <c r="H1050" i="1" s="1"/>
  <c r="E1050" i="1"/>
  <c r="C1050" i="1"/>
  <c r="G1049" i="1"/>
  <c r="F1049" i="1" s="1"/>
  <c r="H1049" i="1" s="1"/>
  <c r="E1049" i="1"/>
  <c r="C1049" i="1"/>
  <c r="G1048" i="1"/>
  <c r="F1048" i="1" s="1"/>
  <c r="H1048" i="1" s="1"/>
  <c r="E1048" i="1"/>
  <c r="C1048" i="1"/>
  <c r="F1047" i="1"/>
  <c r="H1047" i="1" s="1"/>
  <c r="E1047" i="1"/>
  <c r="C1047" i="1"/>
  <c r="F1046" i="1"/>
  <c r="H1046" i="1" s="1"/>
  <c r="E1046" i="1"/>
  <c r="C1046" i="1"/>
  <c r="F1045" i="1"/>
  <c r="H1045" i="1" s="1"/>
  <c r="E1045" i="1"/>
  <c r="C1045" i="1"/>
  <c r="F1044" i="1"/>
  <c r="H1044" i="1" s="1"/>
  <c r="E1044" i="1"/>
  <c r="C1044" i="1"/>
  <c r="G1043" i="1"/>
  <c r="F1043" i="1" s="1"/>
  <c r="H1043" i="1" s="1"/>
  <c r="E1043" i="1"/>
  <c r="C1043" i="1"/>
  <c r="G1042" i="1"/>
  <c r="F1042" i="1" s="1"/>
  <c r="H1042" i="1" s="1"/>
  <c r="E1042" i="1"/>
  <c r="C1042" i="1"/>
  <c r="F1041" i="1"/>
  <c r="H1041" i="1" s="1"/>
  <c r="E1041" i="1"/>
  <c r="C1041" i="1"/>
  <c r="G1040" i="1"/>
  <c r="F1040" i="1" s="1"/>
  <c r="H1040" i="1" s="1"/>
  <c r="E1040" i="1"/>
  <c r="C1040" i="1"/>
  <c r="F1039" i="1"/>
  <c r="H1039" i="1" s="1"/>
  <c r="E1039" i="1"/>
  <c r="C1039" i="1"/>
  <c r="F1038" i="1"/>
  <c r="H1038" i="1" s="1"/>
  <c r="C1038" i="1"/>
  <c r="F1037" i="1"/>
  <c r="H1037" i="1" s="1"/>
  <c r="C1037" i="1"/>
  <c r="F1036" i="1"/>
  <c r="H1036" i="1" s="1"/>
  <c r="E1036" i="1"/>
  <c r="C1036" i="1"/>
  <c r="F1035" i="1"/>
  <c r="H1035" i="1" s="1"/>
  <c r="E1035" i="1"/>
  <c r="C1035" i="1"/>
  <c r="F1034" i="1"/>
  <c r="H1034" i="1" s="1"/>
  <c r="E1034" i="1"/>
  <c r="C1034" i="1"/>
  <c r="G1033" i="1"/>
  <c r="F1033" i="1" s="1"/>
  <c r="H1033" i="1" s="1"/>
  <c r="E1033" i="1"/>
  <c r="C1033" i="1"/>
  <c r="G1032" i="1"/>
  <c r="F1032" i="1" s="1"/>
  <c r="H1032" i="1" s="1"/>
  <c r="E1032" i="1"/>
  <c r="C1032" i="1"/>
  <c r="G1031" i="1"/>
  <c r="F1031" i="1" s="1"/>
  <c r="H1031" i="1" s="1"/>
  <c r="E1031" i="1"/>
  <c r="C1031" i="1"/>
  <c r="G1030" i="1"/>
  <c r="F1030" i="1" s="1"/>
  <c r="H1030" i="1" s="1"/>
  <c r="E1030" i="1"/>
  <c r="C1030" i="1"/>
  <c r="G1029" i="1"/>
  <c r="F1029" i="1" s="1"/>
  <c r="H1029" i="1" s="1"/>
  <c r="E1029" i="1"/>
  <c r="C1029" i="1"/>
  <c r="G1028" i="1"/>
  <c r="F1028" i="1" s="1"/>
  <c r="H1028" i="1" s="1"/>
  <c r="E1028" i="1"/>
  <c r="C1028" i="1"/>
  <c r="G1027" i="1"/>
  <c r="F1027" i="1" s="1"/>
  <c r="H1027" i="1" s="1"/>
  <c r="E1027" i="1"/>
  <c r="C1027" i="1"/>
  <c r="G1026" i="1"/>
  <c r="F1026" i="1" s="1"/>
  <c r="H1026" i="1" s="1"/>
  <c r="E1026" i="1"/>
  <c r="C1026" i="1"/>
  <c r="G1025" i="1"/>
  <c r="F1025" i="1" s="1"/>
  <c r="H1025" i="1" s="1"/>
  <c r="E1025" i="1"/>
  <c r="C1025" i="1"/>
  <c r="G1024" i="1"/>
  <c r="F1024" i="1" s="1"/>
  <c r="H1024" i="1" s="1"/>
  <c r="E1024" i="1"/>
  <c r="C1024" i="1"/>
  <c r="G1023" i="1"/>
  <c r="F1023" i="1" s="1"/>
  <c r="H1023" i="1" s="1"/>
  <c r="E1023" i="1"/>
  <c r="C1023" i="1"/>
  <c r="G1022" i="1"/>
  <c r="F1022" i="1" s="1"/>
  <c r="H1022" i="1" s="1"/>
  <c r="E1022" i="1"/>
  <c r="C1022" i="1"/>
  <c r="G1021" i="1"/>
  <c r="F1021" i="1" s="1"/>
  <c r="H1021" i="1" s="1"/>
  <c r="E1021" i="1"/>
  <c r="C1021" i="1"/>
  <c r="G1020" i="1"/>
  <c r="F1020" i="1" s="1"/>
  <c r="H1020" i="1" s="1"/>
  <c r="E1020" i="1"/>
  <c r="C1020" i="1"/>
  <c r="G1019" i="1"/>
  <c r="F1019" i="1" s="1"/>
  <c r="H1019" i="1" s="1"/>
  <c r="E1019" i="1"/>
  <c r="C1019" i="1"/>
  <c r="G1018" i="1"/>
  <c r="F1018" i="1" s="1"/>
  <c r="H1018" i="1" s="1"/>
  <c r="E1018" i="1"/>
  <c r="C1018" i="1"/>
  <c r="G1017" i="1"/>
  <c r="F1017" i="1" s="1"/>
  <c r="H1017" i="1" s="1"/>
  <c r="E1017" i="1"/>
  <c r="C1017" i="1"/>
  <c r="G1016" i="1"/>
  <c r="F1016" i="1" s="1"/>
  <c r="H1016" i="1" s="1"/>
  <c r="E1016" i="1"/>
  <c r="C1016" i="1"/>
  <c r="G1015" i="1"/>
  <c r="F1015" i="1" s="1"/>
  <c r="H1015" i="1" s="1"/>
  <c r="E1015" i="1"/>
  <c r="C1015" i="1"/>
  <c r="G1014" i="1"/>
  <c r="F1014" i="1" s="1"/>
  <c r="H1014" i="1" s="1"/>
  <c r="E1014" i="1"/>
  <c r="C1014" i="1"/>
  <c r="G1013" i="1"/>
  <c r="F1013" i="1" s="1"/>
  <c r="H1013" i="1" s="1"/>
  <c r="E1013" i="1"/>
  <c r="C1013" i="1"/>
  <c r="G1012" i="1"/>
  <c r="F1012" i="1" s="1"/>
  <c r="H1012" i="1" s="1"/>
  <c r="E1012" i="1"/>
  <c r="C1012" i="1"/>
  <c r="G1011" i="1"/>
  <c r="F1011" i="1" s="1"/>
  <c r="H1011" i="1" s="1"/>
  <c r="E1011" i="1"/>
  <c r="C1011" i="1"/>
  <c r="G1010" i="1"/>
  <c r="F1010" i="1" s="1"/>
  <c r="H1010" i="1" s="1"/>
  <c r="E1010" i="1"/>
  <c r="C1010" i="1"/>
  <c r="G1009" i="1"/>
  <c r="F1009" i="1" s="1"/>
  <c r="H1009" i="1" s="1"/>
  <c r="E1009" i="1"/>
  <c r="C1009" i="1"/>
  <c r="G1008" i="1"/>
  <c r="F1008" i="1" s="1"/>
  <c r="H1008" i="1" s="1"/>
  <c r="E1008" i="1"/>
  <c r="C1008" i="1"/>
  <c r="G1007" i="1"/>
  <c r="F1007" i="1" s="1"/>
  <c r="H1007" i="1" s="1"/>
  <c r="E1007" i="1"/>
  <c r="C1007" i="1"/>
  <c r="G1006" i="1"/>
  <c r="F1006" i="1" s="1"/>
  <c r="H1006" i="1" s="1"/>
  <c r="E1006" i="1"/>
  <c r="C1006" i="1"/>
  <c r="G1005" i="1"/>
  <c r="F1005" i="1" s="1"/>
  <c r="H1005" i="1" s="1"/>
  <c r="E1005" i="1"/>
  <c r="C1005" i="1"/>
  <c r="G1004" i="1"/>
  <c r="F1004" i="1" s="1"/>
  <c r="H1004" i="1" s="1"/>
  <c r="E1004" i="1"/>
  <c r="C1004" i="1"/>
  <c r="G1003" i="1"/>
  <c r="F1003" i="1" s="1"/>
  <c r="H1003" i="1" s="1"/>
  <c r="E1003" i="1"/>
  <c r="C1003" i="1"/>
  <c r="G1002" i="1"/>
  <c r="F1002" i="1" s="1"/>
  <c r="H1002" i="1" s="1"/>
  <c r="E1002" i="1"/>
  <c r="C1002" i="1"/>
  <c r="G1001" i="1"/>
  <c r="F1001" i="1" s="1"/>
  <c r="H1001" i="1" s="1"/>
  <c r="E1001" i="1"/>
  <c r="C1001" i="1"/>
  <c r="G1000" i="1"/>
  <c r="F1000" i="1" s="1"/>
  <c r="H1000" i="1" s="1"/>
  <c r="E1000" i="1"/>
  <c r="C1000" i="1"/>
  <c r="G999" i="1"/>
  <c r="F999" i="1" s="1"/>
  <c r="H999" i="1" s="1"/>
  <c r="E999" i="1"/>
  <c r="C999" i="1"/>
  <c r="G998" i="1"/>
  <c r="F998" i="1" s="1"/>
  <c r="H998" i="1" s="1"/>
  <c r="E998" i="1"/>
  <c r="C998" i="1"/>
  <c r="G997" i="1"/>
  <c r="F997" i="1" s="1"/>
  <c r="H997" i="1" s="1"/>
  <c r="E997" i="1"/>
  <c r="C997" i="1"/>
  <c r="G996" i="1"/>
  <c r="F996" i="1" s="1"/>
  <c r="H996" i="1" s="1"/>
  <c r="E996" i="1"/>
  <c r="C996" i="1"/>
  <c r="G995" i="1"/>
  <c r="F995" i="1" s="1"/>
  <c r="H995" i="1" s="1"/>
  <c r="E995" i="1"/>
  <c r="C995" i="1"/>
  <c r="G994" i="1"/>
  <c r="F994" i="1" s="1"/>
  <c r="H994" i="1" s="1"/>
  <c r="E994" i="1"/>
  <c r="C994" i="1"/>
  <c r="G993" i="1"/>
  <c r="F993" i="1" s="1"/>
  <c r="H993" i="1" s="1"/>
  <c r="E993" i="1"/>
  <c r="C993" i="1"/>
  <c r="G992" i="1"/>
  <c r="F992" i="1" s="1"/>
  <c r="H992" i="1" s="1"/>
  <c r="E992" i="1"/>
  <c r="C992" i="1"/>
  <c r="G991" i="1"/>
  <c r="F991" i="1" s="1"/>
  <c r="H991" i="1" s="1"/>
  <c r="E991" i="1"/>
  <c r="C991" i="1"/>
  <c r="G990" i="1"/>
  <c r="F990" i="1" s="1"/>
  <c r="H990" i="1" s="1"/>
  <c r="E990" i="1"/>
  <c r="C990" i="1"/>
  <c r="G989" i="1"/>
  <c r="F989" i="1" s="1"/>
  <c r="H989" i="1" s="1"/>
  <c r="E989" i="1"/>
  <c r="C989" i="1"/>
  <c r="G988" i="1"/>
  <c r="F988" i="1" s="1"/>
  <c r="H988" i="1" s="1"/>
  <c r="E988" i="1"/>
  <c r="C988" i="1"/>
  <c r="G987" i="1"/>
  <c r="F987" i="1" s="1"/>
  <c r="H987" i="1" s="1"/>
  <c r="E987" i="1"/>
  <c r="C987" i="1"/>
  <c r="G986" i="1"/>
  <c r="F986" i="1" s="1"/>
  <c r="H986" i="1" s="1"/>
  <c r="E986" i="1"/>
  <c r="C986" i="1"/>
  <c r="G985" i="1"/>
  <c r="F985" i="1" s="1"/>
  <c r="H985" i="1" s="1"/>
  <c r="E985" i="1"/>
  <c r="C985" i="1"/>
  <c r="G984" i="1"/>
  <c r="F984" i="1" s="1"/>
  <c r="H984" i="1" s="1"/>
  <c r="E984" i="1"/>
  <c r="C984" i="1"/>
  <c r="G983" i="1"/>
  <c r="F983" i="1" s="1"/>
  <c r="H983" i="1" s="1"/>
  <c r="E983" i="1"/>
  <c r="C983" i="1"/>
  <c r="G982" i="1"/>
  <c r="F982" i="1" s="1"/>
  <c r="H982" i="1" s="1"/>
  <c r="E982" i="1"/>
  <c r="C982" i="1"/>
  <c r="G981" i="1"/>
  <c r="F981" i="1" s="1"/>
  <c r="H981" i="1" s="1"/>
  <c r="E981" i="1"/>
  <c r="C981" i="1"/>
  <c r="G980" i="1"/>
  <c r="F980" i="1" s="1"/>
  <c r="H980" i="1" s="1"/>
  <c r="E980" i="1"/>
  <c r="C980" i="1"/>
  <c r="G979" i="1"/>
  <c r="F979" i="1" s="1"/>
  <c r="H979" i="1" s="1"/>
  <c r="E979" i="1"/>
  <c r="C979" i="1"/>
  <c r="G978" i="1"/>
  <c r="F978" i="1" s="1"/>
  <c r="H978" i="1" s="1"/>
  <c r="E978" i="1"/>
  <c r="C978" i="1"/>
  <c r="G977" i="1"/>
  <c r="F977" i="1" s="1"/>
  <c r="H977" i="1" s="1"/>
  <c r="E977" i="1"/>
  <c r="C977" i="1"/>
  <c r="G976" i="1"/>
  <c r="F976" i="1" s="1"/>
  <c r="H976" i="1" s="1"/>
  <c r="E976" i="1"/>
  <c r="C976" i="1"/>
  <c r="G975" i="1"/>
  <c r="F975" i="1" s="1"/>
  <c r="H975" i="1" s="1"/>
  <c r="E975" i="1"/>
  <c r="C975" i="1"/>
  <c r="G974" i="1"/>
  <c r="F974" i="1" s="1"/>
  <c r="H974" i="1" s="1"/>
  <c r="E974" i="1"/>
  <c r="C974" i="1"/>
  <c r="G973" i="1"/>
  <c r="F973" i="1" s="1"/>
  <c r="H973" i="1" s="1"/>
  <c r="E973" i="1"/>
  <c r="C973" i="1"/>
  <c r="G972" i="1"/>
  <c r="F972" i="1" s="1"/>
  <c r="H972" i="1" s="1"/>
  <c r="E972" i="1"/>
  <c r="C972" i="1"/>
  <c r="G971" i="1"/>
  <c r="F971" i="1" s="1"/>
  <c r="H971" i="1" s="1"/>
  <c r="E971" i="1"/>
  <c r="C971" i="1"/>
  <c r="G970" i="1"/>
  <c r="F970" i="1" s="1"/>
  <c r="H970" i="1" s="1"/>
  <c r="E970" i="1"/>
  <c r="C970" i="1"/>
  <c r="G969" i="1"/>
  <c r="F969" i="1" s="1"/>
  <c r="H969" i="1" s="1"/>
  <c r="E969" i="1"/>
  <c r="C969" i="1"/>
  <c r="G968" i="1"/>
  <c r="E968" i="1"/>
  <c r="D968" i="1"/>
  <c r="C968" i="1"/>
  <c r="G967" i="1"/>
  <c r="F967" i="1" s="1"/>
  <c r="H967" i="1" s="1"/>
  <c r="E967" i="1"/>
  <c r="C967" i="1"/>
  <c r="G966" i="1"/>
  <c r="F966" i="1" s="1"/>
  <c r="H966" i="1" s="1"/>
  <c r="E966" i="1"/>
  <c r="C966" i="1"/>
  <c r="G965" i="1"/>
  <c r="F965" i="1" s="1"/>
  <c r="H965" i="1" s="1"/>
  <c r="E965" i="1"/>
  <c r="C965" i="1"/>
  <c r="G964" i="1"/>
  <c r="F964" i="1" s="1"/>
  <c r="H964" i="1" s="1"/>
  <c r="E964" i="1"/>
  <c r="C964" i="1"/>
  <c r="G963" i="1"/>
  <c r="F963" i="1" s="1"/>
  <c r="H963" i="1" s="1"/>
  <c r="E963" i="1"/>
  <c r="C963" i="1"/>
  <c r="G962" i="1"/>
  <c r="E962" i="1"/>
  <c r="D962" i="1"/>
  <c r="C962" i="1"/>
  <c r="G961" i="1"/>
  <c r="F961" i="1" s="1"/>
  <c r="H961" i="1" s="1"/>
  <c r="E961" i="1"/>
  <c r="C961" i="1"/>
  <c r="G960" i="1"/>
  <c r="F960" i="1" s="1"/>
  <c r="H960" i="1" s="1"/>
  <c r="E960" i="1"/>
  <c r="C960" i="1"/>
  <c r="G959" i="1"/>
  <c r="F959" i="1" s="1"/>
  <c r="H959" i="1" s="1"/>
  <c r="E959" i="1"/>
  <c r="C959" i="1"/>
  <c r="G958" i="1"/>
  <c r="F958" i="1" s="1"/>
  <c r="H958" i="1" s="1"/>
  <c r="E958" i="1"/>
  <c r="C958" i="1"/>
  <c r="G957" i="1"/>
  <c r="F957" i="1" s="1"/>
  <c r="H957" i="1" s="1"/>
  <c r="E957" i="1"/>
  <c r="C957" i="1"/>
  <c r="G956" i="1"/>
  <c r="F956" i="1" s="1"/>
  <c r="H956" i="1" s="1"/>
  <c r="E956" i="1"/>
  <c r="C956" i="1"/>
  <c r="G955" i="1"/>
  <c r="F955" i="1" s="1"/>
  <c r="H955" i="1" s="1"/>
  <c r="E955" i="1"/>
  <c r="C955" i="1"/>
  <c r="G954" i="1"/>
  <c r="F954" i="1" s="1"/>
  <c r="H954" i="1" s="1"/>
  <c r="E954" i="1"/>
  <c r="C954" i="1"/>
  <c r="G953" i="1"/>
  <c r="F953" i="1" s="1"/>
  <c r="H953" i="1" s="1"/>
  <c r="E953" i="1"/>
  <c r="C953" i="1"/>
  <c r="G952" i="1"/>
  <c r="F952" i="1" s="1"/>
  <c r="H952" i="1" s="1"/>
  <c r="E952" i="1"/>
  <c r="C952" i="1"/>
  <c r="G951" i="1"/>
  <c r="F951" i="1" s="1"/>
  <c r="H951" i="1" s="1"/>
  <c r="E951" i="1"/>
  <c r="C951" i="1"/>
  <c r="G950" i="1"/>
  <c r="F950" i="1" s="1"/>
  <c r="H950" i="1" s="1"/>
  <c r="E950" i="1"/>
  <c r="C950" i="1"/>
  <c r="G949" i="1"/>
  <c r="F949" i="1" s="1"/>
  <c r="H949" i="1" s="1"/>
  <c r="E949" i="1"/>
  <c r="C949" i="1"/>
  <c r="G948" i="1"/>
  <c r="F948" i="1" s="1"/>
  <c r="H948" i="1" s="1"/>
  <c r="E948" i="1"/>
  <c r="C948" i="1"/>
  <c r="G947" i="1"/>
  <c r="F947" i="1" s="1"/>
  <c r="H947" i="1" s="1"/>
  <c r="E947" i="1"/>
  <c r="C947" i="1"/>
  <c r="G946" i="1"/>
  <c r="F946" i="1" s="1"/>
  <c r="H946" i="1" s="1"/>
  <c r="E946" i="1"/>
  <c r="C946" i="1"/>
  <c r="G945" i="1"/>
  <c r="F945" i="1" s="1"/>
  <c r="H945" i="1" s="1"/>
  <c r="E945" i="1"/>
  <c r="C945" i="1"/>
  <c r="G944" i="1"/>
  <c r="F944" i="1" s="1"/>
  <c r="H944" i="1" s="1"/>
  <c r="E944" i="1"/>
  <c r="C944" i="1"/>
  <c r="G943" i="1"/>
  <c r="F943" i="1" s="1"/>
  <c r="H943" i="1" s="1"/>
  <c r="E943" i="1"/>
  <c r="C943" i="1"/>
  <c r="G942" i="1"/>
  <c r="F942" i="1" s="1"/>
  <c r="H942" i="1" s="1"/>
  <c r="E942" i="1"/>
  <c r="C942" i="1"/>
  <c r="G941" i="1"/>
  <c r="F941" i="1" s="1"/>
  <c r="H941" i="1" s="1"/>
  <c r="E941" i="1"/>
  <c r="C941" i="1"/>
  <c r="G940" i="1"/>
  <c r="F940" i="1" s="1"/>
  <c r="H940" i="1" s="1"/>
  <c r="E940" i="1"/>
  <c r="C940" i="1"/>
  <c r="G939" i="1"/>
  <c r="F939" i="1" s="1"/>
  <c r="H939" i="1" s="1"/>
  <c r="E939" i="1"/>
  <c r="C939" i="1"/>
  <c r="G938" i="1"/>
  <c r="F938" i="1" s="1"/>
  <c r="H938" i="1" s="1"/>
  <c r="E938" i="1"/>
  <c r="C938" i="1"/>
  <c r="G937" i="1"/>
  <c r="F937" i="1" s="1"/>
  <c r="H937" i="1" s="1"/>
  <c r="E937" i="1"/>
  <c r="C937" i="1"/>
  <c r="G936" i="1"/>
  <c r="F936" i="1" s="1"/>
  <c r="H936" i="1" s="1"/>
  <c r="E936" i="1"/>
  <c r="C936" i="1"/>
  <c r="G935" i="1"/>
  <c r="F935" i="1" s="1"/>
  <c r="H935" i="1" s="1"/>
  <c r="E935" i="1"/>
  <c r="C935" i="1"/>
  <c r="G934" i="1"/>
  <c r="F934" i="1" s="1"/>
  <c r="H934" i="1" s="1"/>
  <c r="E934" i="1"/>
  <c r="C934" i="1"/>
  <c r="G933" i="1"/>
  <c r="F933" i="1" s="1"/>
  <c r="H933" i="1" s="1"/>
  <c r="E933" i="1"/>
  <c r="C933" i="1"/>
  <c r="G932" i="1"/>
  <c r="F932" i="1" s="1"/>
  <c r="H932" i="1" s="1"/>
  <c r="E932" i="1"/>
  <c r="C932" i="1"/>
  <c r="G931" i="1"/>
  <c r="F931" i="1" s="1"/>
  <c r="H931" i="1" s="1"/>
  <c r="E931" i="1"/>
  <c r="C931" i="1"/>
  <c r="G930" i="1"/>
  <c r="F930" i="1" s="1"/>
  <c r="H930" i="1" s="1"/>
  <c r="E930" i="1"/>
  <c r="C930" i="1"/>
  <c r="G929" i="1"/>
  <c r="F929" i="1" s="1"/>
  <c r="H929" i="1" s="1"/>
  <c r="E929" i="1"/>
  <c r="C929" i="1"/>
  <c r="G928" i="1"/>
  <c r="F928" i="1" s="1"/>
  <c r="H928" i="1" s="1"/>
  <c r="E928" i="1"/>
  <c r="C928" i="1"/>
  <c r="G927" i="1"/>
  <c r="F927" i="1" s="1"/>
  <c r="H927" i="1" s="1"/>
  <c r="E927" i="1"/>
  <c r="C927" i="1"/>
  <c r="G926" i="1"/>
  <c r="F926" i="1" s="1"/>
  <c r="H926" i="1" s="1"/>
  <c r="E926" i="1"/>
  <c r="C926" i="1"/>
  <c r="G925" i="1"/>
  <c r="F925" i="1" s="1"/>
  <c r="H925" i="1" s="1"/>
  <c r="E925" i="1"/>
  <c r="C925" i="1"/>
  <c r="G924" i="1"/>
  <c r="F924" i="1" s="1"/>
  <c r="H924" i="1" s="1"/>
  <c r="E924" i="1"/>
  <c r="C924" i="1"/>
  <c r="G923" i="1"/>
  <c r="F923" i="1" s="1"/>
  <c r="H923" i="1" s="1"/>
  <c r="E923" i="1"/>
  <c r="C923" i="1"/>
  <c r="G922" i="1"/>
  <c r="F922" i="1" s="1"/>
  <c r="H922" i="1" s="1"/>
  <c r="E922" i="1"/>
  <c r="C922" i="1"/>
  <c r="G921" i="1"/>
  <c r="F921" i="1" s="1"/>
  <c r="H921" i="1" s="1"/>
  <c r="E921" i="1"/>
  <c r="C921" i="1"/>
  <c r="G920" i="1"/>
  <c r="F920" i="1" s="1"/>
  <c r="H920" i="1" s="1"/>
  <c r="E920" i="1"/>
  <c r="C920" i="1"/>
  <c r="G919" i="1"/>
  <c r="F919" i="1" s="1"/>
  <c r="H919" i="1" s="1"/>
  <c r="E919" i="1"/>
  <c r="C919" i="1"/>
  <c r="G918" i="1"/>
  <c r="F918" i="1" s="1"/>
  <c r="H918" i="1" s="1"/>
  <c r="E918" i="1"/>
  <c r="C918" i="1"/>
  <c r="G917" i="1"/>
  <c r="F917" i="1" s="1"/>
  <c r="H917" i="1" s="1"/>
  <c r="E917" i="1"/>
  <c r="C917" i="1"/>
  <c r="G916" i="1"/>
  <c r="F916" i="1" s="1"/>
  <c r="H916" i="1" s="1"/>
  <c r="E916" i="1"/>
  <c r="C916" i="1"/>
  <c r="G915" i="1"/>
  <c r="F915" i="1" s="1"/>
  <c r="H915" i="1" s="1"/>
  <c r="E915" i="1"/>
  <c r="C915" i="1"/>
  <c r="G914" i="1"/>
  <c r="F914" i="1" s="1"/>
  <c r="H914" i="1" s="1"/>
  <c r="E914" i="1"/>
  <c r="C914" i="1"/>
  <c r="G913" i="1"/>
  <c r="F913" i="1" s="1"/>
  <c r="H913" i="1" s="1"/>
  <c r="E913" i="1"/>
  <c r="C913" i="1"/>
  <c r="G912" i="1"/>
  <c r="F912" i="1" s="1"/>
  <c r="H912" i="1" s="1"/>
  <c r="E912" i="1"/>
  <c r="C912" i="1"/>
  <c r="G911" i="1"/>
  <c r="F911" i="1" s="1"/>
  <c r="H911" i="1" s="1"/>
  <c r="E911" i="1"/>
  <c r="C911" i="1"/>
  <c r="G910" i="1"/>
  <c r="F910" i="1" s="1"/>
  <c r="H910" i="1" s="1"/>
  <c r="E910" i="1"/>
  <c r="C910" i="1"/>
  <c r="G909" i="1"/>
  <c r="F909" i="1" s="1"/>
  <c r="H909" i="1" s="1"/>
  <c r="E909" i="1"/>
  <c r="C909" i="1"/>
  <c r="G908" i="1"/>
  <c r="F908" i="1" s="1"/>
  <c r="H908" i="1" s="1"/>
  <c r="E908" i="1"/>
  <c r="C908" i="1"/>
  <c r="G907" i="1"/>
  <c r="F907" i="1" s="1"/>
  <c r="H907" i="1" s="1"/>
  <c r="E907" i="1"/>
  <c r="C907" i="1"/>
  <c r="G906" i="1"/>
  <c r="F906" i="1" s="1"/>
  <c r="H906" i="1" s="1"/>
  <c r="E906" i="1"/>
  <c r="C906" i="1"/>
  <c r="G905" i="1"/>
  <c r="F905" i="1" s="1"/>
  <c r="H905" i="1" s="1"/>
  <c r="E905" i="1"/>
  <c r="C905" i="1"/>
  <c r="G904" i="1"/>
  <c r="F904" i="1" s="1"/>
  <c r="H904" i="1" s="1"/>
  <c r="E904" i="1"/>
  <c r="C904" i="1"/>
  <c r="G903" i="1"/>
  <c r="F903" i="1" s="1"/>
  <c r="H903" i="1" s="1"/>
  <c r="E903" i="1"/>
  <c r="C903" i="1"/>
  <c r="G902" i="1"/>
  <c r="F902" i="1" s="1"/>
  <c r="H902" i="1" s="1"/>
  <c r="E902" i="1"/>
  <c r="C902" i="1"/>
  <c r="G901" i="1"/>
  <c r="F901" i="1" s="1"/>
  <c r="H901" i="1" s="1"/>
  <c r="E901" i="1"/>
  <c r="C901" i="1"/>
  <c r="G900" i="1"/>
  <c r="F900" i="1" s="1"/>
  <c r="H900" i="1" s="1"/>
  <c r="E900" i="1"/>
  <c r="C900" i="1"/>
  <c r="G899" i="1"/>
  <c r="F899" i="1" s="1"/>
  <c r="H899" i="1" s="1"/>
  <c r="E899" i="1"/>
  <c r="C899" i="1"/>
  <c r="G898" i="1"/>
  <c r="F898" i="1" s="1"/>
  <c r="H898" i="1" s="1"/>
  <c r="E898" i="1"/>
  <c r="C898" i="1"/>
  <c r="G897" i="1"/>
  <c r="F897" i="1" s="1"/>
  <c r="H897" i="1" s="1"/>
  <c r="E897" i="1"/>
  <c r="C897" i="1"/>
  <c r="G896" i="1"/>
  <c r="F896" i="1" s="1"/>
  <c r="H896" i="1" s="1"/>
  <c r="E896" i="1"/>
  <c r="C896" i="1"/>
  <c r="G895" i="1"/>
  <c r="F895" i="1" s="1"/>
  <c r="H895" i="1" s="1"/>
  <c r="E895" i="1"/>
  <c r="C895" i="1"/>
  <c r="G894" i="1"/>
  <c r="F894" i="1" s="1"/>
  <c r="H894" i="1" s="1"/>
  <c r="E894" i="1"/>
  <c r="C894" i="1"/>
  <c r="G893" i="1"/>
  <c r="F893" i="1" s="1"/>
  <c r="H893" i="1" s="1"/>
  <c r="E893" i="1"/>
  <c r="C893" i="1"/>
  <c r="G892" i="1"/>
  <c r="E892" i="1"/>
  <c r="D892" i="1"/>
  <c r="C892" i="1"/>
  <c r="G891" i="1"/>
  <c r="E891" i="1"/>
  <c r="D891" i="1"/>
  <c r="C891" i="1"/>
  <c r="G890" i="1"/>
  <c r="F890" i="1" s="1"/>
  <c r="H890" i="1" s="1"/>
  <c r="E890" i="1"/>
  <c r="C890" i="1"/>
  <c r="G889" i="1"/>
  <c r="E889" i="1"/>
  <c r="D889" i="1"/>
  <c r="C889" i="1"/>
  <c r="G888" i="1"/>
  <c r="F888" i="1" s="1"/>
  <c r="H888" i="1" s="1"/>
  <c r="E888" i="1"/>
  <c r="C888" i="1"/>
  <c r="G887" i="1"/>
  <c r="F887" i="1" s="1"/>
  <c r="H887" i="1" s="1"/>
  <c r="E887" i="1"/>
  <c r="C887" i="1"/>
  <c r="G886" i="1"/>
  <c r="F886" i="1" s="1"/>
  <c r="H886" i="1" s="1"/>
  <c r="E886" i="1"/>
  <c r="C886" i="1"/>
  <c r="G885" i="1"/>
  <c r="F885" i="1" s="1"/>
  <c r="H885" i="1" s="1"/>
  <c r="E885" i="1"/>
  <c r="C885" i="1"/>
  <c r="G884" i="1"/>
  <c r="F884" i="1" s="1"/>
  <c r="H884" i="1" s="1"/>
  <c r="E884" i="1"/>
  <c r="C884" i="1"/>
  <c r="G883" i="1"/>
  <c r="F883" i="1" s="1"/>
  <c r="H883" i="1" s="1"/>
  <c r="E883" i="1"/>
  <c r="C883" i="1"/>
  <c r="G882" i="1"/>
  <c r="F882" i="1" s="1"/>
  <c r="H882" i="1" s="1"/>
  <c r="E882" i="1"/>
  <c r="C882" i="1"/>
  <c r="G881" i="1"/>
  <c r="F881" i="1" s="1"/>
  <c r="H881" i="1" s="1"/>
  <c r="E881" i="1"/>
  <c r="C881" i="1"/>
  <c r="G880" i="1"/>
  <c r="F880" i="1" s="1"/>
  <c r="H880" i="1" s="1"/>
  <c r="E880" i="1"/>
  <c r="C880" i="1"/>
  <c r="G879" i="1"/>
  <c r="F879" i="1" s="1"/>
  <c r="H879" i="1" s="1"/>
  <c r="E879" i="1"/>
  <c r="C879" i="1"/>
  <c r="G878" i="1"/>
  <c r="F878" i="1" s="1"/>
  <c r="H878" i="1" s="1"/>
  <c r="E878" i="1"/>
  <c r="C878" i="1"/>
  <c r="G877" i="1"/>
  <c r="F877" i="1" s="1"/>
  <c r="H877" i="1" s="1"/>
  <c r="E877" i="1"/>
  <c r="C877" i="1"/>
  <c r="G876" i="1"/>
  <c r="F876" i="1" s="1"/>
  <c r="H876" i="1" s="1"/>
  <c r="E876" i="1"/>
  <c r="C876" i="1"/>
  <c r="G875" i="1"/>
  <c r="F875" i="1" s="1"/>
  <c r="H875" i="1" s="1"/>
  <c r="E875" i="1"/>
  <c r="C875" i="1"/>
  <c r="G874" i="1"/>
  <c r="F874" i="1" s="1"/>
  <c r="H874" i="1" s="1"/>
  <c r="E874" i="1"/>
  <c r="C874" i="1"/>
  <c r="G873" i="1"/>
  <c r="F873" i="1" s="1"/>
  <c r="H873" i="1" s="1"/>
  <c r="E873" i="1"/>
  <c r="C873" i="1"/>
  <c r="G872" i="1"/>
  <c r="F872" i="1" s="1"/>
  <c r="H872" i="1" s="1"/>
  <c r="E872" i="1"/>
  <c r="C872" i="1"/>
  <c r="G871" i="1"/>
  <c r="F871" i="1" s="1"/>
  <c r="H871" i="1" s="1"/>
  <c r="E871" i="1"/>
  <c r="C871" i="1"/>
  <c r="G870" i="1"/>
  <c r="F870" i="1" s="1"/>
  <c r="H870" i="1" s="1"/>
  <c r="E870" i="1"/>
  <c r="C870" i="1"/>
  <c r="G869" i="1"/>
  <c r="F869" i="1" s="1"/>
  <c r="H869" i="1" s="1"/>
  <c r="E869" i="1"/>
  <c r="C869" i="1"/>
  <c r="G868" i="1"/>
  <c r="F868" i="1" s="1"/>
  <c r="H868" i="1" s="1"/>
  <c r="E868" i="1"/>
  <c r="C868" i="1"/>
  <c r="G867" i="1"/>
  <c r="F867" i="1" s="1"/>
  <c r="H867" i="1" s="1"/>
  <c r="E867" i="1"/>
  <c r="C867" i="1"/>
  <c r="G866" i="1"/>
  <c r="F866" i="1" s="1"/>
  <c r="H866" i="1" s="1"/>
  <c r="E866" i="1"/>
  <c r="C866" i="1"/>
  <c r="G865" i="1"/>
  <c r="F865" i="1" s="1"/>
  <c r="H865" i="1" s="1"/>
  <c r="E865" i="1"/>
  <c r="C865" i="1"/>
  <c r="G864" i="1"/>
  <c r="F864" i="1" s="1"/>
  <c r="H864" i="1" s="1"/>
  <c r="E864" i="1"/>
  <c r="C864" i="1"/>
  <c r="G863" i="1"/>
  <c r="F863" i="1" s="1"/>
  <c r="H863" i="1" s="1"/>
  <c r="E863" i="1"/>
  <c r="C863" i="1"/>
  <c r="G862" i="1"/>
  <c r="F862" i="1" s="1"/>
  <c r="H862" i="1" s="1"/>
  <c r="E862" i="1"/>
  <c r="C862" i="1"/>
  <c r="G861" i="1"/>
  <c r="F861" i="1" s="1"/>
  <c r="H861" i="1" s="1"/>
  <c r="E861" i="1"/>
  <c r="C861" i="1"/>
  <c r="AU860" i="1"/>
  <c r="G860" i="1" s="1"/>
  <c r="E860" i="1"/>
  <c r="D860" i="1"/>
  <c r="C860" i="1"/>
  <c r="G859" i="1"/>
  <c r="F859" i="1" s="1"/>
  <c r="H859" i="1" s="1"/>
  <c r="E859" i="1"/>
  <c r="C859" i="1"/>
  <c r="G858" i="1"/>
  <c r="E858" i="1"/>
  <c r="D858" i="1"/>
  <c r="C858" i="1"/>
  <c r="G857" i="1"/>
  <c r="F857" i="1" s="1"/>
  <c r="H857" i="1" s="1"/>
  <c r="E857" i="1"/>
  <c r="C857" i="1"/>
  <c r="G856" i="1"/>
  <c r="F856" i="1" s="1"/>
  <c r="H856" i="1" s="1"/>
  <c r="E856" i="1"/>
  <c r="C856" i="1"/>
  <c r="G855" i="1"/>
  <c r="F855" i="1" s="1"/>
  <c r="H855" i="1" s="1"/>
  <c r="E855" i="1"/>
  <c r="C855" i="1"/>
  <c r="G854" i="1"/>
  <c r="F854" i="1" s="1"/>
  <c r="H854" i="1" s="1"/>
  <c r="E854" i="1"/>
  <c r="C854" i="1"/>
  <c r="G853" i="1"/>
  <c r="F853" i="1" s="1"/>
  <c r="H853" i="1" s="1"/>
  <c r="E853" i="1"/>
  <c r="C853" i="1"/>
  <c r="G852" i="1"/>
  <c r="F852" i="1" s="1"/>
  <c r="H852" i="1" s="1"/>
  <c r="E852" i="1"/>
  <c r="C852" i="1"/>
  <c r="G851" i="1"/>
  <c r="F851" i="1" s="1"/>
  <c r="H851" i="1" s="1"/>
  <c r="E851" i="1"/>
  <c r="C851" i="1"/>
  <c r="G850" i="1"/>
  <c r="F850" i="1" s="1"/>
  <c r="H850" i="1" s="1"/>
  <c r="E850" i="1"/>
  <c r="C850" i="1"/>
  <c r="G849" i="1"/>
  <c r="F849" i="1" s="1"/>
  <c r="H849" i="1" s="1"/>
  <c r="E849" i="1"/>
  <c r="C849" i="1"/>
  <c r="G848" i="1"/>
  <c r="F848" i="1" s="1"/>
  <c r="H848" i="1" s="1"/>
  <c r="E848" i="1"/>
  <c r="C848" i="1"/>
  <c r="G847" i="1"/>
  <c r="F847" i="1" s="1"/>
  <c r="H847" i="1" s="1"/>
  <c r="E847" i="1"/>
  <c r="C847" i="1"/>
  <c r="G846" i="1"/>
  <c r="F846" i="1" s="1"/>
  <c r="H846" i="1" s="1"/>
  <c r="E846" i="1"/>
  <c r="C846" i="1"/>
  <c r="G845" i="1"/>
  <c r="F845" i="1" s="1"/>
  <c r="H845" i="1" s="1"/>
  <c r="E845" i="1"/>
  <c r="C845" i="1"/>
  <c r="G844" i="1"/>
  <c r="F844" i="1" s="1"/>
  <c r="H844" i="1" s="1"/>
  <c r="E844" i="1"/>
  <c r="C844" i="1"/>
  <c r="G843" i="1"/>
  <c r="F843" i="1" s="1"/>
  <c r="H843" i="1" s="1"/>
  <c r="E843" i="1"/>
  <c r="C843" i="1"/>
  <c r="G842" i="1"/>
  <c r="F842" i="1" s="1"/>
  <c r="H842" i="1" s="1"/>
  <c r="E842" i="1"/>
  <c r="C842" i="1"/>
  <c r="G841" i="1"/>
  <c r="F841" i="1" s="1"/>
  <c r="H841" i="1" s="1"/>
  <c r="E841" i="1"/>
  <c r="C841" i="1"/>
  <c r="G840" i="1"/>
  <c r="F840" i="1" s="1"/>
  <c r="H840" i="1" s="1"/>
  <c r="E840" i="1"/>
  <c r="C840" i="1"/>
  <c r="G839" i="1"/>
  <c r="F839" i="1" s="1"/>
  <c r="H839" i="1" s="1"/>
  <c r="E839" i="1"/>
  <c r="C839" i="1"/>
  <c r="G838" i="1"/>
  <c r="F838" i="1" s="1"/>
  <c r="H838" i="1" s="1"/>
  <c r="E838" i="1"/>
  <c r="C838" i="1"/>
  <c r="G837" i="1"/>
  <c r="F837" i="1" s="1"/>
  <c r="H837" i="1" s="1"/>
  <c r="E837" i="1"/>
  <c r="C837" i="1"/>
  <c r="G836" i="1"/>
  <c r="F836" i="1" s="1"/>
  <c r="H836" i="1" s="1"/>
  <c r="E836" i="1"/>
  <c r="C836" i="1"/>
  <c r="G835" i="1"/>
  <c r="F835" i="1" s="1"/>
  <c r="H835" i="1" s="1"/>
  <c r="E835" i="1"/>
  <c r="C835" i="1"/>
  <c r="G834" i="1"/>
  <c r="F834" i="1" s="1"/>
  <c r="H834" i="1" s="1"/>
  <c r="E834" i="1"/>
  <c r="C834" i="1"/>
  <c r="G833" i="1"/>
  <c r="F833" i="1" s="1"/>
  <c r="H833" i="1" s="1"/>
  <c r="E833" i="1"/>
  <c r="C833" i="1"/>
  <c r="G832" i="1"/>
  <c r="F832" i="1" s="1"/>
  <c r="H832" i="1" s="1"/>
  <c r="E832" i="1"/>
  <c r="C832" i="1"/>
  <c r="G831" i="1"/>
  <c r="F831" i="1" s="1"/>
  <c r="H831" i="1" s="1"/>
  <c r="E831" i="1"/>
  <c r="C831" i="1"/>
  <c r="G830" i="1"/>
  <c r="F830" i="1" s="1"/>
  <c r="H830" i="1" s="1"/>
  <c r="E830" i="1"/>
  <c r="C830" i="1"/>
  <c r="G829" i="1"/>
  <c r="F829" i="1" s="1"/>
  <c r="H829" i="1" s="1"/>
  <c r="E829" i="1"/>
  <c r="C829" i="1"/>
  <c r="G828" i="1"/>
  <c r="F828" i="1" s="1"/>
  <c r="H828" i="1" s="1"/>
  <c r="E828" i="1"/>
  <c r="C828" i="1"/>
  <c r="G827" i="1"/>
  <c r="F827" i="1" s="1"/>
  <c r="H827" i="1" s="1"/>
  <c r="E827" i="1"/>
  <c r="C827" i="1"/>
  <c r="G826" i="1"/>
  <c r="F826" i="1" s="1"/>
  <c r="H826" i="1" s="1"/>
  <c r="E826" i="1"/>
  <c r="C826" i="1"/>
  <c r="G825" i="1"/>
  <c r="F825" i="1" s="1"/>
  <c r="H825" i="1" s="1"/>
  <c r="E825" i="1"/>
  <c r="C825" i="1"/>
  <c r="G824" i="1"/>
  <c r="F824" i="1" s="1"/>
  <c r="H824" i="1" s="1"/>
  <c r="E824" i="1"/>
  <c r="C824" i="1"/>
  <c r="G823" i="1"/>
  <c r="F823" i="1" s="1"/>
  <c r="H823" i="1" s="1"/>
  <c r="E823" i="1"/>
  <c r="C823" i="1"/>
  <c r="G822" i="1"/>
  <c r="F822" i="1" s="1"/>
  <c r="H822" i="1" s="1"/>
  <c r="E822" i="1"/>
  <c r="C822" i="1"/>
  <c r="G821" i="1"/>
  <c r="F821" i="1" s="1"/>
  <c r="H821" i="1" s="1"/>
  <c r="E821" i="1"/>
  <c r="C821" i="1"/>
  <c r="G820" i="1"/>
  <c r="E820" i="1"/>
  <c r="D820" i="1"/>
  <c r="C820" i="1"/>
  <c r="G819" i="1"/>
  <c r="E819" i="1"/>
  <c r="D819" i="1"/>
  <c r="C819" i="1"/>
  <c r="G818" i="1"/>
  <c r="F818" i="1" s="1"/>
  <c r="H818" i="1" s="1"/>
  <c r="E818" i="1"/>
  <c r="C818" i="1"/>
  <c r="G817" i="1"/>
  <c r="F817" i="1" s="1"/>
  <c r="H817" i="1" s="1"/>
  <c r="E817" i="1"/>
  <c r="C817" i="1"/>
  <c r="G816" i="1"/>
  <c r="F816" i="1" s="1"/>
  <c r="H816" i="1" s="1"/>
  <c r="E816" i="1"/>
  <c r="C816" i="1"/>
  <c r="G815" i="1"/>
  <c r="F815" i="1" s="1"/>
  <c r="H815" i="1" s="1"/>
  <c r="E815" i="1"/>
  <c r="C815" i="1"/>
  <c r="G814" i="1"/>
  <c r="F814" i="1" s="1"/>
  <c r="H814" i="1" s="1"/>
  <c r="E814" i="1"/>
  <c r="C814" i="1"/>
  <c r="G813" i="1"/>
  <c r="F813" i="1" s="1"/>
  <c r="H813" i="1" s="1"/>
  <c r="E813" i="1"/>
  <c r="C813" i="1"/>
  <c r="G812" i="1"/>
  <c r="F812" i="1" s="1"/>
  <c r="H812" i="1" s="1"/>
  <c r="E812" i="1"/>
  <c r="C812" i="1"/>
  <c r="G811" i="1"/>
  <c r="F811" i="1" s="1"/>
  <c r="H811" i="1" s="1"/>
  <c r="E811" i="1"/>
  <c r="C811" i="1"/>
  <c r="G810" i="1"/>
  <c r="F810" i="1" s="1"/>
  <c r="H810" i="1" s="1"/>
  <c r="E810" i="1"/>
  <c r="C810" i="1"/>
  <c r="G809" i="1"/>
  <c r="F809" i="1" s="1"/>
  <c r="H809" i="1" s="1"/>
  <c r="E809" i="1"/>
  <c r="C809" i="1"/>
  <c r="G808" i="1"/>
  <c r="F808" i="1" s="1"/>
  <c r="H808" i="1" s="1"/>
  <c r="E808" i="1"/>
  <c r="C808" i="1"/>
  <c r="G807" i="1"/>
  <c r="F807" i="1" s="1"/>
  <c r="H807" i="1" s="1"/>
  <c r="E807" i="1"/>
  <c r="C807" i="1"/>
  <c r="G806" i="1"/>
  <c r="F806" i="1" s="1"/>
  <c r="H806" i="1" s="1"/>
  <c r="E806" i="1"/>
  <c r="C806" i="1"/>
  <c r="G805" i="1"/>
  <c r="F805" i="1" s="1"/>
  <c r="H805" i="1" s="1"/>
  <c r="E805" i="1"/>
  <c r="C805" i="1"/>
  <c r="G804" i="1"/>
  <c r="F804" i="1" s="1"/>
  <c r="H804" i="1" s="1"/>
  <c r="E804" i="1"/>
  <c r="C804" i="1"/>
  <c r="G803" i="1"/>
  <c r="F803" i="1" s="1"/>
  <c r="H803" i="1" s="1"/>
  <c r="E803" i="1"/>
  <c r="C803" i="1"/>
  <c r="G802" i="1"/>
  <c r="F802" i="1" s="1"/>
  <c r="H802" i="1" s="1"/>
  <c r="E802" i="1"/>
  <c r="C802" i="1"/>
  <c r="G801" i="1"/>
  <c r="F801" i="1" s="1"/>
  <c r="H801" i="1" s="1"/>
  <c r="E801" i="1"/>
  <c r="C801" i="1"/>
  <c r="G800" i="1"/>
  <c r="E800" i="1"/>
  <c r="D800" i="1"/>
  <c r="C800" i="1"/>
  <c r="G799" i="1"/>
  <c r="F799" i="1" s="1"/>
  <c r="H799" i="1" s="1"/>
  <c r="E799" i="1"/>
  <c r="C799" i="1"/>
  <c r="G798" i="1"/>
  <c r="F798" i="1" s="1"/>
  <c r="H798" i="1" s="1"/>
  <c r="E798" i="1"/>
  <c r="C798" i="1"/>
  <c r="G797" i="1"/>
  <c r="F797" i="1" s="1"/>
  <c r="H797" i="1" s="1"/>
  <c r="E797" i="1"/>
  <c r="C797" i="1"/>
  <c r="G796" i="1"/>
  <c r="F796" i="1" s="1"/>
  <c r="H796" i="1" s="1"/>
  <c r="E796" i="1"/>
  <c r="C796" i="1"/>
  <c r="G795" i="1"/>
  <c r="F795" i="1" s="1"/>
  <c r="H795" i="1" s="1"/>
  <c r="E795" i="1"/>
  <c r="C795" i="1"/>
  <c r="G794" i="1"/>
  <c r="F794" i="1" s="1"/>
  <c r="H794" i="1" s="1"/>
  <c r="E794" i="1"/>
  <c r="C794" i="1"/>
  <c r="G793" i="1"/>
  <c r="F793" i="1" s="1"/>
  <c r="H793" i="1" s="1"/>
  <c r="E793" i="1"/>
  <c r="C793" i="1"/>
  <c r="G792" i="1"/>
  <c r="F792" i="1" s="1"/>
  <c r="H792" i="1" s="1"/>
  <c r="E792" i="1"/>
  <c r="C792" i="1"/>
  <c r="G791" i="1"/>
  <c r="F791" i="1" s="1"/>
  <c r="H791" i="1" s="1"/>
  <c r="E791" i="1"/>
  <c r="C791" i="1"/>
  <c r="G790" i="1"/>
  <c r="F790" i="1" s="1"/>
  <c r="H790" i="1" s="1"/>
  <c r="E790" i="1"/>
  <c r="C790" i="1"/>
  <c r="G789" i="1"/>
  <c r="F789" i="1" s="1"/>
  <c r="H789" i="1" s="1"/>
  <c r="E789" i="1"/>
  <c r="C789" i="1"/>
  <c r="G788" i="1"/>
  <c r="F788" i="1" s="1"/>
  <c r="H788" i="1" s="1"/>
  <c r="E788" i="1"/>
  <c r="C788" i="1"/>
  <c r="G787" i="1"/>
  <c r="F787" i="1" s="1"/>
  <c r="H787" i="1" s="1"/>
  <c r="E787" i="1"/>
  <c r="C787" i="1"/>
  <c r="G786" i="1"/>
  <c r="F786" i="1" s="1"/>
  <c r="H786" i="1" s="1"/>
  <c r="E786" i="1"/>
  <c r="C786" i="1"/>
  <c r="G785" i="1"/>
  <c r="F785" i="1" s="1"/>
  <c r="H785" i="1" s="1"/>
  <c r="E785" i="1"/>
  <c r="C785" i="1"/>
  <c r="G784" i="1"/>
  <c r="F784" i="1" s="1"/>
  <c r="H784" i="1" s="1"/>
  <c r="E784" i="1"/>
  <c r="C784" i="1"/>
  <c r="G783" i="1"/>
  <c r="F783" i="1" s="1"/>
  <c r="H783" i="1" s="1"/>
  <c r="E783" i="1"/>
  <c r="C783" i="1"/>
  <c r="G782" i="1"/>
  <c r="F782" i="1" s="1"/>
  <c r="H782" i="1" s="1"/>
  <c r="E782" i="1"/>
  <c r="C782" i="1"/>
  <c r="G781" i="1"/>
  <c r="F781" i="1" s="1"/>
  <c r="H781" i="1" s="1"/>
  <c r="E781" i="1"/>
  <c r="C781" i="1"/>
  <c r="G780" i="1"/>
  <c r="F780" i="1" s="1"/>
  <c r="H780" i="1" s="1"/>
  <c r="E780" i="1"/>
  <c r="C780" i="1"/>
  <c r="G779" i="1"/>
  <c r="F779" i="1" s="1"/>
  <c r="H779" i="1" s="1"/>
  <c r="E779" i="1"/>
  <c r="C779" i="1"/>
  <c r="G778" i="1"/>
  <c r="F778" i="1" s="1"/>
  <c r="H778" i="1" s="1"/>
  <c r="E778" i="1"/>
  <c r="C778" i="1"/>
  <c r="G777" i="1"/>
  <c r="F777" i="1" s="1"/>
  <c r="H777" i="1" s="1"/>
  <c r="E777" i="1"/>
  <c r="C777" i="1"/>
  <c r="G776" i="1"/>
  <c r="F776" i="1" s="1"/>
  <c r="H776" i="1" s="1"/>
  <c r="E776" i="1"/>
  <c r="C776" i="1"/>
  <c r="G775" i="1"/>
  <c r="F775" i="1" s="1"/>
  <c r="H775" i="1" s="1"/>
  <c r="E775" i="1"/>
  <c r="C775" i="1"/>
  <c r="G774" i="1"/>
  <c r="F774" i="1" s="1"/>
  <c r="H774" i="1" s="1"/>
  <c r="E774" i="1"/>
  <c r="C774" i="1"/>
  <c r="G773" i="1"/>
  <c r="F773" i="1" s="1"/>
  <c r="H773" i="1" s="1"/>
  <c r="E773" i="1"/>
  <c r="C773" i="1"/>
  <c r="G772" i="1"/>
  <c r="F772" i="1" s="1"/>
  <c r="H772" i="1" s="1"/>
  <c r="E772" i="1"/>
  <c r="C772" i="1"/>
  <c r="G771" i="1"/>
  <c r="F771" i="1" s="1"/>
  <c r="H771" i="1" s="1"/>
  <c r="E771" i="1"/>
  <c r="C771" i="1"/>
  <c r="G770" i="1"/>
  <c r="F770" i="1" s="1"/>
  <c r="H770" i="1" s="1"/>
  <c r="E770" i="1"/>
  <c r="C770" i="1"/>
  <c r="G769" i="1"/>
  <c r="F769" i="1" s="1"/>
  <c r="H769" i="1" s="1"/>
  <c r="E769" i="1"/>
  <c r="C769" i="1"/>
  <c r="G768" i="1"/>
  <c r="F768" i="1" s="1"/>
  <c r="H768" i="1" s="1"/>
  <c r="E768" i="1"/>
  <c r="C768" i="1"/>
  <c r="G767" i="1"/>
  <c r="F767" i="1" s="1"/>
  <c r="H767" i="1" s="1"/>
  <c r="E767" i="1"/>
  <c r="C767" i="1"/>
  <c r="G766" i="1"/>
  <c r="F766" i="1" s="1"/>
  <c r="H766" i="1" s="1"/>
  <c r="E766" i="1"/>
  <c r="C766" i="1"/>
  <c r="G765" i="1"/>
  <c r="F765" i="1" s="1"/>
  <c r="H765" i="1" s="1"/>
  <c r="E765" i="1"/>
  <c r="C765" i="1"/>
  <c r="G764" i="1"/>
  <c r="F764" i="1" s="1"/>
  <c r="H764" i="1" s="1"/>
  <c r="E764" i="1"/>
  <c r="C764" i="1"/>
  <c r="G763" i="1"/>
  <c r="F763" i="1" s="1"/>
  <c r="H763" i="1" s="1"/>
  <c r="E763" i="1"/>
  <c r="C763" i="1"/>
  <c r="G762" i="1"/>
  <c r="F762" i="1" s="1"/>
  <c r="H762" i="1" s="1"/>
  <c r="E762" i="1"/>
  <c r="C762" i="1"/>
  <c r="G761" i="1"/>
  <c r="F761" i="1" s="1"/>
  <c r="H761" i="1" s="1"/>
  <c r="E761" i="1"/>
  <c r="C761" i="1"/>
  <c r="G760" i="1"/>
  <c r="F760" i="1" s="1"/>
  <c r="H760" i="1" s="1"/>
  <c r="E760" i="1"/>
  <c r="C760" i="1"/>
  <c r="G759" i="1"/>
  <c r="F759" i="1" s="1"/>
  <c r="H759" i="1" s="1"/>
  <c r="E759" i="1"/>
  <c r="C759" i="1"/>
  <c r="G758" i="1"/>
  <c r="F758" i="1" s="1"/>
  <c r="H758" i="1" s="1"/>
  <c r="E758" i="1"/>
  <c r="C758" i="1"/>
  <c r="G757" i="1"/>
  <c r="F757" i="1" s="1"/>
  <c r="H757" i="1" s="1"/>
  <c r="E757" i="1"/>
  <c r="C757" i="1"/>
  <c r="G756" i="1"/>
  <c r="F756" i="1" s="1"/>
  <c r="H756" i="1" s="1"/>
  <c r="E756" i="1"/>
  <c r="C756" i="1"/>
  <c r="G755" i="1"/>
  <c r="F755" i="1" s="1"/>
  <c r="H755" i="1" s="1"/>
  <c r="E755" i="1"/>
  <c r="C755" i="1"/>
  <c r="G754" i="1"/>
  <c r="F754" i="1" s="1"/>
  <c r="H754" i="1" s="1"/>
  <c r="E754" i="1"/>
  <c r="C754" i="1"/>
  <c r="G753" i="1"/>
  <c r="F753" i="1" s="1"/>
  <c r="H753" i="1" s="1"/>
  <c r="E753" i="1"/>
  <c r="C753" i="1"/>
  <c r="G752" i="1"/>
  <c r="F752" i="1" s="1"/>
  <c r="H752" i="1" s="1"/>
  <c r="E752" i="1"/>
  <c r="C752" i="1"/>
  <c r="G751" i="1"/>
  <c r="F751" i="1" s="1"/>
  <c r="H751" i="1" s="1"/>
  <c r="E751" i="1"/>
  <c r="C751" i="1"/>
  <c r="G750" i="1"/>
  <c r="F750" i="1" s="1"/>
  <c r="H750" i="1" s="1"/>
  <c r="E750" i="1"/>
  <c r="C750" i="1"/>
  <c r="G749" i="1"/>
  <c r="F749" i="1" s="1"/>
  <c r="H749" i="1" s="1"/>
  <c r="E749" i="1"/>
  <c r="C749" i="1"/>
  <c r="G748" i="1"/>
  <c r="F748" i="1" s="1"/>
  <c r="H748" i="1" s="1"/>
  <c r="E748" i="1"/>
  <c r="C748" i="1"/>
  <c r="G747" i="1"/>
  <c r="F747" i="1" s="1"/>
  <c r="H747" i="1" s="1"/>
  <c r="E747" i="1"/>
  <c r="C747" i="1"/>
  <c r="G746" i="1"/>
  <c r="F746" i="1" s="1"/>
  <c r="H746" i="1" s="1"/>
  <c r="E746" i="1"/>
  <c r="C746" i="1"/>
  <c r="G745" i="1"/>
  <c r="F745" i="1" s="1"/>
  <c r="H745" i="1" s="1"/>
  <c r="E745" i="1"/>
  <c r="C745" i="1"/>
  <c r="G744" i="1"/>
  <c r="F744" i="1" s="1"/>
  <c r="H744" i="1" s="1"/>
  <c r="E744" i="1"/>
  <c r="C744" i="1"/>
  <c r="G743" i="1"/>
  <c r="F743" i="1" s="1"/>
  <c r="H743" i="1" s="1"/>
  <c r="E743" i="1"/>
  <c r="C743" i="1"/>
  <c r="G742" i="1"/>
  <c r="F742" i="1" s="1"/>
  <c r="H742" i="1" s="1"/>
  <c r="E742" i="1"/>
  <c r="C742" i="1"/>
  <c r="G741" i="1"/>
  <c r="F741" i="1" s="1"/>
  <c r="H741" i="1" s="1"/>
  <c r="E741" i="1"/>
  <c r="C741" i="1"/>
  <c r="G740" i="1"/>
  <c r="F740" i="1" s="1"/>
  <c r="H740" i="1" s="1"/>
  <c r="E740" i="1"/>
  <c r="C740" i="1"/>
  <c r="G739" i="1"/>
  <c r="F739" i="1" s="1"/>
  <c r="H739" i="1" s="1"/>
  <c r="E739" i="1"/>
  <c r="C739" i="1"/>
  <c r="G738" i="1"/>
  <c r="F738" i="1" s="1"/>
  <c r="H738" i="1" s="1"/>
  <c r="E738" i="1"/>
  <c r="C738" i="1"/>
  <c r="G737" i="1"/>
  <c r="F737" i="1" s="1"/>
  <c r="H737" i="1" s="1"/>
  <c r="E737" i="1"/>
  <c r="C737" i="1"/>
  <c r="G736" i="1"/>
  <c r="F736" i="1" s="1"/>
  <c r="H736" i="1" s="1"/>
  <c r="E736" i="1"/>
  <c r="C736" i="1"/>
  <c r="G735" i="1"/>
  <c r="F735" i="1" s="1"/>
  <c r="H735" i="1" s="1"/>
  <c r="E735" i="1"/>
  <c r="C735" i="1"/>
  <c r="G734" i="1"/>
  <c r="F734" i="1" s="1"/>
  <c r="H734" i="1" s="1"/>
  <c r="E734" i="1"/>
  <c r="C734" i="1"/>
  <c r="G733" i="1"/>
  <c r="F733" i="1" s="1"/>
  <c r="H733" i="1" s="1"/>
  <c r="E733" i="1"/>
  <c r="C733" i="1"/>
  <c r="G732" i="1"/>
  <c r="F732" i="1" s="1"/>
  <c r="H732" i="1" s="1"/>
  <c r="E732" i="1"/>
  <c r="C732" i="1"/>
  <c r="G731" i="1"/>
  <c r="F731" i="1" s="1"/>
  <c r="H731" i="1" s="1"/>
  <c r="E731" i="1"/>
  <c r="C731" i="1"/>
  <c r="G730" i="1"/>
  <c r="F730" i="1" s="1"/>
  <c r="H730" i="1" s="1"/>
  <c r="E730" i="1"/>
  <c r="C730" i="1"/>
  <c r="G729" i="1"/>
  <c r="F729" i="1" s="1"/>
  <c r="H729" i="1" s="1"/>
  <c r="E729" i="1"/>
  <c r="C729" i="1"/>
  <c r="G728" i="1"/>
  <c r="F728" i="1" s="1"/>
  <c r="H728" i="1" s="1"/>
  <c r="E728" i="1"/>
  <c r="C728" i="1"/>
  <c r="G727" i="1"/>
  <c r="F727" i="1" s="1"/>
  <c r="H727" i="1" s="1"/>
  <c r="E727" i="1"/>
  <c r="C727" i="1"/>
  <c r="G726" i="1"/>
  <c r="F726" i="1" s="1"/>
  <c r="H726" i="1" s="1"/>
  <c r="E726" i="1"/>
  <c r="C726" i="1"/>
  <c r="G725" i="1"/>
  <c r="F725" i="1" s="1"/>
  <c r="H725" i="1" s="1"/>
  <c r="E725" i="1"/>
  <c r="C725" i="1"/>
  <c r="G724" i="1"/>
  <c r="F724" i="1" s="1"/>
  <c r="H724" i="1" s="1"/>
  <c r="E724" i="1"/>
  <c r="C724" i="1"/>
  <c r="G723" i="1"/>
  <c r="F723" i="1" s="1"/>
  <c r="H723" i="1" s="1"/>
  <c r="E723" i="1"/>
  <c r="C723" i="1"/>
  <c r="G722" i="1"/>
  <c r="F722" i="1" s="1"/>
  <c r="H722" i="1" s="1"/>
  <c r="E722" i="1"/>
  <c r="C722" i="1"/>
  <c r="G721" i="1"/>
  <c r="F721" i="1" s="1"/>
  <c r="H721" i="1" s="1"/>
  <c r="E721" i="1"/>
  <c r="C721" i="1"/>
  <c r="G720" i="1"/>
  <c r="F720" i="1" s="1"/>
  <c r="H720" i="1" s="1"/>
  <c r="E720" i="1"/>
  <c r="C720" i="1"/>
  <c r="G719" i="1"/>
  <c r="F719" i="1" s="1"/>
  <c r="H719" i="1" s="1"/>
  <c r="E719" i="1"/>
  <c r="C719" i="1"/>
  <c r="G718" i="1"/>
  <c r="F718" i="1" s="1"/>
  <c r="H718" i="1" s="1"/>
  <c r="E718" i="1"/>
  <c r="C718" i="1"/>
  <c r="G717" i="1"/>
  <c r="F717" i="1" s="1"/>
  <c r="H717" i="1" s="1"/>
  <c r="E717" i="1"/>
  <c r="C717" i="1"/>
  <c r="AH716" i="1"/>
  <c r="G716" i="1" s="1"/>
  <c r="E716" i="1"/>
  <c r="D716" i="1"/>
  <c r="C716" i="1"/>
  <c r="G715" i="1"/>
  <c r="F715" i="1" s="1"/>
  <c r="H715" i="1" s="1"/>
  <c r="E715" i="1"/>
  <c r="C715" i="1"/>
  <c r="G714" i="1"/>
  <c r="F714" i="1" s="1"/>
  <c r="H714" i="1" s="1"/>
  <c r="E714" i="1"/>
  <c r="C714" i="1"/>
  <c r="G713" i="1"/>
  <c r="F713" i="1" s="1"/>
  <c r="H713" i="1" s="1"/>
  <c r="E713" i="1"/>
  <c r="C713" i="1"/>
  <c r="G712" i="1"/>
  <c r="F712" i="1" s="1"/>
  <c r="H712" i="1" s="1"/>
  <c r="E712" i="1"/>
  <c r="C712" i="1"/>
  <c r="G711" i="1"/>
  <c r="F711" i="1" s="1"/>
  <c r="H711" i="1" s="1"/>
  <c r="E711" i="1"/>
  <c r="C711" i="1"/>
  <c r="G710" i="1"/>
  <c r="F710" i="1" s="1"/>
  <c r="H710" i="1" s="1"/>
  <c r="E710" i="1"/>
  <c r="C710" i="1"/>
  <c r="G709" i="1"/>
  <c r="F709" i="1" s="1"/>
  <c r="H709" i="1" s="1"/>
  <c r="E709" i="1"/>
  <c r="C709" i="1"/>
  <c r="G708" i="1"/>
  <c r="F708" i="1" s="1"/>
  <c r="H708" i="1" s="1"/>
  <c r="E708" i="1"/>
  <c r="C708" i="1"/>
  <c r="G707" i="1"/>
  <c r="F707" i="1" s="1"/>
  <c r="H707" i="1" s="1"/>
  <c r="E707" i="1"/>
  <c r="C707" i="1"/>
  <c r="G706" i="1"/>
  <c r="F706" i="1" s="1"/>
  <c r="H706" i="1" s="1"/>
  <c r="E706" i="1"/>
  <c r="C706" i="1"/>
  <c r="G705" i="1"/>
  <c r="F705" i="1" s="1"/>
  <c r="H705" i="1" s="1"/>
  <c r="E705" i="1"/>
  <c r="C705" i="1"/>
  <c r="G704" i="1"/>
  <c r="F704" i="1" s="1"/>
  <c r="H704" i="1" s="1"/>
  <c r="E704" i="1"/>
  <c r="C704" i="1"/>
  <c r="G703" i="1"/>
  <c r="F703" i="1" s="1"/>
  <c r="H703" i="1" s="1"/>
  <c r="E703" i="1"/>
  <c r="C703" i="1"/>
  <c r="G702" i="1"/>
  <c r="F702" i="1" s="1"/>
  <c r="H702" i="1" s="1"/>
  <c r="E702" i="1"/>
  <c r="C702" i="1"/>
  <c r="G701" i="1"/>
  <c r="F701" i="1" s="1"/>
  <c r="H701" i="1" s="1"/>
  <c r="E701" i="1"/>
  <c r="C701" i="1"/>
  <c r="G700" i="1"/>
  <c r="F700" i="1" s="1"/>
  <c r="H700" i="1" s="1"/>
  <c r="E700" i="1"/>
  <c r="C700" i="1"/>
  <c r="G699" i="1"/>
  <c r="F699" i="1" s="1"/>
  <c r="H699" i="1" s="1"/>
  <c r="E699" i="1"/>
  <c r="C699" i="1"/>
  <c r="G698" i="1"/>
  <c r="F698" i="1" s="1"/>
  <c r="H698" i="1" s="1"/>
  <c r="E698" i="1"/>
  <c r="C698" i="1"/>
  <c r="G697" i="1"/>
  <c r="F697" i="1" s="1"/>
  <c r="H697" i="1" s="1"/>
  <c r="E697" i="1"/>
  <c r="C697" i="1"/>
  <c r="G696" i="1"/>
  <c r="F696" i="1" s="1"/>
  <c r="H696" i="1" s="1"/>
  <c r="E696" i="1"/>
  <c r="C696" i="1"/>
  <c r="G695" i="1"/>
  <c r="F695" i="1" s="1"/>
  <c r="H695" i="1" s="1"/>
  <c r="E695" i="1"/>
  <c r="C695" i="1"/>
  <c r="G694" i="1"/>
  <c r="F694" i="1" s="1"/>
  <c r="H694" i="1" s="1"/>
  <c r="E694" i="1"/>
  <c r="C694" i="1"/>
  <c r="G693" i="1"/>
  <c r="F693" i="1" s="1"/>
  <c r="H693" i="1" s="1"/>
  <c r="E693" i="1"/>
  <c r="C693" i="1"/>
  <c r="G692" i="1"/>
  <c r="F692" i="1" s="1"/>
  <c r="H692" i="1" s="1"/>
  <c r="E692" i="1"/>
  <c r="C692" i="1"/>
  <c r="G691" i="1"/>
  <c r="F691" i="1" s="1"/>
  <c r="H691" i="1" s="1"/>
  <c r="E691" i="1"/>
  <c r="C691" i="1"/>
  <c r="G690" i="1"/>
  <c r="F690" i="1" s="1"/>
  <c r="H690" i="1" s="1"/>
  <c r="E690" i="1"/>
  <c r="C690" i="1"/>
  <c r="G689" i="1"/>
  <c r="F689" i="1" s="1"/>
  <c r="H689" i="1" s="1"/>
  <c r="E689" i="1"/>
  <c r="C689" i="1"/>
  <c r="G688" i="1"/>
  <c r="F688" i="1" s="1"/>
  <c r="H688" i="1" s="1"/>
  <c r="E688" i="1"/>
  <c r="C688" i="1"/>
  <c r="G687" i="1"/>
  <c r="F687" i="1" s="1"/>
  <c r="H687" i="1" s="1"/>
  <c r="E687" i="1"/>
  <c r="C687" i="1"/>
  <c r="G686" i="1"/>
  <c r="F686" i="1" s="1"/>
  <c r="H686" i="1" s="1"/>
  <c r="E686" i="1"/>
  <c r="C686" i="1"/>
  <c r="G685" i="1"/>
  <c r="F685" i="1" s="1"/>
  <c r="H685" i="1" s="1"/>
  <c r="E685" i="1"/>
  <c r="C685" i="1"/>
  <c r="G684" i="1"/>
  <c r="F684" i="1" s="1"/>
  <c r="H684" i="1" s="1"/>
  <c r="E684" i="1"/>
  <c r="C684" i="1"/>
  <c r="G683" i="1"/>
  <c r="F683" i="1" s="1"/>
  <c r="H683" i="1" s="1"/>
  <c r="E683" i="1"/>
  <c r="C683" i="1"/>
  <c r="G682" i="1"/>
  <c r="F682" i="1" s="1"/>
  <c r="H682" i="1" s="1"/>
  <c r="E682" i="1"/>
  <c r="C682" i="1"/>
  <c r="G681" i="1"/>
  <c r="F681" i="1" s="1"/>
  <c r="H681" i="1" s="1"/>
  <c r="E681" i="1"/>
  <c r="C681" i="1"/>
  <c r="G680" i="1"/>
  <c r="F680" i="1" s="1"/>
  <c r="H680" i="1" s="1"/>
  <c r="E680" i="1"/>
  <c r="C680" i="1"/>
  <c r="G679" i="1"/>
  <c r="F679" i="1" s="1"/>
  <c r="H679" i="1" s="1"/>
  <c r="E679" i="1"/>
  <c r="C679" i="1"/>
  <c r="G678" i="1"/>
  <c r="F678" i="1" s="1"/>
  <c r="H678" i="1" s="1"/>
  <c r="E678" i="1"/>
  <c r="C678" i="1"/>
  <c r="G677" i="1"/>
  <c r="F677" i="1" s="1"/>
  <c r="H677" i="1" s="1"/>
  <c r="E677" i="1"/>
  <c r="C677" i="1"/>
  <c r="G676" i="1"/>
  <c r="F676" i="1" s="1"/>
  <c r="H676" i="1" s="1"/>
  <c r="E676" i="1"/>
  <c r="C676" i="1"/>
  <c r="G675" i="1"/>
  <c r="F675" i="1" s="1"/>
  <c r="H675" i="1" s="1"/>
  <c r="E675" i="1"/>
  <c r="C675" i="1"/>
  <c r="G674" i="1"/>
  <c r="F674" i="1" s="1"/>
  <c r="H674" i="1" s="1"/>
  <c r="E674" i="1"/>
  <c r="C674" i="1"/>
  <c r="G673" i="1"/>
  <c r="F673" i="1" s="1"/>
  <c r="H673" i="1" s="1"/>
  <c r="E673" i="1"/>
  <c r="C673" i="1"/>
  <c r="G672" i="1"/>
  <c r="F672" i="1" s="1"/>
  <c r="H672" i="1" s="1"/>
  <c r="E672" i="1"/>
  <c r="C672" i="1"/>
  <c r="G671" i="1"/>
  <c r="F671" i="1" s="1"/>
  <c r="H671" i="1" s="1"/>
  <c r="E671" i="1"/>
  <c r="C671" i="1"/>
  <c r="G670" i="1"/>
  <c r="F670" i="1" s="1"/>
  <c r="H670" i="1" s="1"/>
  <c r="E670" i="1"/>
  <c r="C670" i="1"/>
  <c r="G669" i="1"/>
  <c r="F669" i="1" s="1"/>
  <c r="H669" i="1" s="1"/>
  <c r="E669" i="1"/>
  <c r="C669" i="1"/>
  <c r="G668" i="1"/>
  <c r="F668" i="1" s="1"/>
  <c r="H668" i="1" s="1"/>
  <c r="E668" i="1"/>
  <c r="C668" i="1"/>
  <c r="G667" i="1"/>
  <c r="F667" i="1" s="1"/>
  <c r="H667" i="1" s="1"/>
  <c r="E667" i="1"/>
  <c r="C667" i="1"/>
  <c r="G666" i="1"/>
  <c r="F666" i="1" s="1"/>
  <c r="H666" i="1" s="1"/>
  <c r="E666" i="1"/>
  <c r="C666" i="1"/>
  <c r="G665" i="1"/>
  <c r="F665" i="1" s="1"/>
  <c r="H665" i="1" s="1"/>
  <c r="E665" i="1"/>
  <c r="C665" i="1"/>
  <c r="G664" i="1"/>
  <c r="F664" i="1" s="1"/>
  <c r="H664" i="1" s="1"/>
  <c r="E664" i="1"/>
  <c r="C664" i="1"/>
  <c r="G663" i="1"/>
  <c r="F663" i="1" s="1"/>
  <c r="H663" i="1" s="1"/>
  <c r="E663" i="1"/>
  <c r="C663" i="1"/>
  <c r="G662" i="1"/>
  <c r="F662" i="1" s="1"/>
  <c r="H662" i="1" s="1"/>
  <c r="E662" i="1"/>
  <c r="C662" i="1"/>
  <c r="G661" i="1"/>
  <c r="F661" i="1" s="1"/>
  <c r="H661" i="1" s="1"/>
  <c r="E661" i="1"/>
  <c r="C661" i="1"/>
  <c r="G660" i="1"/>
  <c r="F660" i="1" s="1"/>
  <c r="H660" i="1" s="1"/>
  <c r="E660" i="1"/>
  <c r="C660" i="1"/>
  <c r="G659" i="1"/>
  <c r="F659" i="1" s="1"/>
  <c r="H659" i="1" s="1"/>
  <c r="E659" i="1"/>
  <c r="C659" i="1"/>
  <c r="G658" i="1"/>
  <c r="F658" i="1" s="1"/>
  <c r="H658" i="1" s="1"/>
  <c r="E658" i="1"/>
  <c r="C658" i="1"/>
  <c r="G657" i="1"/>
  <c r="F657" i="1" s="1"/>
  <c r="H657" i="1" s="1"/>
  <c r="E657" i="1"/>
  <c r="C657" i="1"/>
  <c r="G656" i="1"/>
  <c r="F656" i="1" s="1"/>
  <c r="H656" i="1" s="1"/>
  <c r="E656" i="1"/>
  <c r="C656" i="1"/>
  <c r="G655" i="1"/>
  <c r="F655" i="1" s="1"/>
  <c r="H655" i="1" s="1"/>
  <c r="E655" i="1"/>
  <c r="C655" i="1"/>
  <c r="G654" i="1"/>
  <c r="F654" i="1" s="1"/>
  <c r="H654" i="1" s="1"/>
  <c r="E654" i="1"/>
  <c r="C654" i="1"/>
  <c r="G653" i="1"/>
  <c r="F653" i="1" s="1"/>
  <c r="H653" i="1" s="1"/>
  <c r="E653" i="1"/>
  <c r="C653" i="1"/>
  <c r="G652" i="1"/>
  <c r="F652" i="1" s="1"/>
  <c r="H652" i="1" s="1"/>
  <c r="E652" i="1"/>
  <c r="C652" i="1"/>
  <c r="G651" i="1"/>
  <c r="F651" i="1" s="1"/>
  <c r="H651" i="1" s="1"/>
  <c r="E651" i="1"/>
  <c r="C651" i="1"/>
  <c r="G650" i="1"/>
  <c r="F650" i="1" s="1"/>
  <c r="H650" i="1" s="1"/>
  <c r="E650" i="1"/>
  <c r="C650" i="1"/>
  <c r="G649" i="1"/>
  <c r="F649" i="1" s="1"/>
  <c r="H649" i="1" s="1"/>
  <c r="E649" i="1"/>
  <c r="C649" i="1"/>
  <c r="G648" i="1"/>
  <c r="F648" i="1" s="1"/>
  <c r="H648" i="1" s="1"/>
  <c r="E648" i="1"/>
  <c r="C648" i="1"/>
  <c r="G647" i="1"/>
  <c r="F647" i="1" s="1"/>
  <c r="H647" i="1" s="1"/>
  <c r="E647" i="1"/>
  <c r="C647" i="1"/>
  <c r="G646" i="1"/>
  <c r="F646" i="1" s="1"/>
  <c r="H646" i="1" s="1"/>
  <c r="E646" i="1"/>
  <c r="C646" i="1"/>
  <c r="G645" i="1"/>
  <c r="F645" i="1" s="1"/>
  <c r="H645" i="1" s="1"/>
  <c r="E645" i="1"/>
  <c r="C645" i="1"/>
  <c r="G644" i="1"/>
  <c r="F644" i="1" s="1"/>
  <c r="H644" i="1" s="1"/>
  <c r="E644" i="1"/>
  <c r="C644" i="1"/>
  <c r="G643" i="1"/>
  <c r="F643" i="1" s="1"/>
  <c r="H643" i="1" s="1"/>
  <c r="E643" i="1"/>
  <c r="C643" i="1"/>
  <c r="G642" i="1"/>
  <c r="F642" i="1" s="1"/>
  <c r="H642" i="1" s="1"/>
  <c r="E642" i="1"/>
  <c r="C642" i="1"/>
  <c r="G641" i="1"/>
  <c r="F641" i="1" s="1"/>
  <c r="H641" i="1" s="1"/>
  <c r="E641" i="1"/>
  <c r="C641" i="1"/>
  <c r="G640" i="1"/>
  <c r="F640" i="1" s="1"/>
  <c r="H640" i="1" s="1"/>
  <c r="E640" i="1"/>
  <c r="C640" i="1"/>
  <c r="G639" i="1"/>
  <c r="F639" i="1" s="1"/>
  <c r="H639" i="1" s="1"/>
  <c r="E639" i="1"/>
  <c r="C639" i="1"/>
  <c r="G638" i="1"/>
  <c r="F638" i="1" s="1"/>
  <c r="H638" i="1" s="1"/>
  <c r="E638" i="1"/>
  <c r="C638" i="1"/>
  <c r="G637" i="1"/>
  <c r="F637" i="1" s="1"/>
  <c r="H637" i="1" s="1"/>
  <c r="E637" i="1"/>
  <c r="C637" i="1"/>
  <c r="G636" i="1"/>
  <c r="F636" i="1" s="1"/>
  <c r="H636" i="1" s="1"/>
  <c r="E636" i="1"/>
  <c r="C636" i="1"/>
  <c r="G635" i="1"/>
  <c r="F635" i="1" s="1"/>
  <c r="H635" i="1" s="1"/>
  <c r="E635" i="1"/>
  <c r="C635" i="1"/>
  <c r="G634" i="1"/>
  <c r="F634" i="1" s="1"/>
  <c r="H634" i="1" s="1"/>
  <c r="E634" i="1"/>
  <c r="C634" i="1"/>
  <c r="G633" i="1"/>
  <c r="F633" i="1" s="1"/>
  <c r="H633" i="1" s="1"/>
  <c r="E633" i="1"/>
  <c r="C633" i="1"/>
  <c r="G632" i="1"/>
  <c r="F632" i="1" s="1"/>
  <c r="H632" i="1" s="1"/>
  <c r="E632" i="1"/>
  <c r="C632" i="1"/>
  <c r="G631" i="1"/>
  <c r="F631" i="1" s="1"/>
  <c r="H631" i="1" s="1"/>
  <c r="E631" i="1"/>
  <c r="C631" i="1"/>
  <c r="G630" i="1"/>
  <c r="F630" i="1" s="1"/>
  <c r="H630" i="1" s="1"/>
  <c r="E630" i="1"/>
  <c r="C630" i="1"/>
  <c r="G629" i="1"/>
  <c r="F629" i="1" s="1"/>
  <c r="H629" i="1" s="1"/>
  <c r="E629" i="1"/>
  <c r="C629" i="1"/>
  <c r="G628" i="1"/>
  <c r="F628" i="1" s="1"/>
  <c r="H628" i="1" s="1"/>
  <c r="E628" i="1"/>
  <c r="C628" i="1"/>
  <c r="G627" i="1"/>
  <c r="F627" i="1" s="1"/>
  <c r="H627" i="1" s="1"/>
  <c r="E627" i="1"/>
  <c r="C627" i="1"/>
  <c r="G626" i="1"/>
  <c r="F626" i="1" s="1"/>
  <c r="H626" i="1" s="1"/>
  <c r="E626" i="1"/>
  <c r="C626" i="1"/>
  <c r="G625" i="1"/>
  <c r="F625" i="1" s="1"/>
  <c r="H625" i="1" s="1"/>
  <c r="E625" i="1"/>
  <c r="C625" i="1"/>
  <c r="G624" i="1"/>
  <c r="F624" i="1" s="1"/>
  <c r="H624" i="1" s="1"/>
  <c r="E624" i="1"/>
  <c r="C624" i="1"/>
  <c r="G623" i="1"/>
  <c r="F623" i="1" s="1"/>
  <c r="H623" i="1" s="1"/>
  <c r="E623" i="1"/>
  <c r="C623" i="1"/>
  <c r="G622" i="1"/>
  <c r="F622" i="1" s="1"/>
  <c r="H622" i="1" s="1"/>
  <c r="E622" i="1"/>
  <c r="C622" i="1"/>
  <c r="G621" i="1"/>
  <c r="F621" i="1" s="1"/>
  <c r="H621" i="1" s="1"/>
  <c r="E621" i="1"/>
  <c r="C621" i="1"/>
  <c r="G620" i="1"/>
  <c r="F620" i="1" s="1"/>
  <c r="H620" i="1" s="1"/>
  <c r="E620" i="1"/>
  <c r="C620" i="1"/>
  <c r="G619" i="1"/>
  <c r="F619" i="1" s="1"/>
  <c r="H619" i="1" s="1"/>
  <c r="E619" i="1"/>
  <c r="C619" i="1"/>
  <c r="G618" i="1"/>
  <c r="F618" i="1" s="1"/>
  <c r="H618" i="1" s="1"/>
  <c r="E618" i="1"/>
  <c r="C618" i="1"/>
  <c r="G617" i="1"/>
  <c r="F617" i="1" s="1"/>
  <c r="H617" i="1" s="1"/>
  <c r="E617" i="1"/>
  <c r="C617" i="1"/>
  <c r="G616" i="1"/>
  <c r="F616" i="1" s="1"/>
  <c r="H616" i="1" s="1"/>
  <c r="E616" i="1"/>
  <c r="C616" i="1"/>
  <c r="G615" i="1"/>
  <c r="F615" i="1" s="1"/>
  <c r="H615" i="1" s="1"/>
  <c r="E615" i="1"/>
  <c r="C615" i="1"/>
  <c r="G614" i="1"/>
  <c r="F614" i="1" s="1"/>
  <c r="H614" i="1" s="1"/>
  <c r="E614" i="1"/>
  <c r="C614" i="1"/>
  <c r="G613" i="1"/>
  <c r="F613" i="1" s="1"/>
  <c r="H613" i="1" s="1"/>
  <c r="E613" i="1"/>
  <c r="C613" i="1"/>
  <c r="G612" i="1"/>
  <c r="F612" i="1" s="1"/>
  <c r="H612" i="1" s="1"/>
  <c r="E612" i="1"/>
  <c r="C612" i="1"/>
  <c r="G611" i="1"/>
  <c r="F611" i="1" s="1"/>
  <c r="H611" i="1" s="1"/>
  <c r="E611" i="1"/>
  <c r="C611" i="1"/>
  <c r="G610" i="1"/>
  <c r="F610" i="1" s="1"/>
  <c r="H610" i="1" s="1"/>
  <c r="E610" i="1"/>
  <c r="C610" i="1"/>
  <c r="G609" i="1"/>
  <c r="F609" i="1" s="1"/>
  <c r="H609" i="1" s="1"/>
  <c r="E609" i="1"/>
  <c r="C609" i="1"/>
  <c r="G608" i="1"/>
  <c r="F608" i="1" s="1"/>
  <c r="H608" i="1" s="1"/>
  <c r="E608" i="1"/>
  <c r="C608" i="1"/>
  <c r="G607" i="1"/>
  <c r="F607" i="1" s="1"/>
  <c r="H607" i="1" s="1"/>
  <c r="E607" i="1"/>
  <c r="C607" i="1"/>
  <c r="G606" i="1"/>
  <c r="F606" i="1" s="1"/>
  <c r="H606" i="1" s="1"/>
  <c r="E606" i="1"/>
  <c r="C606" i="1"/>
  <c r="G605" i="1"/>
  <c r="F605" i="1" s="1"/>
  <c r="H605" i="1" s="1"/>
  <c r="E605" i="1"/>
  <c r="C605" i="1"/>
  <c r="G604" i="1"/>
  <c r="F604" i="1" s="1"/>
  <c r="H604" i="1" s="1"/>
  <c r="E604" i="1"/>
  <c r="C604" i="1"/>
  <c r="G603" i="1"/>
  <c r="F603" i="1" s="1"/>
  <c r="H603" i="1" s="1"/>
  <c r="E603" i="1"/>
  <c r="C603" i="1"/>
  <c r="G602" i="1"/>
  <c r="F602" i="1" s="1"/>
  <c r="H602" i="1" s="1"/>
  <c r="E602" i="1"/>
  <c r="C602" i="1"/>
  <c r="G601" i="1"/>
  <c r="F601" i="1" s="1"/>
  <c r="H601" i="1" s="1"/>
  <c r="E601" i="1"/>
  <c r="C601" i="1"/>
  <c r="G600" i="1"/>
  <c r="F600" i="1" s="1"/>
  <c r="H600" i="1" s="1"/>
  <c r="E600" i="1"/>
  <c r="C600" i="1"/>
  <c r="G599" i="1"/>
  <c r="F599" i="1" s="1"/>
  <c r="H599" i="1" s="1"/>
  <c r="E599" i="1"/>
  <c r="C599" i="1"/>
  <c r="G598" i="1"/>
  <c r="F598" i="1" s="1"/>
  <c r="H598" i="1" s="1"/>
  <c r="E598" i="1"/>
  <c r="C598" i="1"/>
  <c r="G597" i="1"/>
  <c r="F597" i="1" s="1"/>
  <c r="H597" i="1" s="1"/>
  <c r="E597" i="1"/>
  <c r="C597" i="1"/>
  <c r="G596" i="1"/>
  <c r="F596" i="1" s="1"/>
  <c r="H596" i="1" s="1"/>
  <c r="E596" i="1"/>
  <c r="C596" i="1"/>
  <c r="G595" i="1"/>
  <c r="F595" i="1" s="1"/>
  <c r="H595" i="1" s="1"/>
  <c r="E595" i="1"/>
  <c r="C595" i="1"/>
  <c r="G594" i="1"/>
  <c r="F594" i="1" s="1"/>
  <c r="H594" i="1" s="1"/>
  <c r="E594" i="1"/>
  <c r="C594" i="1"/>
  <c r="G593" i="1"/>
  <c r="F593" i="1" s="1"/>
  <c r="H593" i="1" s="1"/>
  <c r="E593" i="1"/>
  <c r="C593" i="1"/>
  <c r="G592" i="1"/>
  <c r="F592" i="1" s="1"/>
  <c r="H592" i="1" s="1"/>
  <c r="E592" i="1"/>
  <c r="C592" i="1"/>
  <c r="G591" i="1"/>
  <c r="F591" i="1" s="1"/>
  <c r="H591" i="1" s="1"/>
  <c r="E591" i="1"/>
  <c r="C591" i="1"/>
  <c r="G590" i="1"/>
  <c r="F590" i="1" s="1"/>
  <c r="H590" i="1" s="1"/>
  <c r="E590" i="1"/>
  <c r="C590" i="1"/>
  <c r="G589" i="1"/>
  <c r="F589" i="1" s="1"/>
  <c r="H589" i="1" s="1"/>
  <c r="E589" i="1"/>
  <c r="C589" i="1"/>
  <c r="G588" i="1"/>
  <c r="F588" i="1" s="1"/>
  <c r="H588" i="1" s="1"/>
  <c r="E588" i="1"/>
  <c r="C588" i="1"/>
  <c r="G587" i="1"/>
  <c r="F587" i="1" s="1"/>
  <c r="H587" i="1" s="1"/>
  <c r="E587" i="1"/>
  <c r="C587" i="1"/>
  <c r="G586" i="1"/>
  <c r="F586" i="1" s="1"/>
  <c r="H586" i="1" s="1"/>
  <c r="E586" i="1"/>
  <c r="C586" i="1"/>
  <c r="G585" i="1"/>
  <c r="F585" i="1" s="1"/>
  <c r="H585" i="1" s="1"/>
  <c r="E585" i="1"/>
  <c r="C585" i="1"/>
  <c r="G584" i="1"/>
  <c r="F584" i="1" s="1"/>
  <c r="H584" i="1" s="1"/>
  <c r="E584" i="1"/>
  <c r="C584" i="1"/>
  <c r="G583" i="1"/>
  <c r="F583" i="1" s="1"/>
  <c r="H583" i="1" s="1"/>
  <c r="E583" i="1"/>
  <c r="C583" i="1"/>
  <c r="G582" i="1"/>
  <c r="F582" i="1" s="1"/>
  <c r="H582" i="1" s="1"/>
  <c r="E582" i="1"/>
  <c r="C582" i="1"/>
  <c r="G581" i="1"/>
  <c r="F581" i="1" s="1"/>
  <c r="H581" i="1" s="1"/>
  <c r="E581" i="1"/>
  <c r="C581" i="1"/>
  <c r="G580" i="1"/>
  <c r="F580" i="1" s="1"/>
  <c r="H580" i="1" s="1"/>
  <c r="E580" i="1"/>
  <c r="C580" i="1"/>
  <c r="G579" i="1"/>
  <c r="F579" i="1" s="1"/>
  <c r="H579" i="1" s="1"/>
  <c r="E579" i="1"/>
  <c r="C579" i="1"/>
  <c r="G578" i="1"/>
  <c r="F578" i="1" s="1"/>
  <c r="H578" i="1" s="1"/>
  <c r="E578" i="1"/>
  <c r="C578" i="1"/>
  <c r="G577" i="1"/>
  <c r="F577" i="1" s="1"/>
  <c r="H577" i="1" s="1"/>
  <c r="E577" i="1"/>
  <c r="C577" i="1"/>
  <c r="G576" i="1"/>
  <c r="F576" i="1" s="1"/>
  <c r="H576" i="1" s="1"/>
  <c r="E576" i="1"/>
  <c r="C576" i="1"/>
  <c r="G575" i="1"/>
  <c r="F575" i="1" s="1"/>
  <c r="H575" i="1" s="1"/>
  <c r="E575" i="1"/>
  <c r="C575" i="1"/>
  <c r="G574" i="1"/>
  <c r="F574" i="1" s="1"/>
  <c r="H574" i="1" s="1"/>
  <c r="E574" i="1"/>
  <c r="C574" i="1"/>
  <c r="G573" i="1"/>
  <c r="F573" i="1" s="1"/>
  <c r="H573" i="1" s="1"/>
  <c r="E573" i="1"/>
  <c r="C573" i="1"/>
  <c r="G572" i="1"/>
  <c r="F572" i="1" s="1"/>
  <c r="H572" i="1" s="1"/>
  <c r="E572" i="1"/>
  <c r="C572" i="1"/>
  <c r="G571" i="1"/>
  <c r="F571" i="1" s="1"/>
  <c r="H571" i="1" s="1"/>
  <c r="E571" i="1"/>
  <c r="C571" i="1"/>
  <c r="G570" i="1"/>
  <c r="F570" i="1" s="1"/>
  <c r="H570" i="1" s="1"/>
  <c r="E570" i="1"/>
  <c r="C570" i="1"/>
  <c r="G569" i="1"/>
  <c r="F569" i="1" s="1"/>
  <c r="H569" i="1" s="1"/>
  <c r="E569" i="1"/>
  <c r="C569" i="1"/>
  <c r="G568" i="1"/>
  <c r="F568" i="1" s="1"/>
  <c r="H568" i="1" s="1"/>
  <c r="E568" i="1"/>
  <c r="C568" i="1"/>
  <c r="G567" i="1"/>
  <c r="F567" i="1" s="1"/>
  <c r="H567" i="1" s="1"/>
  <c r="E567" i="1"/>
  <c r="C567" i="1"/>
  <c r="G566" i="1"/>
  <c r="F566" i="1" s="1"/>
  <c r="H566" i="1" s="1"/>
  <c r="E566" i="1"/>
  <c r="C566" i="1"/>
  <c r="G565" i="1"/>
  <c r="F565" i="1" s="1"/>
  <c r="H565" i="1" s="1"/>
  <c r="E565" i="1"/>
  <c r="C565" i="1"/>
  <c r="G564" i="1"/>
  <c r="F564" i="1" s="1"/>
  <c r="H564" i="1" s="1"/>
  <c r="E564" i="1"/>
  <c r="C564" i="1"/>
  <c r="G563" i="1"/>
  <c r="F563" i="1" s="1"/>
  <c r="H563" i="1" s="1"/>
  <c r="E563" i="1"/>
  <c r="C563" i="1"/>
  <c r="G562" i="1"/>
  <c r="F562" i="1" s="1"/>
  <c r="H562" i="1" s="1"/>
  <c r="E562" i="1"/>
  <c r="C562" i="1"/>
  <c r="G561" i="1"/>
  <c r="F561" i="1" s="1"/>
  <c r="H561" i="1" s="1"/>
  <c r="E561" i="1"/>
  <c r="C561" i="1"/>
  <c r="G560" i="1"/>
  <c r="F560" i="1" s="1"/>
  <c r="H560" i="1" s="1"/>
  <c r="E560" i="1"/>
  <c r="C560" i="1"/>
  <c r="G559" i="1"/>
  <c r="F559" i="1" s="1"/>
  <c r="H559" i="1" s="1"/>
  <c r="E559" i="1"/>
  <c r="C559" i="1"/>
  <c r="G558" i="1"/>
  <c r="F558" i="1" s="1"/>
  <c r="H558" i="1" s="1"/>
  <c r="E558" i="1"/>
  <c r="C558" i="1"/>
  <c r="G557" i="1"/>
  <c r="F557" i="1" s="1"/>
  <c r="H557" i="1" s="1"/>
  <c r="E557" i="1"/>
  <c r="C557" i="1"/>
  <c r="G556" i="1"/>
  <c r="F556" i="1" s="1"/>
  <c r="H556" i="1" s="1"/>
  <c r="E556" i="1"/>
  <c r="C556" i="1"/>
  <c r="G555" i="1"/>
  <c r="F555" i="1" s="1"/>
  <c r="H555" i="1" s="1"/>
  <c r="E555" i="1"/>
  <c r="C555" i="1"/>
  <c r="G554" i="1"/>
  <c r="F554" i="1" s="1"/>
  <c r="H554" i="1" s="1"/>
  <c r="E554" i="1"/>
  <c r="C554" i="1"/>
  <c r="G553" i="1"/>
  <c r="F553" i="1" s="1"/>
  <c r="H553" i="1" s="1"/>
  <c r="E553" i="1"/>
  <c r="C553" i="1"/>
  <c r="G552" i="1"/>
  <c r="F552" i="1" s="1"/>
  <c r="H552" i="1" s="1"/>
  <c r="E552" i="1"/>
  <c r="C552" i="1"/>
  <c r="G551" i="1"/>
  <c r="F551" i="1" s="1"/>
  <c r="H551" i="1" s="1"/>
  <c r="E551" i="1"/>
  <c r="C551" i="1"/>
  <c r="G550" i="1"/>
  <c r="F550" i="1" s="1"/>
  <c r="H550" i="1" s="1"/>
  <c r="E550" i="1"/>
  <c r="C550" i="1"/>
  <c r="G549" i="1"/>
  <c r="F549" i="1" s="1"/>
  <c r="H549" i="1" s="1"/>
  <c r="E549" i="1"/>
  <c r="C549" i="1"/>
  <c r="G548" i="1"/>
  <c r="F548" i="1" s="1"/>
  <c r="H548" i="1" s="1"/>
  <c r="E548" i="1"/>
  <c r="C548" i="1"/>
  <c r="G547" i="1"/>
  <c r="F547" i="1" s="1"/>
  <c r="H547" i="1" s="1"/>
  <c r="E547" i="1"/>
  <c r="C547" i="1"/>
  <c r="G546" i="1"/>
  <c r="F546" i="1" s="1"/>
  <c r="H546" i="1" s="1"/>
  <c r="E546" i="1"/>
  <c r="C546" i="1"/>
  <c r="G545" i="1"/>
  <c r="F545" i="1" s="1"/>
  <c r="H545" i="1" s="1"/>
  <c r="E545" i="1"/>
  <c r="C545" i="1"/>
  <c r="G544" i="1"/>
  <c r="F544" i="1" s="1"/>
  <c r="H544" i="1" s="1"/>
  <c r="E544" i="1"/>
  <c r="C544" i="1"/>
  <c r="G543" i="1"/>
  <c r="E543" i="1"/>
  <c r="D543" i="1"/>
  <c r="C543" i="1"/>
  <c r="G542" i="1"/>
  <c r="E542" i="1"/>
  <c r="D542" i="1"/>
  <c r="C542" i="1"/>
  <c r="G541" i="1"/>
  <c r="F541" i="1" s="1"/>
  <c r="H541" i="1" s="1"/>
  <c r="E541" i="1"/>
  <c r="C541" i="1"/>
  <c r="G540" i="1"/>
  <c r="F540" i="1" s="1"/>
  <c r="H540" i="1" s="1"/>
  <c r="E540" i="1"/>
  <c r="C540" i="1"/>
  <c r="G539" i="1"/>
  <c r="F539" i="1" s="1"/>
  <c r="H539" i="1" s="1"/>
  <c r="E539" i="1"/>
  <c r="C539" i="1"/>
  <c r="G538" i="1"/>
  <c r="F538" i="1" s="1"/>
  <c r="H538" i="1" s="1"/>
  <c r="E538" i="1"/>
  <c r="C538" i="1"/>
  <c r="G537" i="1"/>
  <c r="F537" i="1" s="1"/>
  <c r="H537" i="1" s="1"/>
  <c r="E537" i="1"/>
  <c r="C537" i="1"/>
  <c r="G536" i="1"/>
  <c r="F536" i="1" s="1"/>
  <c r="H536" i="1" s="1"/>
  <c r="E536" i="1"/>
  <c r="C536" i="1"/>
  <c r="G535" i="1"/>
  <c r="F535" i="1" s="1"/>
  <c r="H535" i="1" s="1"/>
  <c r="E535" i="1"/>
  <c r="C535" i="1"/>
  <c r="G534" i="1"/>
  <c r="F534" i="1" s="1"/>
  <c r="H534" i="1" s="1"/>
  <c r="E534" i="1"/>
  <c r="C534" i="1"/>
  <c r="G533" i="1"/>
  <c r="F533" i="1" s="1"/>
  <c r="H533" i="1" s="1"/>
  <c r="E533" i="1"/>
  <c r="C533" i="1"/>
  <c r="G532" i="1"/>
  <c r="F532" i="1" s="1"/>
  <c r="H532" i="1" s="1"/>
  <c r="E532" i="1"/>
  <c r="C532" i="1"/>
  <c r="G531" i="1"/>
  <c r="F531" i="1" s="1"/>
  <c r="H531" i="1" s="1"/>
  <c r="E531" i="1"/>
  <c r="C531" i="1"/>
  <c r="G530" i="1"/>
  <c r="F530" i="1" s="1"/>
  <c r="H530" i="1" s="1"/>
  <c r="E530" i="1"/>
  <c r="C530" i="1"/>
  <c r="G529" i="1"/>
  <c r="F529" i="1" s="1"/>
  <c r="H529" i="1" s="1"/>
  <c r="E529" i="1"/>
  <c r="C529" i="1"/>
  <c r="G528" i="1"/>
  <c r="F528" i="1" s="1"/>
  <c r="H528" i="1" s="1"/>
  <c r="E528" i="1"/>
  <c r="C528" i="1"/>
  <c r="G527" i="1"/>
  <c r="F527" i="1" s="1"/>
  <c r="H527" i="1" s="1"/>
  <c r="E527" i="1"/>
  <c r="C527" i="1"/>
  <c r="G526" i="1"/>
  <c r="F526" i="1" s="1"/>
  <c r="H526" i="1" s="1"/>
  <c r="E526" i="1"/>
  <c r="C526" i="1"/>
  <c r="G525" i="1"/>
  <c r="F525" i="1" s="1"/>
  <c r="H525" i="1" s="1"/>
  <c r="E525" i="1"/>
  <c r="C525" i="1"/>
  <c r="G524" i="1"/>
  <c r="F524" i="1" s="1"/>
  <c r="H524" i="1" s="1"/>
  <c r="E524" i="1"/>
  <c r="C524" i="1"/>
  <c r="G523" i="1"/>
  <c r="F523" i="1" s="1"/>
  <c r="H523" i="1" s="1"/>
  <c r="E523" i="1"/>
  <c r="C523" i="1"/>
  <c r="G522" i="1"/>
  <c r="F522" i="1" s="1"/>
  <c r="H522" i="1" s="1"/>
  <c r="E522" i="1"/>
  <c r="C522" i="1"/>
  <c r="G521" i="1"/>
  <c r="F521" i="1" s="1"/>
  <c r="H521" i="1" s="1"/>
  <c r="E521" i="1"/>
  <c r="C521" i="1"/>
  <c r="G520" i="1"/>
  <c r="F520" i="1" s="1"/>
  <c r="H520" i="1" s="1"/>
  <c r="E520" i="1"/>
  <c r="C520" i="1"/>
  <c r="G519" i="1"/>
  <c r="F519" i="1" s="1"/>
  <c r="H519" i="1" s="1"/>
  <c r="E519" i="1"/>
  <c r="C519" i="1"/>
  <c r="G518" i="1"/>
  <c r="F518" i="1" s="1"/>
  <c r="H518" i="1" s="1"/>
  <c r="E518" i="1"/>
  <c r="C518" i="1"/>
  <c r="G517" i="1"/>
  <c r="F517" i="1" s="1"/>
  <c r="H517" i="1" s="1"/>
  <c r="E517" i="1"/>
  <c r="C517" i="1"/>
  <c r="G516" i="1"/>
  <c r="F516" i="1" s="1"/>
  <c r="H516" i="1" s="1"/>
  <c r="E516" i="1"/>
  <c r="C516" i="1"/>
  <c r="G515" i="1"/>
  <c r="F515" i="1" s="1"/>
  <c r="H515" i="1" s="1"/>
  <c r="E515" i="1"/>
  <c r="C515" i="1"/>
  <c r="G514" i="1"/>
  <c r="F514" i="1" s="1"/>
  <c r="H514" i="1" s="1"/>
  <c r="E514" i="1"/>
  <c r="C514" i="1"/>
  <c r="J513" i="1"/>
  <c r="G513" i="1" s="1"/>
  <c r="F513" i="1" s="1"/>
  <c r="H513" i="1" s="1"/>
  <c r="E513" i="1"/>
  <c r="C513" i="1"/>
  <c r="G512" i="1"/>
  <c r="F512" i="1" s="1"/>
  <c r="H512" i="1" s="1"/>
  <c r="E512" i="1"/>
  <c r="C512" i="1"/>
  <c r="G511" i="1"/>
  <c r="F511" i="1" s="1"/>
  <c r="H511" i="1" s="1"/>
  <c r="E511" i="1"/>
  <c r="C511" i="1"/>
  <c r="G510" i="1"/>
  <c r="F510" i="1" s="1"/>
  <c r="H510" i="1" s="1"/>
  <c r="E510" i="1"/>
  <c r="C510" i="1"/>
  <c r="G509" i="1"/>
  <c r="F509" i="1" s="1"/>
  <c r="H509" i="1" s="1"/>
  <c r="E509" i="1"/>
  <c r="C509" i="1"/>
  <c r="G508" i="1"/>
  <c r="F508" i="1" s="1"/>
  <c r="H508" i="1" s="1"/>
  <c r="E508" i="1"/>
  <c r="C508" i="1"/>
  <c r="G507" i="1"/>
  <c r="F507" i="1" s="1"/>
  <c r="H507" i="1" s="1"/>
  <c r="E507" i="1"/>
  <c r="C507" i="1"/>
  <c r="G506" i="1"/>
  <c r="F506" i="1" s="1"/>
  <c r="H506" i="1" s="1"/>
  <c r="E506" i="1"/>
  <c r="C506" i="1"/>
  <c r="G505" i="1"/>
  <c r="F505" i="1" s="1"/>
  <c r="H505" i="1" s="1"/>
  <c r="E505" i="1"/>
  <c r="C505" i="1"/>
  <c r="G504" i="1"/>
  <c r="F504" i="1" s="1"/>
  <c r="H504" i="1" s="1"/>
  <c r="E504" i="1"/>
  <c r="C504" i="1"/>
  <c r="G503" i="1"/>
  <c r="F503" i="1" s="1"/>
  <c r="H503" i="1" s="1"/>
  <c r="E503" i="1"/>
  <c r="C503" i="1"/>
  <c r="G502" i="1"/>
  <c r="F502" i="1" s="1"/>
  <c r="H502" i="1" s="1"/>
  <c r="E502" i="1"/>
  <c r="C502" i="1"/>
  <c r="G501" i="1"/>
  <c r="F501" i="1" s="1"/>
  <c r="H501" i="1" s="1"/>
  <c r="E501" i="1"/>
  <c r="C501" i="1"/>
  <c r="G500" i="1"/>
  <c r="F500" i="1" s="1"/>
  <c r="H500" i="1" s="1"/>
  <c r="E500" i="1"/>
  <c r="C500" i="1"/>
  <c r="G499" i="1"/>
  <c r="F499" i="1" s="1"/>
  <c r="H499" i="1" s="1"/>
  <c r="E499" i="1"/>
  <c r="C499" i="1"/>
  <c r="G498" i="1"/>
  <c r="F498" i="1" s="1"/>
  <c r="H498" i="1" s="1"/>
  <c r="E498" i="1"/>
  <c r="C498" i="1"/>
  <c r="G497" i="1"/>
  <c r="F497" i="1" s="1"/>
  <c r="H497" i="1" s="1"/>
  <c r="E497" i="1"/>
  <c r="C497" i="1"/>
  <c r="G496" i="1"/>
  <c r="F496" i="1" s="1"/>
  <c r="H496" i="1" s="1"/>
  <c r="E496" i="1"/>
  <c r="C496" i="1"/>
  <c r="G495" i="1"/>
  <c r="F495" i="1" s="1"/>
  <c r="H495" i="1" s="1"/>
  <c r="E495" i="1"/>
  <c r="C495" i="1"/>
  <c r="G494" i="1"/>
  <c r="F494" i="1" s="1"/>
  <c r="H494" i="1" s="1"/>
  <c r="E494" i="1"/>
  <c r="C494" i="1"/>
  <c r="G493" i="1"/>
  <c r="F493" i="1" s="1"/>
  <c r="H493" i="1" s="1"/>
  <c r="E493" i="1"/>
  <c r="C493" i="1"/>
  <c r="G492" i="1"/>
  <c r="F492" i="1" s="1"/>
  <c r="H492" i="1" s="1"/>
  <c r="E492" i="1"/>
  <c r="C492" i="1"/>
  <c r="G491" i="1"/>
  <c r="F491" i="1" s="1"/>
  <c r="H491" i="1" s="1"/>
  <c r="E491" i="1"/>
  <c r="C491" i="1"/>
  <c r="G490" i="1"/>
  <c r="F490" i="1" s="1"/>
  <c r="H490" i="1" s="1"/>
  <c r="E490" i="1"/>
  <c r="C490" i="1"/>
  <c r="G489" i="1"/>
  <c r="F489" i="1" s="1"/>
  <c r="H489" i="1" s="1"/>
  <c r="E489" i="1"/>
  <c r="C489" i="1"/>
  <c r="G488" i="1"/>
  <c r="F488" i="1" s="1"/>
  <c r="H488" i="1" s="1"/>
  <c r="E488" i="1"/>
  <c r="C488" i="1"/>
  <c r="G487" i="1"/>
  <c r="F487" i="1" s="1"/>
  <c r="H487" i="1" s="1"/>
  <c r="E487" i="1"/>
  <c r="C487" i="1"/>
  <c r="G486" i="1"/>
  <c r="F486" i="1" s="1"/>
  <c r="H486" i="1" s="1"/>
  <c r="E486" i="1"/>
  <c r="C486" i="1"/>
  <c r="G485" i="1"/>
  <c r="F485" i="1" s="1"/>
  <c r="H485" i="1" s="1"/>
  <c r="E485" i="1"/>
  <c r="C485" i="1"/>
  <c r="G484" i="1"/>
  <c r="F484" i="1" s="1"/>
  <c r="H484" i="1" s="1"/>
  <c r="E484" i="1"/>
  <c r="C484" i="1"/>
  <c r="G483" i="1"/>
  <c r="F483" i="1" s="1"/>
  <c r="H483" i="1" s="1"/>
  <c r="E483" i="1"/>
  <c r="C483" i="1"/>
  <c r="G482" i="1"/>
  <c r="F482" i="1" s="1"/>
  <c r="H482" i="1" s="1"/>
  <c r="E482" i="1"/>
  <c r="C482" i="1"/>
  <c r="G481" i="1"/>
  <c r="F481" i="1" s="1"/>
  <c r="H481" i="1" s="1"/>
  <c r="E481" i="1"/>
  <c r="C481" i="1"/>
  <c r="G480" i="1"/>
  <c r="F480" i="1" s="1"/>
  <c r="H480" i="1" s="1"/>
  <c r="E480" i="1"/>
  <c r="C480" i="1"/>
  <c r="G479" i="1"/>
  <c r="F479" i="1" s="1"/>
  <c r="H479" i="1" s="1"/>
  <c r="E479" i="1"/>
  <c r="C479" i="1"/>
  <c r="G478" i="1"/>
  <c r="F478" i="1" s="1"/>
  <c r="H478" i="1" s="1"/>
  <c r="E478" i="1"/>
  <c r="C478" i="1"/>
  <c r="G477" i="1"/>
  <c r="F477" i="1" s="1"/>
  <c r="H477" i="1" s="1"/>
  <c r="E477" i="1"/>
  <c r="C477" i="1"/>
  <c r="G476" i="1"/>
  <c r="F476" i="1" s="1"/>
  <c r="H476" i="1" s="1"/>
  <c r="E476" i="1"/>
  <c r="C476" i="1"/>
  <c r="G475" i="1"/>
  <c r="F475" i="1" s="1"/>
  <c r="H475" i="1" s="1"/>
  <c r="E475" i="1"/>
  <c r="C475" i="1"/>
  <c r="G474" i="1"/>
  <c r="F474" i="1" s="1"/>
  <c r="H474" i="1" s="1"/>
  <c r="E474" i="1"/>
  <c r="C474" i="1"/>
  <c r="G473" i="1"/>
  <c r="F473" i="1" s="1"/>
  <c r="H473" i="1" s="1"/>
  <c r="E473" i="1"/>
  <c r="C473" i="1"/>
  <c r="G472" i="1"/>
  <c r="F472" i="1" s="1"/>
  <c r="H472" i="1" s="1"/>
  <c r="E472" i="1"/>
  <c r="C472" i="1"/>
  <c r="G471" i="1"/>
  <c r="F471" i="1" s="1"/>
  <c r="H471" i="1" s="1"/>
  <c r="E471" i="1"/>
  <c r="C471" i="1"/>
  <c r="G470" i="1"/>
  <c r="F470" i="1" s="1"/>
  <c r="H470" i="1" s="1"/>
  <c r="E470" i="1"/>
  <c r="C470" i="1"/>
  <c r="G469" i="1"/>
  <c r="F469" i="1" s="1"/>
  <c r="H469" i="1" s="1"/>
  <c r="E469" i="1"/>
  <c r="C469" i="1"/>
  <c r="G468" i="1"/>
  <c r="F468" i="1" s="1"/>
  <c r="H468" i="1" s="1"/>
  <c r="E468" i="1"/>
  <c r="C468" i="1"/>
  <c r="G467" i="1"/>
  <c r="F467" i="1" s="1"/>
  <c r="H467" i="1" s="1"/>
  <c r="E467" i="1"/>
  <c r="C467" i="1"/>
  <c r="G466" i="1"/>
  <c r="F466" i="1" s="1"/>
  <c r="H466" i="1" s="1"/>
  <c r="E466" i="1"/>
  <c r="C466" i="1"/>
  <c r="H465" i="1"/>
  <c r="G465" i="1"/>
  <c r="E465" i="1"/>
  <c r="C465" i="1"/>
  <c r="H464" i="1"/>
  <c r="G464" i="1"/>
  <c r="E464" i="1"/>
  <c r="C464" i="1"/>
  <c r="G463" i="1"/>
  <c r="F463" i="1" s="1"/>
  <c r="H463" i="1" s="1"/>
  <c r="E463" i="1"/>
  <c r="C463" i="1"/>
  <c r="G462" i="1"/>
  <c r="F462" i="1" s="1"/>
  <c r="H462" i="1" s="1"/>
  <c r="E462" i="1"/>
  <c r="C462" i="1"/>
  <c r="G461" i="1"/>
  <c r="F461" i="1" s="1"/>
  <c r="H461" i="1" s="1"/>
  <c r="E461" i="1"/>
  <c r="C461" i="1"/>
  <c r="G460" i="1"/>
  <c r="F460" i="1" s="1"/>
  <c r="H460" i="1" s="1"/>
  <c r="E460" i="1"/>
  <c r="C460" i="1"/>
  <c r="G459" i="1"/>
  <c r="F459" i="1" s="1"/>
  <c r="H459" i="1" s="1"/>
  <c r="E459" i="1"/>
  <c r="C459" i="1"/>
  <c r="G458" i="1"/>
  <c r="F458" i="1" s="1"/>
  <c r="H458" i="1" s="1"/>
  <c r="E458" i="1"/>
  <c r="C458" i="1"/>
  <c r="G457" i="1"/>
  <c r="F457" i="1" s="1"/>
  <c r="H457" i="1" s="1"/>
  <c r="E457" i="1"/>
  <c r="C457" i="1"/>
  <c r="G456" i="1"/>
  <c r="F456" i="1" s="1"/>
  <c r="H456" i="1" s="1"/>
  <c r="E456" i="1"/>
  <c r="C456" i="1"/>
  <c r="G455" i="1"/>
  <c r="F455" i="1" s="1"/>
  <c r="H455" i="1" s="1"/>
  <c r="E455" i="1"/>
  <c r="C455" i="1"/>
  <c r="G454" i="1"/>
  <c r="F454" i="1" s="1"/>
  <c r="H454" i="1" s="1"/>
  <c r="E454" i="1"/>
  <c r="C454" i="1"/>
  <c r="G453" i="1"/>
  <c r="F453" i="1" s="1"/>
  <c r="H453" i="1" s="1"/>
  <c r="E453" i="1"/>
  <c r="C453" i="1"/>
  <c r="G452" i="1"/>
  <c r="F452" i="1" s="1"/>
  <c r="H452" i="1" s="1"/>
  <c r="E452" i="1"/>
  <c r="C452" i="1"/>
  <c r="G451" i="1"/>
  <c r="F451" i="1" s="1"/>
  <c r="H451" i="1" s="1"/>
  <c r="E451" i="1"/>
  <c r="C451" i="1"/>
  <c r="G450" i="1"/>
  <c r="F450" i="1" s="1"/>
  <c r="H450" i="1" s="1"/>
  <c r="E450" i="1"/>
  <c r="C450" i="1"/>
  <c r="G449" i="1"/>
  <c r="F449" i="1" s="1"/>
  <c r="H449" i="1" s="1"/>
  <c r="E449" i="1"/>
  <c r="C449" i="1"/>
  <c r="G448" i="1"/>
  <c r="F448" i="1" s="1"/>
  <c r="H448" i="1" s="1"/>
  <c r="E448" i="1"/>
  <c r="C448" i="1"/>
  <c r="G447" i="1"/>
  <c r="F447" i="1" s="1"/>
  <c r="H447" i="1" s="1"/>
  <c r="E447" i="1"/>
  <c r="C447" i="1"/>
  <c r="G446" i="1"/>
  <c r="F446" i="1" s="1"/>
  <c r="H446" i="1" s="1"/>
  <c r="E446" i="1"/>
  <c r="C446" i="1"/>
  <c r="G445" i="1"/>
  <c r="F445" i="1" s="1"/>
  <c r="H445" i="1" s="1"/>
  <c r="E445" i="1"/>
  <c r="C445" i="1"/>
  <c r="G444" i="1"/>
  <c r="F444" i="1" s="1"/>
  <c r="H444" i="1" s="1"/>
  <c r="E444" i="1"/>
  <c r="C444" i="1"/>
  <c r="G443" i="1"/>
  <c r="F443" i="1" s="1"/>
  <c r="H443" i="1" s="1"/>
  <c r="E443" i="1"/>
  <c r="C443" i="1"/>
  <c r="G442" i="1"/>
  <c r="F442" i="1" s="1"/>
  <c r="H442" i="1" s="1"/>
  <c r="E442" i="1"/>
  <c r="C442" i="1"/>
  <c r="G441" i="1"/>
  <c r="F441" i="1" s="1"/>
  <c r="H441" i="1" s="1"/>
  <c r="E441" i="1"/>
  <c r="C441" i="1"/>
  <c r="G440" i="1"/>
  <c r="F440" i="1" s="1"/>
  <c r="H440" i="1" s="1"/>
  <c r="E440" i="1"/>
  <c r="C440" i="1"/>
  <c r="G439" i="1"/>
  <c r="F439" i="1" s="1"/>
  <c r="H439" i="1" s="1"/>
  <c r="E439" i="1"/>
  <c r="C439" i="1"/>
  <c r="G438" i="1"/>
  <c r="F438" i="1" s="1"/>
  <c r="H438" i="1" s="1"/>
  <c r="E438" i="1"/>
  <c r="C438" i="1"/>
  <c r="G437" i="1"/>
  <c r="F437" i="1" s="1"/>
  <c r="H437" i="1" s="1"/>
  <c r="E437" i="1"/>
  <c r="C437" i="1"/>
  <c r="G436" i="1"/>
  <c r="F436" i="1" s="1"/>
  <c r="H436" i="1" s="1"/>
  <c r="E436" i="1"/>
  <c r="C436" i="1"/>
  <c r="G435" i="1"/>
  <c r="F435" i="1" s="1"/>
  <c r="H435" i="1" s="1"/>
  <c r="E435" i="1"/>
  <c r="C435" i="1"/>
  <c r="G434" i="1"/>
  <c r="F434" i="1" s="1"/>
  <c r="H434" i="1" s="1"/>
  <c r="E434" i="1"/>
  <c r="C434" i="1"/>
  <c r="G433" i="1"/>
  <c r="F433" i="1" s="1"/>
  <c r="H433" i="1" s="1"/>
  <c r="E433" i="1"/>
  <c r="C433" i="1"/>
  <c r="G432" i="1"/>
  <c r="F432" i="1" s="1"/>
  <c r="H432" i="1" s="1"/>
  <c r="E432" i="1"/>
  <c r="C432" i="1"/>
  <c r="G431" i="1"/>
  <c r="F431" i="1" s="1"/>
  <c r="H431" i="1" s="1"/>
  <c r="E431" i="1"/>
  <c r="C431" i="1"/>
  <c r="G430" i="1"/>
  <c r="F430" i="1" s="1"/>
  <c r="H430" i="1" s="1"/>
  <c r="E430" i="1"/>
  <c r="C430" i="1"/>
  <c r="G429" i="1"/>
  <c r="F429" i="1" s="1"/>
  <c r="H429" i="1" s="1"/>
  <c r="E429" i="1"/>
  <c r="C429" i="1"/>
  <c r="G428" i="1"/>
  <c r="F428" i="1" s="1"/>
  <c r="H428" i="1" s="1"/>
  <c r="E428" i="1"/>
  <c r="C428" i="1"/>
  <c r="G427" i="1"/>
  <c r="F427" i="1" s="1"/>
  <c r="H427" i="1" s="1"/>
  <c r="E427" i="1"/>
  <c r="C427" i="1"/>
  <c r="G426" i="1"/>
  <c r="F426" i="1" s="1"/>
  <c r="H426" i="1" s="1"/>
  <c r="E426" i="1"/>
  <c r="C426" i="1"/>
  <c r="G425" i="1"/>
  <c r="F425" i="1" s="1"/>
  <c r="H425" i="1" s="1"/>
  <c r="E425" i="1"/>
  <c r="C425" i="1"/>
  <c r="G424" i="1"/>
  <c r="F424" i="1" s="1"/>
  <c r="H424" i="1" s="1"/>
  <c r="E424" i="1"/>
  <c r="C424" i="1"/>
  <c r="G423" i="1"/>
  <c r="F423" i="1" s="1"/>
  <c r="H423" i="1" s="1"/>
  <c r="E423" i="1"/>
  <c r="C423" i="1"/>
  <c r="G422" i="1"/>
  <c r="F422" i="1" s="1"/>
  <c r="H422" i="1" s="1"/>
  <c r="E422" i="1"/>
  <c r="C422" i="1"/>
  <c r="G421" i="1"/>
  <c r="F421" i="1" s="1"/>
  <c r="H421" i="1" s="1"/>
  <c r="E421" i="1"/>
  <c r="C421" i="1"/>
  <c r="G420" i="1"/>
  <c r="F420" i="1" s="1"/>
  <c r="H420" i="1" s="1"/>
  <c r="E420" i="1"/>
  <c r="C420" i="1"/>
  <c r="G419" i="1"/>
  <c r="F419" i="1" s="1"/>
  <c r="H419" i="1" s="1"/>
  <c r="E419" i="1"/>
  <c r="C419" i="1"/>
  <c r="G418" i="1"/>
  <c r="F418" i="1" s="1"/>
  <c r="H418" i="1" s="1"/>
  <c r="E418" i="1"/>
  <c r="C418" i="1"/>
  <c r="G417" i="1"/>
  <c r="F417" i="1" s="1"/>
  <c r="H417" i="1" s="1"/>
  <c r="E417" i="1"/>
  <c r="C417" i="1"/>
  <c r="G416" i="1"/>
  <c r="F416" i="1" s="1"/>
  <c r="H416" i="1" s="1"/>
  <c r="E416" i="1"/>
  <c r="C416" i="1"/>
  <c r="G415" i="1"/>
  <c r="F415" i="1" s="1"/>
  <c r="H415" i="1" s="1"/>
  <c r="E415" i="1"/>
  <c r="C415" i="1"/>
  <c r="G414" i="1"/>
  <c r="F414" i="1" s="1"/>
  <c r="H414" i="1" s="1"/>
  <c r="E414" i="1"/>
  <c r="C414" i="1"/>
  <c r="G413" i="1"/>
  <c r="F413" i="1" s="1"/>
  <c r="H413" i="1" s="1"/>
  <c r="E413" i="1"/>
  <c r="C413" i="1"/>
  <c r="G412" i="1"/>
  <c r="F412" i="1" s="1"/>
  <c r="H412" i="1" s="1"/>
  <c r="E412" i="1"/>
  <c r="C412" i="1"/>
  <c r="G411" i="1"/>
  <c r="F411" i="1" s="1"/>
  <c r="H411" i="1" s="1"/>
  <c r="E411" i="1"/>
  <c r="C411" i="1"/>
  <c r="G410" i="1"/>
  <c r="F410" i="1" s="1"/>
  <c r="H410" i="1" s="1"/>
  <c r="E410" i="1"/>
  <c r="C410" i="1"/>
  <c r="G409" i="1"/>
  <c r="F409" i="1" s="1"/>
  <c r="H409" i="1" s="1"/>
  <c r="E409" i="1"/>
  <c r="C409" i="1"/>
  <c r="G408" i="1"/>
  <c r="F408" i="1" s="1"/>
  <c r="H408" i="1" s="1"/>
  <c r="E408" i="1"/>
  <c r="C408" i="1"/>
  <c r="G407" i="1"/>
  <c r="F407" i="1" s="1"/>
  <c r="H407" i="1" s="1"/>
  <c r="E407" i="1"/>
  <c r="C407" i="1"/>
  <c r="G406" i="1"/>
  <c r="F406" i="1" s="1"/>
  <c r="H406" i="1" s="1"/>
  <c r="E406" i="1"/>
  <c r="C406" i="1"/>
  <c r="G405" i="1"/>
  <c r="F405" i="1" s="1"/>
  <c r="H405" i="1" s="1"/>
  <c r="E405" i="1"/>
  <c r="C405" i="1"/>
  <c r="G404" i="1"/>
  <c r="F404" i="1" s="1"/>
  <c r="H404" i="1" s="1"/>
  <c r="E404" i="1"/>
  <c r="C404" i="1"/>
  <c r="G403" i="1"/>
  <c r="F403" i="1" s="1"/>
  <c r="H403" i="1" s="1"/>
  <c r="E403" i="1"/>
  <c r="C403" i="1"/>
  <c r="G402" i="1"/>
  <c r="F402" i="1" s="1"/>
  <c r="H402" i="1" s="1"/>
  <c r="E402" i="1"/>
  <c r="C402" i="1"/>
  <c r="G401" i="1"/>
  <c r="F401" i="1" s="1"/>
  <c r="H401" i="1" s="1"/>
  <c r="E401" i="1"/>
  <c r="C401" i="1"/>
  <c r="G400" i="1"/>
  <c r="F400" i="1" s="1"/>
  <c r="H400" i="1" s="1"/>
  <c r="E400" i="1"/>
  <c r="C400" i="1"/>
  <c r="G399" i="1"/>
  <c r="F399" i="1" s="1"/>
  <c r="H399" i="1" s="1"/>
  <c r="E399" i="1"/>
  <c r="C399" i="1"/>
  <c r="G398" i="1"/>
  <c r="F398" i="1" s="1"/>
  <c r="H398" i="1" s="1"/>
  <c r="E398" i="1"/>
  <c r="C398" i="1"/>
  <c r="G397" i="1"/>
  <c r="F397" i="1" s="1"/>
  <c r="H397" i="1" s="1"/>
  <c r="E397" i="1"/>
  <c r="C397" i="1"/>
  <c r="G396" i="1"/>
  <c r="F396" i="1" s="1"/>
  <c r="H396" i="1" s="1"/>
  <c r="E396" i="1"/>
  <c r="C396" i="1"/>
  <c r="G395" i="1"/>
  <c r="F395" i="1" s="1"/>
  <c r="H395" i="1" s="1"/>
  <c r="E395" i="1"/>
  <c r="C395" i="1"/>
  <c r="G394" i="1"/>
  <c r="F394" i="1" s="1"/>
  <c r="H394" i="1" s="1"/>
  <c r="E394" i="1"/>
  <c r="C394" i="1"/>
  <c r="G393" i="1"/>
  <c r="F393" i="1" s="1"/>
  <c r="H393" i="1" s="1"/>
  <c r="E393" i="1"/>
  <c r="C393" i="1"/>
  <c r="G392" i="1"/>
  <c r="F392" i="1" s="1"/>
  <c r="H392" i="1" s="1"/>
  <c r="E392" i="1"/>
  <c r="C392" i="1"/>
  <c r="G391" i="1"/>
  <c r="F391" i="1" s="1"/>
  <c r="H391" i="1" s="1"/>
  <c r="E391" i="1"/>
  <c r="C391" i="1"/>
  <c r="G390" i="1"/>
  <c r="F390" i="1" s="1"/>
  <c r="H390" i="1" s="1"/>
  <c r="E390" i="1"/>
  <c r="C390" i="1"/>
  <c r="G389" i="1"/>
  <c r="F389" i="1" s="1"/>
  <c r="H389" i="1" s="1"/>
  <c r="E389" i="1"/>
  <c r="C389" i="1"/>
  <c r="G388" i="1"/>
  <c r="F388" i="1" s="1"/>
  <c r="H388" i="1" s="1"/>
  <c r="E388" i="1"/>
  <c r="C388" i="1"/>
  <c r="G387" i="1"/>
  <c r="F387" i="1" s="1"/>
  <c r="H387" i="1" s="1"/>
  <c r="E387" i="1"/>
  <c r="C387" i="1"/>
  <c r="G386" i="1"/>
  <c r="F386" i="1" s="1"/>
  <c r="H386" i="1" s="1"/>
  <c r="E386" i="1"/>
  <c r="C386" i="1"/>
  <c r="G385" i="1"/>
  <c r="F385" i="1" s="1"/>
  <c r="H385" i="1" s="1"/>
  <c r="E385" i="1"/>
  <c r="C385" i="1"/>
  <c r="G384" i="1"/>
  <c r="F384" i="1" s="1"/>
  <c r="H384" i="1" s="1"/>
  <c r="E384" i="1"/>
  <c r="C384" i="1"/>
  <c r="G383" i="1"/>
  <c r="F383" i="1" s="1"/>
  <c r="H383" i="1" s="1"/>
  <c r="E383" i="1"/>
  <c r="C383" i="1"/>
  <c r="G382" i="1"/>
  <c r="F382" i="1" s="1"/>
  <c r="H382" i="1" s="1"/>
  <c r="E382" i="1"/>
  <c r="C382" i="1"/>
  <c r="G381" i="1"/>
  <c r="F381" i="1" s="1"/>
  <c r="H381" i="1" s="1"/>
  <c r="E381" i="1"/>
  <c r="C381" i="1"/>
  <c r="G380" i="1"/>
  <c r="F380" i="1" s="1"/>
  <c r="H380" i="1" s="1"/>
  <c r="E380" i="1"/>
  <c r="C380" i="1"/>
  <c r="G379" i="1"/>
  <c r="F379" i="1" s="1"/>
  <c r="H379" i="1" s="1"/>
  <c r="E379" i="1"/>
  <c r="C379" i="1"/>
  <c r="G378" i="1"/>
  <c r="F378" i="1" s="1"/>
  <c r="H378" i="1" s="1"/>
  <c r="E378" i="1"/>
  <c r="C378" i="1"/>
  <c r="G377" i="1"/>
  <c r="F377" i="1" s="1"/>
  <c r="H377" i="1" s="1"/>
  <c r="E377" i="1"/>
  <c r="C377" i="1"/>
  <c r="G376" i="1"/>
  <c r="F376" i="1" s="1"/>
  <c r="H376" i="1" s="1"/>
  <c r="E376" i="1"/>
  <c r="C376" i="1"/>
  <c r="G375" i="1"/>
  <c r="F375" i="1" s="1"/>
  <c r="H375" i="1" s="1"/>
  <c r="E375" i="1"/>
  <c r="C375" i="1"/>
  <c r="G374" i="1"/>
  <c r="F374" i="1" s="1"/>
  <c r="H374" i="1" s="1"/>
  <c r="E374" i="1"/>
  <c r="C374" i="1"/>
  <c r="G373" i="1"/>
  <c r="F373" i="1" s="1"/>
  <c r="H373" i="1" s="1"/>
  <c r="E373" i="1"/>
  <c r="C373" i="1"/>
  <c r="G372" i="1"/>
  <c r="F372" i="1" s="1"/>
  <c r="H372" i="1" s="1"/>
  <c r="E372" i="1"/>
  <c r="C372" i="1"/>
  <c r="G371" i="1"/>
  <c r="F371" i="1" s="1"/>
  <c r="H371" i="1" s="1"/>
  <c r="E371" i="1"/>
  <c r="C371" i="1"/>
  <c r="G370" i="1"/>
  <c r="F370" i="1" s="1"/>
  <c r="H370" i="1" s="1"/>
  <c r="E370" i="1"/>
  <c r="C370" i="1"/>
  <c r="G369" i="1"/>
  <c r="F369" i="1" s="1"/>
  <c r="H369" i="1" s="1"/>
  <c r="E369" i="1"/>
  <c r="C369" i="1"/>
  <c r="G368" i="1"/>
  <c r="F368" i="1" s="1"/>
  <c r="H368" i="1" s="1"/>
  <c r="E368" i="1"/>
  <c r="C368" i="1"/>
  <c r="G367" i="1"/>
  <c r="F367" i="1" s="1"/>
  <c r="H367" i="1" s="1"/>
  <c r="E367" i="1"/>
  <c r="C367" i="1"/>
  <c r="G366" i="1"/>
  <c r="F366" i="1" s="1"/>
  <c r="H366" i="1" s="1"/>
  <c r="E366" i="1"/>
  <c r="C366" i="1"/>
  <c r="G365" i="1"/>
  <c r="F365" i="1" s="1"/>
  <c r="H365" i="1" s="1"/>
  <c r="E365" i="1"/>
  <c r="C365" i="1"/>
  <c r="G364" i="1"/>
  <c r="F364" i="1" s="1"/>
  <c r="H364" i="1" s="1"/>
  <c r="E364" i="1"/>
  <c r="C364" i="1"/>
  <c r="G363" i="1"/>
  <c r="F363" i="1" s="1"/>
  <c r="H363" i="1" s="1"/>
  <c r="E363" i="1"/>
  <c r="C363" i="1"/>
  <c r="G362" i="1"/>
  <c r="F362" i="1" s="1"/>
  <c r="H362" i="1" s="1"/>
  <c r="E362" i="1"/>
  <c r="C362" i="1"/>
  <c r="G361" i="1"/>
  <c r="F361" i="1" s="1"/>
  <c r="H361" i="1" s="1"/>
  <c r="E361" i="1"/>
  <c r="C361" i="1"/>
  <c r="G360" i="1"/>
  <c r="F360" i="1" s="1"/>
  <c r="H360" i="1" s="1"/>
  <c r="E360" i="1"/>
  <c r="C360" i="1"/>
  <c r="G359" i="1"/>
  <c r="F359" i="1" s="1"/>
  <c r="H359" i="1" s="1"/>
  <c r="E359" i="1"/>
  <c r="C359" i="1"/>
  <c r="G358" i="1"/>
  <c r="F358" i="1" s="1"/>
  <c r="H358" i="1" s="1"/>
  <c r="E358" i="1"/>
  <c r="C358" i="1"/>
  <c r="G357" i="1"/>
  <c r="F357" i="1" s="1"/>
  <c r="H357" i="1" s="1"/>
  <c r="E357" i="1"/>
  <c r="C357" i="1"/>
  <c r="G356" i="1"/>
  <c r="F356" i="1" s="1"/>
  <c r="H356" i="1" s="1"/>
  <c r="E356" i="1"/>
  <c r="C356" i="1"/>
  <c r="G355" i="1"/>
  <c r="F355" i="1" s="1"/>
  <c r="H355" i="1" s="1"/>
  <c r="E355" i="1"/>
  <c r="C355" i="1"/>
  <c r="G354" i="1"/>
  <c r="F354" i="1" s="1"/>
  <c r="H354" i="1" s="1"/>
  <c r="E354" i="1"/>
  <c r="C354" i="1"/>
  <c r="G353" i="1"/>
  <c r="F353" i="1" s="1"/>
  <c r="H353" i="1" s="1"/>
  <c r="E353" i="1"/>
  <c r="C353" i="1"/>
  <c r="G352" i="1"/>
  <c r="F352" i="1" s="1"/>
  <c r="H352" i="1" s="1"/>
  <c r="E352" i="1"/>
  <c r="C352" i="1"/>
  <c r="G351" i="1"/>
  <c r="F351" i="1" s="1"/>
  <c r="H351" i="1" s="1"/>
  <c r="E351" i="1"/>
  <c r="C351" i="1"/>
  <c r="G350" i="1"/>
  <c r="F350" i="1" s="1"/>
  <c r="H350" i="1" s="1"/>
  <c r="E350" i="1"/>
  <c r="C350" i="1"/>
  <c r="G349" i="1"/>
  <c r="F349" i="1" s="1"/>
  <c r="H349" i="1" s="1"/>
  <c r="E349" i="1"/>
  <c r="C349" i="1"/>
  <c r="G348" i="1"/>
  <c r="F348" i="1" s="1"/>
  <c r="H348" i="1" s="1"/>
  <c r="E348" i="1"/>
  <c r="C348" i="1"/>
  <c r="G347" i="1"/>
  <c r="F347" i="1" s="1"/>
  <c r="H347" i="1" s="1"/>
  <c r="E347" i="1"/>
  <c r="C347" i="1"/>
  <c r="G346" i="1"/>
  <c r="F346" i="1" s="1"/>
  <c r="H346" i="1" s="1"/>
  <c r="E346" i="1"/>
  <c r="C346" i="1"/>
  <c r="G345" i="1"/>
  <c r="F345" i="1" s="1"/>
  <c r="H345" i="1" s="1"/>
  <c r="E345" i="1"/>
  <c r="C345" i="1"/>
  <c r="G344" i="1"/>
  <c r="F344" i="1" s="1"/>
  <c r="H344" i="1" s="1"/>
  <c r="E344" i="1"/>
  <c r="C344" i="1"/>
  <c r="G343" i="1"/>
  <c r="F343" i="1" s="1"/>
  <c r="H343" i="1" s="1"/>
  <c r="E343" i="1"/>
  <c r="C343" i="1"/>
  <c r="G342" i="1"/>
  <c r="F342" i="1" s="1"/>
  <c r="H342" i="1" s="1"/>
  <c r="E342" i="1"/>
  <c r="C342" i="1"/>
  <c r="G341" i="1"/>
  <c r="F341" i="1" s="1"/>
  <c r="H341" i="1" s="1"/>
  <c r="E341" i="1"/>
  <c r="C341" i="1"/>
  <c r="G340" i="1"/>
  <c r="F340" i="1" s="1"/>
  <c r="H340" i="1" s="1"/>
  <c r="E340" i="1"/>
  <c r="C340" i="1"/>
  <c r="G339" i="1"/>
  <c r="F339" i="1" s="1"/>
  <c r="H339" i="1" s="1"/>
  <c r="E339" i="1"/>
  <c r="C339" i="1"/>
  <c r="G338" i="1"/>
  <c r="F338" i="1" s="1"/>
  <c r="H338" i="1" s="1"/>
  <c r="E338" i="1"/>
  <c r="C338" i="1"/>
  <c r="G337" i="1"/>
  <c r="F337" i="1" s="1"/>
  <c r="H337" i="1" s="1"/>
  <c r="E337" i="1"/>
  <c r="C337" i="1"/>
  <c r="G336" i="1"/>
  <c r="F336" i="1" s="1"/>
  <c r="H336" i="1" s="1"/>
  <c r="E336" i="1"/>
  <c r="C336" i="1"/>
  <c r="G335" i="1"/>
  <c r="F335" i="1" s="1"/>
  <c r="H335" i="1" s="1"/>
  <c r="E335" i="1"/>
  <c r="C335" i="1"/>
  <c r="G334" i="1"/>
  <c r="F334" i="1" s="1"/>
  <c r="H334" i="1" s="1"/>
  <c r="E334" i="1"/>
  <c r="C334" i="1"/>
  <c r="G333" i="1"/>
  <c r="F333" i="1" s="1"/>
  <c r="H333" i="1" s="1"/>
  <c r="E333" i="1"/>
  <c r="C333" i="1"/>
  <c r="G332" i="1"/>
  <c r="F332" i="1" s="1"/>
  <c r="H332" i="1" s="1"/>
  <c r="E332" i="1"/>
  <c r="C332" i="1"/>
  <c r="G331" i="1"/>
  <c r="F331" i="1" s="1"/>
  <c r="H331" i="1" s="1"/>
  <c r="E331" i="1"/>
  <c r="C331" i="1"/>
  <c r="G330" i="1"/>
  <c r="F330" i="1" s="1"/>
  <c r="H330" i="1" s="1"/>
  <c r="E330" i="1"/>
  <c r="C330" i="1"/>
  <c r="G329" i="1"/>
  <c r="F329" i="1" s="1"/>
  <c r="H329" i="1" s="1"/>
  <c r="E329" i="1"/>
  <c r="C329" i="1"/>
  <c r="G328" i="1"/>
  <c r="F328" i="1" s="1"/>
  <c r="H328" i="1" s="1"/>
  <c r="E328" i="1"/>
  <c r="C328" i="1"/>
  <c r="G327" i="1"/>
  <c r="F327" i="1" s="1"/>
  <c r="H327" i="1" s="1"/>
  <c r="E327" i="1"/>
  <c r="C327" i="1"/>
  <c r="G326" i="1"/>
  <c r="F326" i="1" s="1"/>
  <c r="H326" i="1" s="1"/>
  <c r="E326" i="1"/>
  <c r="C326" i="1"/>
  <c r="G325" i="1"/>
  <c r="F325" i="1" s="1"/>
  <c r="H325" i="1" s="1"/>
  <c r="E325" i="1"/>
  <c r="C325" i="1"/>
  <c r="G324" i="1"/>
  <c r="F324" i="1" s="1"/>
  <c r="H324" i="1" s="1"/>
  <c r="E324" i="1"/>
  <c r="C324" i="1"/>
  <c r="G323" i="1"/>
  <c r="F323" i="1" s="1"/>
  <c r="H323" i="1" s="1"/>
  <c r="E323" i="1"/>
  <c r="C323" i="1"/>
  <c r="G322" i="1"/>
  <c r="F322" i="1" s="1"/>
  <c r="H322" i="1" s="1"/>
  <c r="E322" i="1"/>
  <c r="C322" i="1"/>
  <c r="G321" i="1"/>
  <c r="F321" i="1" s="1"/>
  <c r="H321" i="1" s="1"/>
  <c r="E321" i="1"/>
  <c r="C321" i="1"/>
  <c r="G320" i="1"/>
  <c r="F320" i="1" s="1"/>
  <c r="H320" i="1" s="1"/>
  <c r="E320" i="1"/>
  <c r="C320" i="1"/>
  <c r="G319" i="1"/>
  <c r="F319" i="1" s="1"/>
  <c r="H319" i="1" s="1"/>
  <c r="E319" i="1"/>
  <c r="C319" i="1"/>
  <c r="G318" i="1"/>
  <c r="F318" i="1" s="1"/>
  <c r="H318" i="1" s="1"/>
  <c r="E318" i="1"/>
  <c r="C318" i="1"/>
  <c r="G317" i="1"/>
  <c r="F317" i="1" s="1"/>
  <c r="H317" i="1" s="1"/>
  <c r="E317" i="1"/>
  <c r="C317" i="1"/>
  <c r="G316" i="1"/>
  <c r="F316" i="1" s="1"/>
  <c r="H316" i="1" s="1"/>
  <c r="E316" i="1"/>
  <c r="C316" i="1"/>
  <c r="G315" i="1"/>
  <c r="F315" i="1" s="1"/>
  <c r="H315" i="1" s="1"/>
  <c r="E315" i="1"/>
  <c r="C315" i="1"/>
  <c r="G314" i="1"/>
  <c r="F314" i="1" s="1"/>
  <c r="H314" i="1" s="1"/>
  <c r="E314" i="1"/>
  <c r="C314" i="1"/>
  <c r="G313" i="1"/>
  <c r="F313" i="1" s="1"/>
  <c r="H313" i="1" s="1"/>
  <c r="E313" i="1"/>
  <c r="C313" i="1"/>
  <c r="G312" i="1"/>
  <c r="F312" i="1" s="1"/>
  <c r="H312" i="1" s="1"/>
  <c r="E312" i="1"/>
  <c r="C312" i="1"/>
  <c r="G311" i="1"/>
  <c r="F311" i="1" s="1"/>
  <c r="H311" i="1" s="1"/>
  <c r="E311" i="1"/>
  <c r="C311" i="1"/>
  <c r="G310" i="1"/>
  <c r="F310" i="1" s="1"/>
  <c r="H310" i="1" s="1"/>
  <c r="E310" i="1"/>
  <c r="C310" i="1"/>
  <c r="G309" i="1"/>
  <c r="F309" i="1" s="1"/>
  <c r="H309" i="1" s="1"/>
  <c r="E309" i="1"/>
  <c r="C309" i="1"/>
  <c r="G308" i="1"/>
  <c r="F308" i="1" s="1"/>
  <c r="H308" i="1" s="1"/>
  <c r="E308" i="1"/>
  <c r="C308" i="1"/>
  <c r="G307" i="1"/>
  <c r="F307" i="1" s="1"/>
  <c r="H307" i="1" s="1"/>
  <c r="E307" i="1"/>
  <c r="C307" i="1"/>
  <c r="G306" i="1"/>
  <c r="F306" i="1" s="1"/>
  <c r="H306" i="1" s="1"/>
  <c r="E306" i="1"/>
  <c r="C306" i="1"/>
  <c r="G305" i="1"/>
  <c r="F305" i="1" s="1"/>
  <c r="H305" i="1" s="1"/>
  <c r="E305" i="1"/>
  <c r="C305" i="1"/>
  <c r="G304" i="1"/>
  <c r="F304" i="1" s="1"/>
  <c r="H304" i="1" s="1"/>
  <c r="E304" i="1"/>
  <c r="C304" i="1"/>
  <c r="G303" i="1"/>
  <c r="F303" i="1" s="1"/>
  <c r="H303" i="1" s="1"/>
  <c r="E303" i="1"/>
  <c r="C303" i="1"/>
  <c r="G302" i="1"/>
  <c r="F302" i="1" s="1"/>
  <c r="H302" i="1" s="1"/>
  <c r="E302" i="1"/>
  <c r="C302" i="1"/>
  <c r="G301" i="1"/>
  <c r="F301" i="1" s="1"/>
  <c r="H301" i="1" s="1"/>
  <c r="E301" i="1"/>
  <c r="C301" i="1"/>
  <c r="G300" i="1"/>
  <c r="F300" i="1" s="1"/>
  <c r="H300" i="1" s="1"/>
  <c r="E300" i="1"/>
  <c r="C300" i="1"/>
  <c r="G299" i="1"/>
  <c r="F299" i="1" s="1"/>
  <c r="H299" i="1" s="1"/>
  <c r="E299" i="1"/>
  <c r="C299" i="1"/>
  <c r="G298" i="1"/>
  <c r="F298" i="1" s="1"/>
  <c r="H298" i="1" s="1"/>
  <c r="E298" i="1"/>
  <c r="C298" i="1"/>
  <c r="G297" i="1"/>
  <c r="F297" i="1" s="1"/>
  <c r="H297" i="1" s="1"/>
  <c r="E297" i="1"/>
  <c r="C297" i="1"/>
  <c r="G296" i="1"/>
  <c r="F296" i="1" s="1"/>
  <c r="H296" i="1" s="1"/>
  <c r="E296" i="1"/>
  <c r="C296" i="1"/>
  <c r="G295" i="1"/>
  <c r="F295" i="1" s="1"/>
  <c r="H295" i="1" s="1"/>
  <c r="E295" i="1"/>
  <c r="C295" i="1"/>
  <c r="G294" i="1"/>
  <c r="F294" i="1" s="1"/>
  <c r="H294" i="1" s="1"/>
  <c r="E294" i="1"/>
  <c r="C294" i="1"/>
  <c r="G293" i="1"/>
  <c r="F293" i="1" s="1"/>
  <c r="H293" i="1" s="1"/>
  <c r="E293" i="1"/>
  <c r="C293" i="1"/>
  <c r="G292" i="1"/>
  <c r="F292" i="1" s="1"/>
  <c r="H292" i="1" s="1"/>
  <c r="E292" i="1"/>
  <c r="C292" i="1"/>
  <c r="G291" i="1"/>
  <c r="F291" i="1" s="1"/>
  <c r="H291" i="1" s="1"/>
  <c r="E291" i="1"/>
  <c r="C291" i="1"/>
  <c r="G290" i="1"/>
  <c r="F290" i="1" s="1"/>
  <c r="H290" i="1" s="1"/>
  <c r="E290" i="1"/>
  <c r="C290" i="1"/>
  <c r="G289" i="1"/>
  <c r="F289" i="1" s="1"/>
  <c r="H289" i="1" s="1"/>
  <c r="E289" i="1"/>
  <c r="C289" i="1"/>
  <c r="G288" i="1"/>
  <c r="F288" i="1" s="1"/>
  <c r="H288" i="1" s="1"/>
  <c r="E288" i="1"/>
  <c r="C288" i="1"/>
  <c r="G287" i="1"/>
  <c r="F287" i="1" s="1"/>
  <c r="H287" i="1" s="1"/>
  <c r="E287" i="1"/>
  <c r="C287" i="1"/>
  <c r="G286" i="1"/>
  <c r="F286" i="1" s="1"/>
  <c r="H286" i="1" s="1"/>
  <c r="E286" i="1"/>
  <c r="C286" i="1"/>
  <c r="G285" i="1"/>
  <c r="F285" i="1" s="1"/>
  <c r="H285" i="1" s="1"/>
  <c r="E285" i="1"/>
  <c r="C285" i="1"/>
  <c r="G284" i="1"/>
  <c r="F284" i="1" s="1"/>
  <c r="H284" i="1" s="1"/>
  <c r="E284" i="1"/>
  <c r="C284" i="1"/>
  <c r="G283" i="1"/>
  <c r="F283" i="1" s="1"/>
  <c r="H283" i="1" s="1"/>
  <c r="E283" i="1"/>
  <c r="C283" i="1"/>
  <c r="G282" i="1"/>
  <c r="F282" i="1" s="1"/>
  <c r="H282" i="1" s="1"/>
  <c r="E282" i="1"/>
  <c r="C282" i="1"/>
  <c r="G281" i="1"/>
  <c r="F281" i="1" s="1"/>
  <c r="H281" i="1" s="1"/>
  <c r="E281" i="1"/>
  <c r="C281" i="1"/>
  <c r="G280" i="1"/>
  <c r="F280" i="1" s="1"/>
  <c r="H280" i="1" s="1"/>
  <c r="E280" i="1"/>
  <c r="C280" i="1"/>
  <c r="G279" i="1"/>
  <c r="F279" i="1" s="1"/>
  <c r="H279" i="1" s="1"/>
  <c r="E279" i="1"/>
  <c r="C279" i="1"/>
  <c r="G278" i="1"/>
  <c r="F278" i="1" s="1"/>
  <c r="H278" i="1" s="1"/>
  <c r="E278" i="1"/>
  <c r="C278" i="1"/>
  <c r="G277" i="1"/>
  <c r="F277" i="1" s="1"/>
  <c r="H277" i="1" s="1"/>
  <c r="E277" i="1"/>
  <c r="C277" i="1"/>
  <c r="G276" i="1"/>
  <c r="F276" i="1" s="1"/>
  <c r="H276" i="1" s="1"/>
  <c r="E276" i="1"/>
  <c r="C276" i="1"/>
  <c r="G275" i="1"/>
  <c r="F275" i="1" s="1"/>
  <c r="H275" i="1" s="1"/>
  <c r="E275" i="1"/>
  <c r="C275" i="1"/>
  <c r="G274" i="1"/>
  <c r="F274" i="1" s="1"/>
  <c r="H274" i="1" s="1"/>
  <c r="E274" i="1"/>
  <c r="C274" i="1"/>
  <c r="G273" i="1"/>
  <c r="F273" i="1" s="1"/>
  <c r="H273" i="1" s="1"/>
  <c r="E273" i="1"/>
  <c r="C273" i="1"/>
  <c r="G272" i="1"/>
  <c r="F272" i="1" s="1"/>
  <c r="H272" i="1" s="1"/>
  <c r="E272" i="1"/>
  <c r="C272" i="1"/>
  <c r="G271" i="1"/>
  <c r="F271" i="1" s="1"/>
  <c r="H271" i="1" s="1"/>
  <c r="E271" i="1"/>
  <c r="C271" i="1"/>
  <c r="G270" i="1"/>
  <c r="F270" i="1" s="1"/>
  <c r="H270" i="1" s="1"/>
  <c r="E270" i="1"/>
  <c r="C270" i="1"/>
  <c r="G269" i="1"/>
  <c r="F269" i="1" s="1"/>
  <c r="H269" i="1" s="1"/>
  <c r="E269" i="1"/>
  <c r="C269" i="1"/>
  <c r="G268" i="1"/>
  <c r="F268" i="1" s="1"/>
  <c r="H268" i="1" s="1"/>
  <c r="E268" i="1"/>
  <c r="C268" i="1"/>
  <c r="G267" i="1"/>
  <c r="F267" i="1" s="1"/>
  <c r="H267" i="1" s="1"/>
  <c r="E267" i="1"/>
  <c r="C267" i="1"/>
  <c r="G266" i="1"/>
  <c r="F266" i="1" s="1"/>
  <c r="H266" i="1" s="1"/>
  <c r="E266" i="1"/>
  <c r="C266" i="1"/>
  <c r="G265" i="1"/>
  <c r="F265" i="1" s="1"/>
  <c r="H265" i="1" s="1"/>
  <c r="E265" i="1"/>
  <c r="C265" i="1"/>
  <c r="G264" i="1"/>
  <c r="F264" i="1" s="1"/>
  <c r="H264" i="1" s="1"/>
  <c r="E264" i="1"/>
  <c r="C264" i="1"/>
  <c r="G263" i="1"/>
  <c r="F263" i="1" s="1"/>
  <c r="H263" i="1" s="1"/>
  <c r="E263" i="1"/>
  <c r="C263" i="1"/>
  <c r="G262" i="1"/>
  <c r="F262" i="1" s="1"/>
  <c r="H262" i="1" s="1"/>
  <c r="E262" i="1"/>
  <c r="C262" i="1"/>
  <c r="G261" i="1"/>
  <c r="F261" i="1" s="1"/>
  <c r="H261" i="1" s="1"/>
  <c r="E261" i="1"/>
  <c r="C261" i="1"/>
  <c r="G260" i="1"/>
  <c r="F260" i="1" s="1"/>
  <c r="H260" i="1" s="1"/>
  <c r="E260" i="1"/>
  <c r="C260" i="1"/>
  <c r="G259" i="1"/>
  <c r="F259" i="1" s="1"/>
  <c r="H259" i="1" s="1"/>
  <c r="E259" i="1"/>
  <c r="C259" i="1"/>
  <c r="G258" i="1"/>
  <c r="F258" i="1" s="1"/>
  <c r="H258" i="1" s="1"/>
  <c r="E258" i="1"/>
  <c r="C258" i="1"/>
  <c r="G257" i="1"/>
  <c r="F257" i="1" s="1"/>
  <c r="H257" i="1" s="1"/>
  <c r="E257" i="1"/>
  <c r="C257" i="1"/>
  <c r="G256" i="1"/>
  <c r="F256" i="1" s="1"/>
  <c r="H256" i="1" s="1"/>
  <c r="E256" i="1"/>
  <c r="C256" i="1"/>
  <c r="G255" i="1"/>
  <c r="F255" i="1" s="1"/>
  <c r="H255" i="1" s="1"/>
  <c r="E255" i="1"/>
  <c r="C255" i="1"/>
  <c r="G254" i="1"/>
  <c r="F254" i="1" s="1"/>
  <c r="H254" i="1" s="1"/>
  <c r="E254" i="1"/>
  <c r="C254" i="1"/>
  <c r="G253" i="1"/>
  <c r="F253" i="1" s="1"/>
  <c r="H253" i="1" s="1"/>
  <c r="E253" i="1"/>
  <c r="C253" i="1"/>
  <c r="G252" i="1"/>
  <c r="F252" i="1" s="1"/>
  <c r="H252" i="1" s="1"/>
  <c r="E252" i="1"/>
  <c r="C252" i="1"/>
  <c r="G251" i="1"/>
  <c r="F251" i="1" s="1"/>
  <c r="H251" i="1" s="1"/>
  <c r="E251" i="1"/>
  <c r="C251" i="1"/>
  <c r="G250" i="1"/>
  <c r="F250" i="1" s="1"/>
  <c r="H250" i="1" s="1"/>
  <c r="E250" i="1"/>
  <c r="C250" i="1"/>
  <c r="G249" i="1"/>
  <c r="F249" i="1" s="1"/>
  <c r="H249" i="1" s="1"/>
  <c r="E249" i="1"/>
  <c r="C249" i="1"/>
  <c r="G248" i="1"/>
  <c r="F248" i="1" s="1"/>
  <c r="H248" i="1" s="1"/>
  <c r="E248" i="1"/>
  <c r="C248" i="1"/>
  <c r="G247" i="1"/>
  <c r="F247" i="1" s="1"/>
  <c r="H247" i="1" s="1"/>
  <c r="E247" i="1"/>
  <c r="C247" i="1"/>
  <c r="G246" i="1"/>
  <c r="F246" i="1" s="1"/>
  <c r="H246" i="1" s="1"/>
  <c r="E246" i="1"/>
  <c r="C246" i="1"/>
  <c r="G245" i="1"/>
  <c r="F245" i="1" s="1"/>
  <c r="H245" i="1" s="1"/>
  <c r="E245" i="1"/>
  <c r="C245" i="1"/>
  <c r="G244" i="1"/>
  <c r="F244" i="1" s="1"/>
  <c r="H244" i="1" s="1"/>
  <c r="E244" i="1"/>
  <c r="C244" i="1"/>
  <c r="G243" i="1"/>
  <c r="F243" i="1" s="1"/>
  <c r="H243" i="1" s="1"/>
  <c r="E243" i="1"/>
  <c r="C243" i="1"/>
  <c r="G242" i="1"/>
  <c r="F242" i="1" s="1"/>
  <c r="H242" i="1" s="1"/>
  <c r="E242" i="1"/>
  <c r="C242" i="1"/>
  <c r="G241" i="1"/>
  <c r="F241" i="1" s="1"/>
  <c r="H241" i="1" s="1"/>
  <c r="E241" i="1"/>
  <c r="C241" i="1"/>
  <c r="G240" i="1"/>
  <c r="F240" i="1" s="1"/>
  <c r="H240" i="1" s="1"/>
  <c r="E240" i="1"/>
  <c r="C240" i="1"/>
  <c r="G239" i="1"/>
  <c r="F239" i="1" s="1"/>
  <c r="H239" i="1" s="1"/>
  <c r="E239" i="1"/>
  <c r="C239" i="1"/>
  <c r="G238" i="1"/>
  <c r="F238" i="1" s="1"/>
  <c r="H238" i="1" s="1"/>
  <c r="E238" i="1"/>
  <c r="C238" i="1"/>
  <c r="G237" i="1"/>
  <c r="F237" i="1" s="1"/>
  <c r="H237" i="1" s="1"/>
  <c r="E237" i="1"/>
  <c r="C237" i="1"/>
  <c r="G236" i="1"/>
  <c r="F236" i="1" s="1"/>
  <c r="H236" i="1" s="1"/>
  <c r="E236" i="1"/>
  <c r="C236" i="1"/>
  <c r="G235" i="1"/>
  <c r="F235" i="1" s="1"/>
  <c r="H235" i="1" s="1"/>
  <c r="E235" i="1"/>
  <c r="C235" i="1"/>
  <c r="G234" i="1"/>
  <c r="F234" i="1" s="1"/>
  <c r="H234" i="1" s="1"/>
  <c r="E234" i="1"/>
  <c r="C234" i="1"/>
  <c r="G233" i="1"/>
  <c r="F233" i="1" s="1"/>
  <c r="H233" i="1" s="1"/>
  <c r="E233" i="1"/>
  <c r="C233" i="1"/>
  <c r="G232" i="1"/>
  <c r="F232" i="1" s="1"/>
  <c r="H232" i="1" s="1"/>
  <c r="E232" i="1"/>
  <c r="C232" i="1"/>
  <c r="G231" i="1"/>
  <c r="F231" i="1" s="1"/>
  <c r="H231" i="1" s="1"/>
  <c r="E231" i="1"/>
  <c r="C231" i="1"/>
  <c r="G230" i="1"/>
  <c r="F230" i="1" s="1"/>
  <c r="H230" i="1" s="1"/>
  <c r="E230" i="1"/>
  <c r="C230" i="1"/>
  <c r="G229" i="1"/>
  <c r="F229" i="1" s="1"/>
  <c r="H229" i="1" s="1"/>
  <c r="E229" i="1"/>
  <c r="C229" i="1"/>
  <c r="G228" i="1"/>
  <c r="F228" i="1" s="1"/>
  <c r="H228" i="1" s="1"/>
  <c r="E228" i="1"/>
  <c r="C228" i="1"/>
  <c r="G227" i="1"/>
  <c r="F227" i="1" s="1"/>
  <c r="H227" i="1" s="1"/>
  <c r="E227" i="1"/>
  <c r="C227" i="1"/>
  <c r="G226" i="1"/>
  <c r="F226" i="1" s="1"/>
  <c r="H226" i="1" s="1"/>
  <c r="E226" i="1"/>
  <c r="C226" i="1"/>
  <c r="G225" i="1"/>
  <c r="F225" i="1" s="1"/>
  <c r="H225" i="1" s="1"/>
  <c r="E225" i="1"/>
  <c r="C225" i="1"/>
  <c r="G224" i="1"/>
  <c r="F224" i="1" s="1"/>
  <c r="H224" i="1" s="1"/>
  <c r="E224" i="1"/>
  <c r="C224" i="1"/>
  <c r="G223" i="1"/>
  <c r="F223" i="1" s="1"/>
  <c r="H223" i="1" s="1"/>
  <c r="E223" i="1"/>
  <c r="C223" i="1"/>
  <c r="G222" i="1"/>
  <c r="F222" i="1" s="1"/>
  <c r="H222" i="1" s="1"/>
  <c r="E222" i="1"/>
  <c r="C222" i="1"/>
  <c r="G221" i="1"/>
  <c r="F221" i="1" s="1"/>
  <c r="H221" i="1" s="1"/>
  <c r="E221" i="1"/>
  <c r="C221" i="1"/>
  <c r="G220" i="1"/>
  <c r="F220" i="1" s="1"/>
  <c r="H220" i="1" s="1"/>
  <c r="E220" i="1"/>
  <c r="C220" i="1"/>
  <c r="G219" i="1"/>
  <c r="F219" i="1" s="1"/>
  <c r="H219" i="1" s="1"/>
  <c r="E219" i="1"/>
  <c r="C219" i="1"/>
  <c r="G218" i="1"/>
  <c r="F218" i="1" s="1"/>
  <c r="H218" i="1" s="1"/>
  <c r="E218" i="1"/>
  <c r="C218" i="1"/>
  <c r="G217" i="1"/>
  <c r="F217" i="1" s="1"/>
  <c r="H217" i="1" s="1"/>
  <c r="E217" i="1"/>
  <c r="C217" i="1"/>
  <c r="G216" i="1"/>
  <c r="F216" i="1" s="1"/>
  <c r="H216" i="1" s="1"/>
  <c r="E216" i="1"/>
  <c r="C216" i="1"/>
  <c r="G215" i="1"/>
  <c r="F215" i="1" s="1"/>
  <c r="H215" i="1" s="1"/>
  <c r="E215" i="1"/>
  <c r="C215" i="1"/>
  <c r="G214" i="1"/>
  <c r="F214" i="1" s="1"/>
  <c r="H214" i="1" s="1"/>
  <c r="E214" i="1"/>
  <c r="C214" i="1"/>
  <c r="G213" i="1"/>
  <c r="F213" i="1" s="1"/>
  <c r="H213" i="1" s="1"/>
  <c r="E213" i="1"/>
  <c r="C213" i="1"/>
  <c r="G212" i="1"/>
  <c r="F212" i="1" s="1"/>
  <c r="H212" i="1" s="1"/>
  <c r="E212" i="1"/>
  <c r="C212" i="1"/>
  <c r="G211" i="1"/>
  <c r="F211" i="1" s="1"/>
  <c r="H211" i="1" s="1"/>
  <c r="E211" i="1"/>
  <c r="C211" i="1"/>
  <c r="G210" i="1"/>
  <c r="F210" i="1" s="1"/>
  <c r="H210" i="1" s="1"/>
  <c r="E210" i="1"/>
  <c r="C210" i="1"/>
  <c r="G209" i="1"/>
  <c r="F209" i="1" s="1"/>
  <c r="H209" i="1" s="1"/>
  <c r="E209" i="1"/>
  <c r="C209" i="1"/>
  <c r="G208" i="1"/>
  <c r="F208" i="1" s="1"/>
  <c r="H208" i="1" s="1"/>
  <c r="E208" i="1"/>
  <c r="C208" i="1"/>
  <c r="G207" i="1"/>
  <c r="F207" i="1" s="1"/>
  <c r="H207" i="1" s="1"/>
  <c r="E207" i="1"/>
  <c r="C207" i="1"/>
  <c r="G206" i="1"/>
  <c r="F206" i="1" s="1"/>
  <c r="H206" i="1" s="1"/>
  <c r="E206" i="1"/>
  <c r="C206" i="1"/>
  <c r="G205" i="1"/>
  <c r="F205" i="1" s="1"/>
  <c r="H205" i="1" s="1"/>
  <c r="E205" i="1"/>
  <c r="C205" i="1"/>
  <c r="G204" i="1"/>
  <c r="F204" i="1" s="1"/>
  <c r="H204" i="1" s="1"/>
  <c r="E204" i="1"/>
  <c r="C204" i="1"/>
  <c r="G203" i="1"/>
  <c r="F203" i="1" s="1"/>
  <c r="H203" i="1" s="1"/>
  <c r="E203" i="1"/>
  <c r="C203" i="1"/>
  <c r="G202" i="1"/>
  <c r="F202" i="1" s="1"/>
  <c r="H202" i="1" s="1"/>
  <c r="E202" i="1"/>
  <c r="C202" i="1"/>
  <c r="G201" i="1"/>
  <c r="F201" i="1" s="1"/>
  <c r="H201" i="1" s="1"/>
  <c r="E201" i="1"/>
  <c r="C201" i="1"/>
  <c r="G200" i="1"/>
  <c r="F200" i="1" s="1"/>
  <c r="H200" i="1" s="1"/>
  <c r="E200" i="1"/>
  <c r="C200" i="1"/>
  <c r="G199" i="1"/>
  <c r="F199" i="1" s="1"/>
  <c r="H199" i="1" s="1"/>
  <c r="E199" i="1"/>
  <c r="C199" i="1"/>
  <c r="G198" i="1"/>
  <c r="F198" i="1" s="1"/>
  <c r="H198" i="1" s="1"/>
  <c r="E198" i="1"/>
  <c r="C198" i="1"/>
  <c r="G197" i="1"/>
  <c r="F197" i="1" s="1"/>
  <c r="H197" i="1" s="1"/>
  <c r="E197" i="1"/>
  <c r="C197" i="1"/>
  <c r="G196" i="1"/>
  <c r="F196" i="1" s="1"/>
  <c r="H196" i="1" s="1"/>
  <c r="E196" i="1"/>
  <c r="C196" i="1"/>
  <c r="G195" i="1"/>
  <c r="F195" i="1" s="1"/>
  <c r="H195" i="1" s="1"/>
  <c r="E195" i="1"/>
  <c r="C195" i="1"/>
  <c r="G194" i="1"/>
  <c r="F194" i="1" s="1"/>
  <c r="H194" i="1" s="1"/>
  <c r="E194" i="1"/>
  <c r="C194" i="1"/>
  <c r="G193" i="1"/>
  <c r="F193" i="1" s="1"/>
  <c r="H193" i="1" s="1"/>
  <c r="E193" i="1"/>
  <c r="C193" i="1"/>
  <c r="G192" i="1"/>
  <c r="F192" i="1" s="1"/>
  <c r="H192" i="1" s="1"/>
  <c r="E192" i="1"/>
  <c r="C192" i="1"/>
  <c r="G191" i="1"/>
  <c r="F191" i="1" s="1"/>
  <c r="H191" i="1" s="1"/>
  <c r="E191" i="1"/>
  <c r="C191" i="1"/>
  <c r="G190" i="1"/>
  <c r="F190" i="1" s="1"/>
  <c r="H190" i="1" s="1"/>
  <c r="E190" i="1"/>
  <c r="C190" i="1"/>
  <c r="G189" i="1"/>
  <c r="F189" i="1" s="1"/>
  <c r="H189" i="1" s="1"/>
  <c r="E189" i="1"/>
  <c r="C189" i="1"/>
  <c r="G188" i="1"/>
  <c r="F188" i="1" s="1"/>
  <c r="H188" i="1" s="1"/>
  <c r="E188" i="1"/>
  <c r="C188" i="1"/>
  <c r="G187" i="1"/>
  <c r="F187" i="1" s="1"/>
  <c r="H187" i="1" s="1"/>
  <c r="E187" i="1"/>
  <c r="C187" i="1"/>
  <c r="G186" i="1"/>
  <c r="F186" i="1" s="1"/>
  <c r="H186" i="1" s="1"/>
  <c r="E186" i="1"/>
  <c r="C186" i="1"/>
  <c r="G185" i="1"/>
  <c r="F185" i="1" s="1"/>
  <c r="H185" i="1" s="1"/>
  <c r="E185" i="1"/>
  <c r="C185" i="1"/>
  <c r="G184" i="1"/>
  <c r="F184" i="1" s="1"/>
  <c r="H184" i="1" s="1"/>
  <c r="E184" i="1"/>
  <c r="C184" i="1"/>
  <c r="G183" i="1"/>
  <c r="F183" i="1" s="1"/>
  <c r="H183" i="1" s="1"/>
  <c r="E183" i="1"/>
  <c r="C183" i="1"/>
  <c r="G182" i="1"/>
  <c r="F182" i="1" s="1"/>
  <c r="H182" i="1" s="1"/>
  <c r="E182" i="1"/>
  <c r="C182" i="1"/>
  <c r="G181" i="1"/>
  <c r="F181" i="1" s="1"/>
  <c r="H181" i="1" s="1"/>
  <c r="E181" i="1"/>
  <c r="C181" i="1"/>
  <c r="G180" i="1"/>
  <c r="F180" i="1" s="1"/>
  <c r="H180" i="1" s="1"/>
  <c r="E180" i="1"/>
  <c r="C180" i="1"/>
  <c r="G179" i="1"/>
  <c r="F179" i="1" s="1"/>
  <c r="H179" i="1" s="1"/>
  <c r="E179" i="1"/>
  <c r="C179" i="1"/>
  <c r="G178" i="1"/>
  <c r="F178" i="1" s="1"/>
  <c r="H178" i="1" s="1"/>
  <c r="E178" i="1"/>
  <c r="C178" i="1"/>
  <c r="G177" i="1"/>
  <c r="F177" i="1" s="1"/>
  <c r="H177" i="1" s="1"/>
  <c r="E177" i="1"/>
  <c r="C177" i="1"/>
  <c r="G176" i="1"/>
  <c r="F176" i="1" s="1"/>
  <c r="H176" i="1" s="1"/>
  <c r="E176" i="1"/>
  <c r="C176" i="1"/>
  <c r="G175" i="1"/>
  <c r="F175" i="1" s="1"/>
  <c r="H175" i="1" s="1"/>
  <c r="E175" i="1"/>
  <c r="C175" i="1"/>
  <c r="G174" i="1"/>
  <c r="F174" i="1" s="1"/>
  <c r="H174" i="1" s="1"/>
  <c r="E174" i="1"/>
  <c r="C174" i="1"/>
  <c r="G173" i="1"/>
  <c r="F173" i="1" s="1"/>
  <c r="H173" i="1" s="1"/>
  <c r="E173" i="1"/>
  <c r="C173" i="1"/>
  <c r="G172" i="1"/>
  <c r="F172" i="1" s="1"/>
  <c r="H172" i="1" s="1"/>
  <c r="E172" i="1"/>
  <c r="C172" i="1"/>
  <c r="G171" i="1"/>
  <c r="F171" i="1" s="1"/>
  <c r="H171" i="1" s="1"/>
  <c r="E171" i="1"/>
  <c r="C171" i="1"/>
  <c r="G170" i="1"/>
  <c r="F170" i="1" s="1"/>
  <c r="H170" i="1" s="1"/>
  <c r="E170" i="1"/>
  <c r="C170" i="1"/>
  <c r="G169" i="1"/>
  <c r="F169" i="1" s="1"/>
  <c r="H169" i="1" s="1"/>
  <c r="E169" i="1"/>
  <c r="C169" i="1"/>
  <c r="G168" i="1"/>
  <c r="F168" i="1" s="1"/>
  <c r="H168" i="1" s="1"/>
  <c r="E168" i="1"/>
  <c r="C168" i="1"/>
  <c r="G167" i="1"/>
  <c r="F167" i="1" s="1"/>
  <c r="H167" i="1" s="1"/>
  <c r="E167" i="1"/>
  <c r="C167" i="1"/>
  <c r="G166" i="1"/>
  <c r="F166" i="1" s="1"/>
  <c r="H166" i="1" s="1"/>
  <c r="E166" i="1"/>
  <c r="C166" i="1"/>
  <c r="G165" i="1"/>
  <c r="F165" i="1" s="1"/>
  <c r="H165" i="1" s="1"/>
  <c r="E165" i="1"/>
  <c r="C165" i="1"/>
  <c r="G164" i="1"/>
  <c r="F164" i="1" s="1"/>
  <c r="H164" i="1" s="1"/>
  <c r="E164" i="1"/>
  <c r="C164" i="1"/>
  <c r="G163" i="1"/>
  <c r="F163" i="1" s="1"/>
  <c r="H163" i="1" s="1"/>
  <c r="E163" i="1"/>
  <c r="C163" i="1"/>
  <c r="G162" i="1"/>
  <c r="F162" i="1" s="1"/>
  <c r="H162" i="1" s="1"/>
  <c r="E162" i="1"/>
  <c r="C162" i="1"/>
  <c r="G161" i="1"/>
  <c r="F161" i="1" s="1"/>
  <c r="H161" i="1" s="1"/>
  <c r="E161" i="1"/>
  <c r="C161" i="1"/>
  <c r="G160" i="1"/>
  <c r="F160" i="1" s="1"/>
  <c r="H160" i="1" s="1"/>
  <c r="E160" i="1"/>
  <c r="C160" i="1"/>
  <c r="G159" i="1"/>
  <c r="F159" i="1" s="1"/>
  <c r="H159" i="1" s="1"/>
  <c r="E159" i="1"/>
  <c r="C159" i="1"/>
  <c r="G158" i="1"/>
  <c r="F158" i="1" s="1"/>
  <c r="H158" i="1" s="1"/>
  <c r="E158" i="1"/>
  <c r="C158" i="1"/>
  <c r="G157" i="1"/>
  <c r="F157" i="1" s="1"/>
  <c r="H157" i="1" s="1"/>
  <c r="E157" i="1"/>
  <c r="C157" i="1"/>
  <c r="G156" i="1"/>
  <c r="F156" i="1" s="1"/>
  <c r="H156" i="1" s="1"/>
  <c r="E156" i="1"/>
  <c r="C156" i="1"/>
  <c r="G155" i="1"/>
  <c r="F155" i="1" s="1"/>
  <c r="H155" i="1" s="1"/>
  <c r="E155" i="1"/>
  <c r="C155" i="1"/>
  <c r="G154" i="1"/>
  <c r="F154" i="1" s="1"/>
  <c r="H154" i="1" s="1"/>
  <c r="E154" i="1"/>
  <c r="C154" i="1"/>
  <c r="G153" i="1"/>
  <c r="F153" i="1" s="1"/>
  <c r="H153" i="1" s="1"/>
  <c r="E153" i="1"/>
  <c r="C153" i="1"/>
  <c r="G152" i="1"/>
  <c r="F152" i="1" s="1"/>
  <c r="H152" i="1" s="1"/>
  <c r="E152" i="1"/>
  <c r="C152" i="1"/>
  <c r="G151" i="1"/>
  <c r="F151" i="1" s="1"/>
  <c r="H151" i="1" s="1"/>
  <c r="E151" i="1"/>
  <c r="C151" i="1"/>
  <c r="G150" i="1"/>
  <c r="F150" i="1" s="1"/>
  <c r="H150" i="1" s="1"/>
  <c r="E150" i="1"/>
  <c r="C150" i="1"/>
  <c r="G149" i="1"/>
  <c r="F149" i="1" s="1"/>
  <c r="H149" i="1" s="1"/>
  <c r="E149" i="1"/>
  <c r="C149" i="1"/>
  <c r="G148" i="1"/>
  <c r="F148" i="1" s="1"/>
  <c r="H148" i="1" s="1"/>
  <c r="E148" i="1"/>
  <c r="C148" i="1"/>
  <c r="G147" i="1"/>
  <c r="F147" i="1" s="1"/>
  <c r="H147" i="1" s="1"/>
  <c r="E147" i="1"/>
  <c r="C147" i="1"/>
  <c r="G146" i="1"/>
  <c r="F146" i="1" s="1"/>
  <c r="H146" i="1" s="1"/>
  <c r="E146" i="1"/>
  <c r="C146" i="1"/>
  <c r="G145" i="1"/>
  <c r="F145" i="1" s="1"/>
  <c r="H145" i="1" s="1"/>
  <c r="E145" i="1"/>
  <c r="C145" i="1"/>
  <c r="G144" i="1"/>
  <c r="F144" i="1" s="1"/>
  <c r="H144" i="1" s="1"/>
  <c r="E144" i="1"/>
  <c r="C144" i="1"/>
  <c r="G143" i="1"/>
  <c r="F143" i="1" s="1"/>
  <c r="H143" i="1" s="1"/>
  <c r="E143" i="1"/>
  <c r="C143" i="1"/>
  <c r="G142" i="1"/>
  <c r="F142" i="1" s="1"/>
  <c r="H142" i="1" s="1"/>
  <c r="E142" i="1"/>
  <c r="C142" i="1"/>
  <c r="G141" i="1"/>
  <c r="F141" i="1" s="1"/>
  <c r="H141" i="1" s="1"/>
  <c r="E141" i="1"/>
  <c r="C141" i="1"/>
  <c r="G140" i="1"/>
  <c r="F140" i="1" s="1"/>
  <c r="H140" i="1" s="1"/>
  <c r="E140" i="1"/>
  <c r="C140" i="1"/>
  <c r="G139" i="1"/>
  <c r="F139" i="1" s="1"/>
  <c r="H139" i="1" s="1"/>
  <c r="E139" i="1"/>
  <c r="C139" i="1"/>
  <c r="G138" i="1"/>
  <c r="F138" i="1" s="1"/>
  <c r="H138" i="1" s="1"/>
  <c r="E138" i="1"/>
  <c r="C138" i="1"/>
  <c r="G137" i="1"/>
  <c r="F137" i="1" s="1"/>
  <c r="H137" i="1" s="1"/>
  <c r="E137" i="1"/>
  <c r="C137" i="1"/>
  <c r="G136" i="1"/>
  <c r="F136" i="1" s="1"/>
  <c r="H136" i="1" s="1"/>
  <c r="E136" i="1"/>
  <c r="C136" i="1"/>
  <c r="G135" i="1"/>
  <c r="F135" i="1" s="1"/>
  <c r="H135" i="1" s="1"/>
  <c r="E135" i="1"/>
  <c r="C135" i="1"/>
  <c r="G134" i="1"/>
  <c r="F134" i="1" s="1"/>
  <c r="H134" i="1" s="1"/>
  <c r="E134" i="1"/>
  <c r="C134" i="1"/>
  <c r="G133" i="1"/>
  <c r="F133" i="1" s="1"/>
  <c r="H133" i="1" s="1"/>
  <c r="E133" i="1"/>
  <c r="C133" i="1"/>
  <c r="G132" i="1"/>
  <c r="F132" i="1" s="1"/>
  <c r="H132" i="1" s="1"/>
  <c r="E132" i="1"/>
  <c r="C132" i="1"/>
  <c r="G131" i="1"/>
  <c r="F131" i="1" s="1"/>
  <c r="H131" i="1" s="1"/>
  <c r="E131" i="1"/>
  <c r="C131" i="1"/>
  <c r="G130" i="1"/>
  <c r="F130" i="1" s="1"/>
  <c r="H130" i="1" s="1"/>
  <c r="E130" i="1"/>
  <c r="C130" i="1"/>
  <c r="G129" i="1"/>
  <c r="F129" i="1" s="1"/>
  <c r="H129" i="1" s="1"/>
  <c r="E129" i="1"/>
  <c r="C129" i="1"/>
  <c r="G128" i="1"/>
  <c r="F128" i="1" s="1"/>
  <c r="H128" i="1" s="1"/>
  <c r="E128" i="1"/>
  <c r="C128" i="1"/>
  <c r="G127" i="1"/>
  <c r="F127" i="1" s="1"/>
  <c r="H127" i="1" s="1"/>
  <c r="E127" i="1"/>
  <c r="C127" i="1"/>
  <c r="G126" i="1"/>
  <c r="F126" i="1" s="1"/>
  <c r="H126" i="1" s="1"/>
  <c r="E126" i="1"/>
  <c r="C126" i="1"/>
  <c r="G125" i="1"/>
  <c r="F125" i="1" s="1"/>
  <c r="H125" i="1" s="1"/>
  <c r="E125" i="1"/>
  <c r="C125" i="1"/>
  <c r="G124" i="1"/>
  <c r="F124" i="1" s="1"/>
  <c r="H124" i="1" s="1"/>
  <c r="E124" i="1"/>
  <c r="C124" i="1"/>
  <c r="G123" i="1"/>
  <c r="F123" i="1" s="1"/>
  <c r="H123" i="1" s="1"/>
  <c r="E123" i="1"/>
  <c r="C123" i="1"/>
  <c r="G122" i="1"/>
  <c r="F122" i="1" s="1"/>
  <c r="H122" i="1" s="1"/>
  <c r="E122" i="1"/>
  <c r="C122" i="1"/>
  <c r="G121" i="1"/>
  <c r="F121" i="1" s="1"/>
  <c r="H121" i="1" s="1"/>
  <c r="E121" i="1"/>
  <c r="C121" i="1"/>
  <c r="G120" i="1"/>
  <c r="F120" i="1" s="1"/>
  <c r="H120" i="1" s="1"/>
  <c r="E120" i="1"/>
  <c r="C120" i="1"/>
  <c r="G119" i="1"/>
  <c r="F119" i="1" s="1"/>
  <c r="H119" i="1" s="1"/>
  <c r="E119" i="1"/>
  <c r="C119" i="1"/>
  <c r="G118" i="1"/>
  <c r="F118" i="1" s="1"/>
  <c r="H118" i="1" s="1"/>
  <c r="E118" i="1"/>
  <c r="C118" i="1"/>
  <c r="G117" i="1"/>
  <c r="F117" i="1" s="1"/>
  <c r="H117" i="1" s="1"/>
  <c r="E117" i="1"/>
  <c r="C117" i="1"/>
  <c r="G116" i="1"/>
  <c r="F116" i="1" s="1"/>
  <c r="H116" i="1" s="1"/>
  <c r="E116" i="1"/>
  <c r="C116" i="1"/>
  <c r="G115" i="1"/>
  <c r="F115" i="1" s="1"/>
  <c r="H115" i="1" s="1"/>
  <c r="E115" i="1"/>
  <c r="C115" i="1"/>
  <c r="G114" i="1"/>
  <c r="F114" i="1" s="1"/>
  <c r="H114" i="1" s="1"/>
  <c r="E114" i="1"/>
  <c r="C114" i="1"/>
  <c r="G113" i="1"/>
  <c r="F113" i="1" s="1"/>
  <c r="H113" i="1" s="1"/>
  <c r="E113" i="1"/>
  <c r="C113" i="1"/>
  <c r="G112" i="1"/>
  <c r="F112" i="1" s="1"/>
  <c r="H112" i="1" s="1"/>
  <c r="E112" i="1"/>
  <c r="C112" i="1"/>
  <c r="G111" i="1"/>
  <c r="F111" i="1" s="1"/>
  <c r="H111" i="1" s="1"/>
  <c r="E111" i="1"/>
  <c r="C111" i="1"/>
  <c r="G110" i="1"/>
  <c r="F110" i="1" s="1"/>
  <c r="H110" i="1" s="1"/>
  <c r="E110" i="1"/>
  <c r="C110" i="1"/>
  <c r="G109" i="1"/>
  <c r="F109" i="1" s="1"/>
  <c r="H109" i="1" s="1"/>
  <c r="E109" i="1"/>
  <c r="C109" i="1"/>
  <c r="G108" i="1"/>
  <c r="F108" i="1" s="1"/>
  <c r="H108" i="1" s="1"/>
  <c r="E108" i="1"/>
  <c r="C108" i="1"/>
  <c r="G107" i="1"/>
  <c r="F107" i="1" s="1"/>
  <c r="H107" i="1" s="1"/>
  <c r="E107" i="1"/>
  <c r="C107" i="1"/>
  <c r="G106" i="1"/>
  <c r="F106" i="1" s="1"/>
  <c r="H106" i="1" s="1"/>
  <c r="E106" i="1"/>
  <c r="C106" i="1"/>
  <c r="G105" i="1"/>
  <c r="F105" i="1" s="1"/>
  <c r="H105" i="1" s="1"/>
  <c r="E105" i="1"/>
  <c r="C105" i="1"/>
  <c r="G104" i="1"/>
  <c r="F104" i="1" s="1"/>
  <c r="H104" i="1" s="1"/>
  <c r="E104" i="1"/>
  <c r="C104" i="1"/>
  <c r="G103" i="1"/>
  <c r="F103" i="1" s="1"/>
  <c r="H103" i="1" s="1"/>
  <c r="E103" i="1"/>
  <c r="C103" i="1"/>
  <c r="G102" i="1"/>
  <c r="F102" i="1" s="1"/>
  <c r="H102" i="1" s="1"/>
  <c r="E102" i="1"/>
  <c r="C102" i="1"/>
  <c r="G101" i="1"/>
  <c r="F101" i="1" s="1"/>
  <c r="H101" i="1" s="1"/>
  <c r="E101" i="1"/>
  <c r="C101" i="1"/>
  <c r="G100" i="1"/>
  <c r="F100" i="1" s="1"/>
  <c r="H100" i="1" s="1"/>
  <c r="E100" i="1"/>
  <c r="C100" i="1"/>
  <c r="G99" i="1"/>
  <c r="F99" i="1" s="1"/>
  <c r="H99" i="1" s="1"/>
  <c r="E99" i="1"/>
  <c r="C99" i="1"/>
  <c r="G98" i="1"/>
  <c r="F98" i="1" s="1"/>
  <c r="H98" i="1" s="1"/>
  <c r="E98" i="1"/>
  <c r="C98" i="1"/>
  <c r="G97" i="1"/>
  <c r="F97" i="1" s="1"/>
  <c r="H97" i="1" s="1"/>
  <c r="E97" i="1"/>
  <c r="C97" i="1"/>
  <c r="G96" i="1"/>
  <c r="F96" i="1" s="1"/>
  <c r="H96" i="1" s="1"/>
  <c r="E96" i="1"/>
  <c r="C96" i="1"/>
  <c r="G95" i="1"/>
  <c r="F95" i="1" s="1"/>
  <c r="H95" i="1" s="1"/>
  <c r="E95" i="1"/>
  <c r="C95" i="1"/>
  <c r="G94" i="1"/>
  <c r="F94" i="1" s="1"/>
  <c r="H94" i="1" s="1"/>
  <c r="E94" i="1"/>
  <c r="C94" i="1"/>
  <c r="G93" i="1"/>
  <c r="F93" i="1" s="1"/>
  <c r="H93" i="1" s="1"/>
  <c r="E93" i="1"/>
  <c r="C93" i="1"/>
  <c r="G92" i="1"/>
  <c r="F92" i="1" s="1"/>
  <c r="H92" i="1" s="1"/>
  <c r="E92" i="1"/>
  <c r="C92" i="1"/>
  <c r="G91" i="1"/>
  <c r="F91" i="1" s="1"/>
  <c r="H91" i="1" s="1"/>
  <c r="E91" i="1"/>
  <c r="C91" i="1"/>
  <c r="G90" i="1"/>
  <c r="F90" i="1" s="1"/>
  <c r="H90" i="1" s="1"/>
  <c r="E90" i="1"/>
  <c r="C90" i="1"/>
  <c r="G89" i="1"/>
  <c r="F89" i="1" s="1"/>
  <c r="H89" i="1" s="1"/>
  <c r="E89" i="1"/>
  <c r="C89" i="1"/>
  <c r="G88" i="1"/>
  <c r="F88" i="1" s="1"/>
  <c r="H88" i="1" s="1"/>
  <c r="E88" i="1"/>
  <c r="C88" i="1"/>
  <c r="G87" i="1"/>
  <c r="F87" i="1" s="1"/>
  <c r="H87" i="1" s="1"/>
  <c r="E87" i="1"/>
  <c r="C87" i="1"/>
  <c r="G86" i="1"/>
  <c r="F86" i="1" s="1"/>
  <c r="H86" i="1" s="1"/>
  <c r="E86" i="1"/>
  <c r="C86" i="1"/>
  <c r="G85" i="1"/>
  <c r="F85" i="1" s="1"/>
  <c r="H85" i="1" s="1"/>
  <c r="E85" i="1"/>
  <c r="C85" i="1"/>
  <c r="G84" i="1"/>
  <c r="F84" i="1" s="1"/>
  <c r="H84" i="1" s="1"/>
  <c r="E84" i="1"/>
  <c r="C84" i="1"/>
  <c r="G83" i="1"/>
  <c r="F83" i="1" s="1"/>
  <c r="H83" i="1" s="1"/>
  <c r="E83" i="1"/>
  <c r="C83" i="1"/>
  <c r="G82" i="1"/>
  <c r="F82" i="1" s="1"/>
  <c r="H82" i="1" s="1"/>
  <c r="E82" i="1"/>
  <c r="C82" i="1"/>
  <c r="G81" i="1"/>
  <c r="F81" i="1" s="1"/>
  <c r="H81" i="1" s="1"/>
  <c r="E81" i="1"/>
  <c r="C81" i="1"/>
  <c r="G80" i="1"/>
  <c r="F80" i="1" s="1"/>
  <c r="H80" i="1" s="1"/>
  <c r="E80" i="1"/>
  <c r="C80" i="1"/>
  <c r="G79" i="1"/>
  <c r="F79" i="1" s="1"/>
  <c r="H79" i="1" s="1"/>
  <c r="E79" i="1"/>
  <c r="C79" i="1"/>
  <c r="G78" i="1"/>
  <c r="F78" i="1" s="1"/>
  <c r="H78" i="1" s="1"/>
  <c r="E78" i="1"/>
  <c r="C78" i="1"/>
  <c r="G77" i="1"/>
  <c r="F77" i="1" s="1"/>
  <c r="H77" i="1" s="1"/>
  <c r="E77" i="1"/>
  <c r="C77" i="1"/>
  <c r="G76" i="1"/>
  <c r="F76" i="1" s="1"/>
  <c r="H76" i="1" s="1"/>
  <c r="E76" i="1"/>
  <c r="C76" i="1"/>
  <c r="G75" i="1"/>
  <c r="F75" i="1" s="1"/>
  <c r="H75" i="1" s="1"/>
  <c r="E75" i="1"/>
  <c r="C75" i="1"/>
  <c r="G74" i="1"/>
  <c r="F74" i="1" s="1"/>
  <c r="H74" i="1" s="1"/>
  <c r="E74" i="1"/>
  <c r="C74" i="1"/>
  <c r="G73" i="1"/>
  <c r="F73" i="1" s="1"/>
  <c r="H73" i="1" s="1"/>
  <c r="E73" i="1"/>
  <c r="C73" i="1"/>
  <c r="G72" i="1"/>
  <c r="F72" i="1" s="1"/>
  <c r="H72" i="1" s="1"/>
  <c r="E72" i="1"/>
  <c r="C72" i="1"/>
  <c r="G71" i="1"/>
  <c r="F71" i="1" s="1"/>
  <c r="H71" i="1" s="1"/>
  <c r="E71" i="1"/>
  <c r="C71" i="1"/>
  <c r="G70" i="1"/>
  <c r="F70" i="1" s="1"/>
  <c r="H70" i="1" s="1"/>
  <c r="E70" i="1"/>
  <c r="C70" i="1"/>
  <c r="G69" i="1"/>
  <c r="F69" i="1" s="1"/>
  <c r="H69" i="1" s="1"/>
  <c r="E69" i="1"/>
  <c r="C69" i="1"/>
  <c r="G68" i="1"/>
  <c r="F68" i="1" s="1"/>
  <c r="H68" i="1" s="1"/>
  <c r="E68" i="1"/>
  <c r="C68" i="1"/>
  <c r="G67" i="1"/>
  <c r="F67" i="1" s="1"/>
  <c r="H67" i="1" s="1"/>
  <c r="E67" i="1"/>
  <c r="C67" i="1"/>
  <c r="G66" i="1"/>
  <c r="F66" i="1" s="1"/>
  <c r="H66" i="1" s="1"/>
  <c r="E66" i="1"/>
  <c r="C66" i="1"/>
  <c r="G65" i="1"/>
  <c r="F65" i="1" s="1"/>
  <c r="H65" i="1" s="1"/>
  <c r="E65" i="1"/>
  <c r="C65" i="1"/>
  <c r="G64" i="1"/>
  <c r="F64" i="1" s="1"/>
  <c r="H64" i="1" s="1"/>
  <c r="E64" i="1"/>
  <c r="C64" i="1"/>
  <c r="G63" i="1"/>
  <c r="F63" i="1" s="1"/>
  <c r="H63" i="1" s="1"/>
  <c r="E63" i="1"/>
  <c r="C63" i="1"/>
  <c r="G62" i="1"/>
  <c r="F62" i="1" s="1"/>
  <c r="H62" i="1" s="1"/>
  <c r="E62" i="1"/>
  <c r="C62" i="1"/>
  <c r="G61" i="1"/>
  <c r="F61" i="1" s="1"/>
  <c r="H61" i="1" s="1"/>
  <c r="E61" i="1"/>
  <c r="C61" i="1"/>
  <c r="G60" i="1"/>
  <c r="F60" i="1" s="1"/>
  <c r="H60" i="1" s="1"/>
  <c r="E60" i="1"/>
  <c r="C60" i="1"/>
  <c r="G59" i="1"/>
  <c r="F59" i="1" s="1"/>
  <c r="H59" i="1" s="1"/>
  <c r="E59" i="1"/>
  <c r="C59" i="1"/>
  <c r="G58" i="1"/>
  <c r="F58" i="1" s="1"/>
  <c r="H58" i="1" s="1"/>
  <c r="E58" i="1"/>
  <c r="C58" i="1"/>
  <c r="G57" i="1"/>
  <c r="F57" i="1" s="1"/>
  <c r="H57" i="1" s="1"/>
  <c r="E57" i="1"/>
  <c r="C57" i="1"/>
  <c r="G56" i="1"/>
  <c r="F56" i="1" s="1"/>
  <c r="H56" i="1" s="1"/>
  <c r="E56" i="1"/>
  <c r="C56" i="1"/>
  <c r="G55" i="1"/>
  <c r="F55" i="1" s="1"/>
  <c r="H55" i="1" s="1"/>
  <c r="E55" i="1"/>
  <c r="C55" i="1"/>
  <c r="G54" i="1"/>
  <c r="F54" i="1" s="1"/>
  <c r="H54" i="1" s="1"/>
  <c r="E54" i="1"/>
  <c r="C54" i="1"/>
  <c r="G53" i="1"/>
  <c r="F53" i="1" s="1"/>
  <c r="H53" i="1" s="1"/>
  <c r="E53" i="1"/>
  <c r="C53" i="1"/>
  <c r="G52" i="1"/>
  <c r="F52" i="1" s="1"/>
  <c r="H52" i="1" s="1"/>
  <c r="E52" i="1"/>
  <c r="C52" i="1"/>
  <c r="G51" i="1"/>
  <c r="F51" i="1" s="1"/>
  <c r="H51" i="1" s="1"/>
  <c r="E51" i="1"/>
  <c r="C51" i="1"/>
  <c r="G50" i="1"/>
  <c r="F50" i="1" s="1"/>
  <c r="H50" i="1" s="1"/>
  <c r="E50" i="1"/>
  <c r="C50" i="1"/>
  <c r="G49" i="1"/>
  <c r="F49" i="1" s="1"/>
  <c r="H49" i="1" s="1"/>
  <c r="E49" i="1"/>
  <c r="C49" i="1"/>
  <c r="G48" i="1"/>
  <c r="F48" i="1" s="1"/>
  <c r="H48" i="1" s="1"/>
  <c r="E48" i="1"/>
  <c r="C48" i="1"/>
  <c r="G47" i="1"/>
  <c r="F47" i="1" s="1"/>
  <c r="H47" i="1" s="1"/>
  <c r="E47" i="1"/>
  <c r="C47" i="1"/>
  <c r="G46" i="1"/>
  <c r="F46" i="1" s="1"/>
  <c r="H46" i="1" s="1"/>
  <c r="E46" i="1"/>
  <c r="C46" i="1"/>
  <c r="G45" i="1"/>
  <c r="F45" i="1" s="1"/>
  <c r="H45" i="1" s="1"/>
  <c r="E45" i="1"/>
  <c r="C45" i="1"/>
  <c r="G44" i="1"/>
  <c r="F44" i="1" s="1"/>
  <c r="H44" i="1" s="1"/>
  <c r="E44" i="1"/>
  <c r="C44" i="1"/>
  <c r="G43" i="1"/>
  <c r="F43" i="1" s="1"/>
  <c r="H43" i="1" s="1"/>
  <c r="E43" i="1"/>
  <c r="C43" i="1"/>
  <c r="G42" i="1"/>
  <c r="F42" i="1" s="1"/>
  <c r="H42" i="1" s="1"/>
  <c r="E42" i="1"/>
  <c r="C42" i="1"/>
  <c r="G41" i="1"/>
  <c r="F41" i="1" s="1"/>
  <c r="H41" i="1" s="1"/>
  <c r="E41" i="1"/>
  <c r="C41" i="1"/>
  <c r="G40" i="1"/>
  <c r="F40" i="1" s="1"/>
  <c r="H40" i="1" s="1"/>
  <c r="E40" i="1"/>
  <c r="C40" i="1"/>
  <c r="G39" i="1"/>
  <c r="F39" i="1" s="1"/>
  <c r="H39" i="1" s="1"/>
  <c r="E39" i="1"/>
  <c r="C39" i="1"/>
  <c r="G38" i="1"/>
  <c r="F38" i="1" s="1"/>
  <c r="H38" i="1" s="1"/>
  <c r="E38" i="1"/>
  <c r="C38" i="1"/>
  <c r="G37" i="1"/>
  <c r="F37" i="1" s="1"/>
  <c r="H37" i="1" s="1"/>
  <c r="E37" i="1"/>
  <c r="C37" i="1"/>
  <c r="G36" i="1"/>
  <c r="F36" i="1" s="1"/>
  <c r="H36" i="1" s="1"/>
  <c r="E36" i="1"/>
  <c r="C36" i="1"/>
  <c r="G35" i="1"/>
  <c r="F35" i="1" s="1"/>
  <c r="H35" i="1" s="1"/>
  <c r="E35" i="1"/>
  <c r="C35" i="1"/>
  <c r="G34" i="1"/>
  <c r="F34" i="1" s="1"/>
  <c r="H34" i="1" s="1"/>
  <c r="E34" i="1"/>
  <c r="C34" i="1"/>
  <c r="G33" i="1"/>
  <c r="F33" i="1" s="1"/>
  <c r="H33" i="1" s="1"/>
  <c r="E33" i="1"/>
  <c r="C33" i="1"/>
  <c r="G32" i="1"/>
  <c r="F32" i="1" s="1"/>
  <c r="H32" i="1" s="1"/>
  <c r="E32" i="1"/>
  <c r="C32" i="1"/>
  <c r="G31" i="1"/>
  <c r="F31" i="1" s="1"/>
  <c r="H31" i="1" s="1"/>
  <c r="E31" i="1"/>
  <c r="C31" i="1"/>
  <c r="G30" i="1"/>
  <c r="F30" i="1" s="1"/>
  <c r="H30" i="1" s="1"/>
  <c r="E30" i="1"/>
  <c r="C30" i="1"/>
  <c r="G29" i="1"/>
  <c r="F29" i="1" s="1"/>
  <c r="H29" i="1" s="1"/>
  <c r="E29" i="1"/>
  <c r="C29" i="1"/>
  <c r="G28" i="1"/>
  <c r="F28" i="1" s="1"/>
  <c r="H28" i="1" s="1"/>
  <c r="E28" i="1"/>
  <c r="C28" i="1"/>
  <c r="G27" i="1"/>
  <c r="F27" i="1" s="1"/>
  <c r="H27" i="1" s="1"/>
  <c r="E27" i="1"/>
  <c r="C27" i="1"/>
  <c r="G26" i="1"/>
  <c r="F26" i="1" s="1"/>
  <c r="H26" i="1" s="1"/>
  <c r="E26" i="1"/>
  <c r="C26" i="1"/>
  <c r="G25" i="1"/>
  <c r="F25" i="1" s="1"/>
  <c r="H25" i="1" s="1"/>
  <c r="E25" i="1"/>
  <c r="C25" i="1"/>
  <c r="G24" i="1"/>
  <c r="F24" i="1" s="1"/>
  <c r="H24" i="1" s="1"/>
  <c r="E24" i="1"/>
  <c r="C24" i="1"/>
  <c r="G23" i="1"/>
  <c r="F23" i="1" s="1"/>
  <c r="H23" i="1" s="1"/>
  <c r="E23" i="1"/>
  <c r="C23" i="1"/>
  <c r="G22" i="1"/>
  <c r="F22" i="1" s="1"/>
  <c r="H22" i="1" s="1"/>
  <c r="E22" i="1"/>
  <c r="C22" i="1"/>
  <c r="G21" i="1"/>
  <c r="F21" i="1" s="1"/>
  <c r="H21" i="1" s="1"/>
  <c r="E21" i="1"/>
  <c r="C21" i="1"/>
  <c r="G20" i="1"/>
  <c r="F20" i="1" s="1"/>
  <c r="H20" i="1" s="1"/>
  <c r="E20" i="1"/>
  <c r="C20" i="1"/>
  <c r="G19" i="1"/>
  <c r="F19" i="1" s="1"/>
  <c r="H19" i="1" s="1"/>
  <c r="E19" i="1"/>
  <c r="C19" i="1"/>
  <c r="G18" i="1"/>
  <c r="F18" i="1" s="1"/>
  <c r="H18" i="1" s="1"/>
  <c r="E18" i="1"/>
  <c r="C18" i="1"/>
  <c r="G17" i="1"/>
  <c r="F17" i="1" s="1"/>
  <c r="H17" i="1" s="1"/>
  <c r="E17" i="1"/>
  <c r="C17" i="1"/>
  <c r="G16" i="1"/>
  <c r="F16" i="1" s="1"/>
  <c r="H16" i="1" s="1"/>
  <c r="E16" i="1"/>
  <c r="C16" i="1"/>
  <c r="G15" i="1"/>
  <c r="F15" i="1" s="1"/>
  <c r="H15" i="1" s="1"/>
  <c r="E15" i="1"/>
  <c r="C15" i="1"/>
  <c r="G14" i="1"/>
  <c r="F14" i="1" s="1"/>
  <c r="H14" i="1" s="1"/>
  <c r="E14" i="1"/>
  <c r="C14" i="1"/>
  <c r="G13" i="1"/>
  <c r="F13" i="1" s="1"/>
  <c r="H13" i="1" s="1"/>
  <c r="E13" i="1"/>
  <c r="C13" i="1"/>
  <c r="G12" i="1"/>
  <c r="F12" i="1" s="1"/>
  <c r="H12" i="1" s="1"/>
  <c r="E12" i="1"/>
  <c r="C12" i="1"/>
  <c r="G11" i="1"/>
  <c r="F11" i="1" s="1"/>
  <c r="H11" i="1" s="1"/>
  <c r="E11" i="1"/>
  <c r="C11" i="1"/>
  <c r="G10" i="1"/>
  <c r="F10" i="1" s="1"/>
  <c r="H10" i="1" s="1"/>
  <c r="E10" i="1"/>
  <c r="C10" i="1"/>
  <c r="G9" i="1"/>
  <c r="F9" i="1" s="1"/>
  <c r="H9" i="1" s="1"/>
  <c r="E9" i="1"/>
  <c r="C9" i="1"/>
  <c r="G8" i="1"/>
  <c r="F8" i="1" s="1"/>
  <c r="H8" i="1" s="1"/>
  <c r="E8" i="1"/>
  <c r="C8" i="1"/>
  <c r="G7" i="1"/>
  <c r="F7" i="1" s="1"/>
  <c r="H7" i="1" s="1"/>
  <c r="E7" i="1"/>
  <c r="C7" i="1"/>
  <c r="G6" i="1"/>
  <c r="F6" i="1" s="1"/>
  <c r="H6" i="1" s="1"/>
  <c r="E6" i="1"/>
  <c r="C6" i="1"/>
  <c r="G5" i="1"/>
  <c r="F5" i="1" s="1"/>
  <c r="H5" i="1" s="1"/>
  <c r="E5" i="1"/>
  <c r="C5" i="1"/>
  <c r="G4" i="1"/>
  <c r="F4" i="1" s="1"/>
  <c r="H4" i="1" s="1"/>
  <c r="E4" i="1"/>
  <c r="C4" i="1"/>
  <c r="G3" i="1"/>
  <c r="F3" i="1" s="1"/>
  <c r="H3" i="1" s="1"/>
  <c r="E3" i="1"/>
  <c r="C3" i="1"/>
  <c r="G2" i="1"/>
  <c r="F2" i="1" s="1"/>
  <c r="H2" i="1" s="1"/>
  <c r="E2" i="1"/>
  <c r="C2" i="1"/>
  <c r="F1085" i="1" l="1"/>
  <c r="H1085" i="1" s="1"/>
  <c r="F1091" i="1"/>
  <c r="H1091" i="1" s="1"/>
  <c r="F1093" i="1"/>
  <c r="H1093" i="1" s="1"/>
  <c r="F1097" i="1"/>
  <c r="H1097" i="1" s="1"/>
  <c r="G1087" i="1"/>
  <c r="F1087" i="1" s="1"/>
  <c r="H1087" i="1" s="1"/>
  <c r="F1089" i="1"/>
  <c r="H1089" i="1" s="1"/>
  <c r="G1088" i="1"/>
  <c r="F1088" i="1" s="1"/>
  <c r="H1088" i="1" s="1"/>
  <c r="F542" i="1"/>
  <c r="H542" i="1" s="1"/>
  <c r="F1100" i="1"/>
  <c r="H1100" i="1" s="1"/>
  <c r="F892" i="1"/>
  <c r="H892" i="1" s="1"/>
  <c r="F819" i="1"/>
  <c r="H819" i="1" s="1"/>
  <c r="F858" i="1"/>
  <c r="H858" i="1" s="1"/>
  <c r="F860" i="1"/>
  <c r="H860" i="1" s="1"/>
  <c r="F889" i="1"/>
  <c r="H889" i="1" s="1"/>
  <c r="F891" i="1"/>
  <c r="H891" i="1" s="1"/>
  <c r="F1092" i="1"/>
  <c r="H1092" i="1" s="1"/>
  <c r="F968" i="1"/>
  <c r="H968" i="1" s="1"/>
  <c r="F1094" i="1"/>
  <c r="H1094" i="1" s="1"/>
  <c r="F1096" i="1"/>
  <c r="H1096" i="1" s="1"/>
  <c r="F800" i="1"/>
  <c r="H800" i="1" s="1"/>
  <c r="F962" i="1"/>
  <c r="H962" i="1" s="1"/>
  <c r="F1084" i="1"/>
  <c r="H1084" i="1" s="1"/>
  <c r="F543" i="1"/>
  <c r="H543" i="1" s="1"/>
  <c r="F820" i="1"/>
  <c r="H820" i="1" s="1"/>
  <c r="F716" i="1"/>
  <c r="H716" i="1" s="1"/>
  <c r="G1204" i="1" l="1"/>
  <c r="F1204" i="1" s="1"/>
  <c r="H1204" i="1" s="1"/>
  <c r="E1204" i="1"/>
  <c r="C1204" i="1"/>
  <c r="G1203" i="1"/>
  <c r="F1203" i="1" s="1"/>
  <c r="H1203" i="1" s="1"/>
  <c r="E1203" i="1"/>
  <c r="C1203" i="1"/>
  <c r="G1201" i="1"/>
  <c r="F1201" i="1" s="1"/>
  <c r="H1201" i="1" s="1"/>
  <c r="E1201" i="1"/>
  <c r="C1201" i="1"/>
  <c r="G1200" i="1"/>
  <c r="F1200" i="1" s="1"/>
  <c r="H1200" i="1" s="1"/>
  <c r="E1200" i="1"/>
  <c r="C1200" i="1"/>
  <c r="G1199" i="1"/>
  <c r="F1199" i="1" s="1"/>
  <c r="H1199" i="1" s="1"/>
  <c r="E1199" i="1"/>
  <c r="C1199" i="1"/>
  <c r="G1198" i="1"/>
  <c r="F1198" i="1" s="1"/>
  <c r="H1198" i="1" s="1"/>
  <c r="E1198" i="1"/>
  <c r="C1198" i="1"/>
  <c r="G1197" i="1"/>
  <c r="F1197" i="1" s="1"/>
  <c r="H1197" i="1" s="1"/>
  <c r="E1197" i="1"/>
  <c r="C1197" i="1"/>
  <c r="G1196" i="1"/>
  <c r="F1196" i="1" s="1"/>
  <c r="H1196" i="1" s="1"/>
  <c r="E1196" i="1"/>
  <c r="C1196" i="1"/>
  <c r="G1195" i="1"/>
  <c r="F1195" i="1" s="1"/>
  <c r="H1195" i="1" s="1"/>
  <c r="E1195" i="1"/>
  <c r="C1195" i="1"/>
  <c r="G1194" i="1"/>
  <c r="F1194" i="1" s="1"/>
  <c r="H1194" i="1" s="1"/>
  <c r="E1194" i="1"/>
  <c r="C1194" i="1"/>
  <c r="G1193" i="1"/>
  <c r="F1193" i="1" s="1"/>
  <c r="H1193" i="1" s="1"/>
  <c r="E1193" i="1"/>
  <c r="C1193" i="1"/>
  <c r="G1192" i="1"/>
  <c r="F1192" i="1" s="1"/>
  <c r="H1192" i="1" s="1"/>
  <c r="E1192" i="1"/>
  <c r="C1192" i="1"/>
  <c r="G1191" i="1"/>
  <c r="F1191" i="1" s="1"/>
  <c r="H1191" i="1" s="1"/>
  <c r="E1191" i="1"/>
  <c r="C1191" i="1"/>
  <c r="G1190" i="1"/>
  <c r="F1190" i="1" s="1"/>
  <c r="H1190" i="1" s="1"/>
  <c r="E1190" i="1"/>
  <c r="C1190" i="1"/>
  <c r="G1189" i="1"/>
  <c r="F1189" i="1" s="1"/>
  <c r="H1189" i="1" s="1"/>
  <c r="E1189" i="1"/>
  <c r="C1189" i="1"/>
  <c r="G1188" i="1"/>
  <c r="F1188" i="1" s="1"/>
  <c r="H1188" i="1" s="1"/>
  <c r="E1188" i="1"/>
  <c r="C1188" i="1"/>
  <c r="G1187" i="1"/>
  <c r="F1187" i="1" s="1"/>
  <c r="H1187" i="1" s="1"/>
  <c r="E1187" i="1"/>
  <c r="C1187" i="1"/>
  <c r="G1186" i="1"/>
  <c r="F1186" i="1" s="1"/>
  <c r="H1186" i="1" s="1"/>
  <c r="E1186" i="1"/>
  <c r="C1186" i="1"/>
  <c r="G1185" i="1"/>
  <c r="F1185" i="1" s="1"/>
  <c r="H1185" i="1" s="1"/>
  <c r="E1185" i="1"/>
  <c r="C1185" i="1"/>
  <c r="G1184" i="1"/>
  <c r="F1184" i="1" s="1"/>
  <c r="H1184" i="1" s="1"/>
  <c r="E1184" i="1"/>
  <c r="C1184" i="1"/>
  <c r="G1183" i="1"/>
  <c r="F1183" i="1" s="1"/>
  <c r="H1183" i="1" s="1"/>
  <c r="E1183" i="1"/>
  <c r="C1183" i="1"/>
  <c r="G1182" i="1"/>
  <c r="F1182" i="1" s="1"/>
  <c r="H1182" i="1" s="1"/>
  <c r="E1182" i="1"/>
  <c r="C1182" i="1"/>
  <c r="G1181" i="1"/>
  <c r="F1181" i="1" s="1"/>
  <c r="H1181" i="1" s="1"/>
  <c r="E1181" i="1"/>
  <c r="C1181" i="1"/>
  <c r="G1180" i="1"/>
  <c r="F1180" i="1" s="1"/>
  <c r="H1180" i="1" s="1"/>
  <c r="E1180" i="1"/>
  <c r="C1180" i="1"/>
  <c r="G1179" i="1"/>
  <c r="F1179" i="1" s="1"/>
  <c r="H1179" i="1" s="1"/>
  <c r="E1179" i="1"/>
  <c r="C1179" i="1"/>
  <c r="D1172" i="1"/>
  <c r="D1171" i="1"/>
  <c r="Q1165" i="1"/>
  <c r="G1165" i="1" s="1"/>
  <c r="D1165" i="1"/>
  <c r="D1164" i="1"/>
  <c r="D1162" i="1"/>
  <c r="D1161" i="1"/>
  <c r="D1178" i="1"/>
  <c r="D1176" i="1"/>
  <c r="D1175" i="1"/>
  <c r="D1169" i="1"/>
  <c r="D1174" i="1"/>
  <c r="D1167" i="1"/>
  <c r="D1166" i="1"/>
  <c r="D1163" i="1"/>
  <c r="D1177" i="1"/>
  <c r="D1170" i="1"/>
  <c r="D1168" i="1"/>
  <c r="G1168" i="1"/>
  <c r="E1168" i="1"/>
  <c r="C1168" i="1"/>
  <c r="C1102" i="1"/>
  <c r="D1102" i="1"/>
  <c r="E1102" i="1"/>
  <c r="G1102" i="1"/>
  <c r="C1103" i="1"/>
  <c r="D1103" i="1"/>
  <c r="E1103" i="1"/>
  <c r="G1103" i="1"/>
  <c r="C1104" i="1"/>
  <c r="D1104" i="1"/>
  <c r="E1104" i="1"/>
  <c r="G1104" i="1"/>
  <c r="C1105" i="1"/>
  <c r="D1105" i="1"/>
  <c r="E1105" i="1"/>
  <c r="G1105" i="1"/>
  <c r="C1106" i="1"/>
  <c r="D1106" i="1"/>
  <c r="E1106" i="1"/>
  <c r="AI1106" i="1"/>
  <c r="G1106" i="1" s="1"/>
  <c r="C1107" i="1"/>
  <c r="D1107" i="1"/>
  <c r="E1107" i="1"/>
  <c r="G1107" i="1"/>
  <c r="C1108" i="1"/>
  <c r="D1108" i="1"/>
  <c r="E1108" i="1"/>
  <c r="G1108" i="1"/>
  <c r="C1109" i="1"/>
  <c r="D1109" i="1"/>
  <c r="E1109" i="1"/>
  <c r="G1109" i="1"/>
  <c r="C1110" i="1"/>
  <c r="D1110" i="1"/>
  <c r="E1110" i="1"/>
  <c r="G1110" i="1"/>
  <c r="C1111" i="1"/>
  <c r="D1111" i="1"/>
  <c r="E1111" i="1"/>
  <c r="G1111" i="1"/>
  <c r="C1112" i="1"/>
  <c r="E1112" i="1"/>
  <c r="G1112" i="1"/>
  <c r="F1112" i="1" s="1"/>
  <c r="H1112" i="1" s="1"/>
  <c r="C1113" i="1"/>
  <c r="E1113" i="1"/>
  <c r="G1113" i="1"/>
  <c r="F1113" i="1" s="1"/>
  <c r="H1113" i="1" s="1"/>
  <c r="C1114" i="1"/>
  <c r="D1114" i="1"/>
  <c r="E1114" i="1"/>
  <c r="G1114" i="1"/>
  <c r="C1115" i="1"/>
  <c r="D1115" i="1"/>
  <c r="E1115" i="1"/>
  <c r="G1115" i="1"/>
  <c r="C1116" i="1"/>
  <c r="D1116" i="1"/>
  <c r="E1116" i="1"/>
  <c r="G1116" i="1"/>
  <c r="C1117" i="1"/>
  <c r="D1117" i="1"/>
  <c r="E1117" i="1"/>
  <c r="G1117" i="1"/>
  <c r="C1118" i="1"/>
  <c r="D1118" i="1"/>
  <c r="E1118" i="1"/>
  <c r="G1118" i="1"/>
  <c r="C1119" i="1"/>
  <c r="D1119" i="1"/>
  <c r="E1119" i="1"/>
  <c r="G1119" i="1"/>
  <c r="C1120" i="1"/>
  <c r="D1120" i="1"/>
  <c r="E1120" i="1"/>
  <c r="G1120" i="1"/>
  <c r="C1121" i="1"/>
  <c r="D1121" i="1"/>
  <c r="E1121" i="1"/>
  <c r="G1121" i="1"/>
  <c r="C1122" i="1"/>
  <c r="D1122" i="1"/>
  <c r="E1122" i="1"/>
  <c r="G1122" i="1"/>
  <c r="C1123" i="1"/>
  <c r="D1123" i="1"/>
  <c r="E1123" i="1"/>
  <c r="G1123" i="1"/>
  <c r="C1124" i="1"/>
  <c r="D1124" i="1"/>
  <c r="E1124" i="1"/>
  <c r="J1124" i="1"/>
  <c r="G1124" i="1" s="1"/>
  <c r="C1125" i="1"/>
  <c r="D1125" i="1"/>
  <c r="E1125" i="1"/>
  <c r="G1125" i="1"/>
  <c r="C1126" i="1"/>
  <c r="E1126" i="1"/>
  <c r="G1126" i="1"/>
  <c r="F1126" i="1" s="1"/>
  <c r="H1126" i="1" s="1"/>
  <c r="C1127" i="1"/>
  <c r="D1127" i="1"/>
  <c r="E1127" i="1"/>
  <c r="Q1127" i="1"/>
  <c r="AJ1127" i="1"/>
  <c r="C1128" i="1"/>
  <c r="E1128" i="1"/>
  <c r="G1128" i="1"/>
  <c r="F1128" i="1" s="1"/>
  <c r="H1128" i="1" s="1"/>
  <c r="C1129" i="1"/>
  <c r="D1129" i="1"/>
  <c r="E1129" i="1"/>
  <c r="G1129" i="1"/>
  <c r="C1130" i="1"/>
  <c r="D1130" i="1"/>
  <c r="E1130" i="1"/>
  <c r="G1130" i="1"/>
  <c r="C1131" i="1"/>
  <c r="D1131" i="1"/>
  <c r="E1131" i="1"/>
  <c r="G1131" i="1"/>
  <c r="C1132" i="1"/>
  <c r="E1132" i="1"/>
  <c r="G1132" i="1"/>
  <c r="F1132" i="1" s="1"/>
  <c r="H1132" i="1" s="1"/>
  <c r="C1133" i="1"/>
  <c r="D1133" i="1"/>
  <c r="E1133" i="1"/>
  <c r="G1133" i="1"/>
  <c r="C1134" i="1"/>
  <c r="D1134" i="1"/>
  <c r="E1134" i="1"/>
  <c r="G1134" i="1"/>
  <c r="C1135" i="1"/>
  <c r="D1135" i="1"/>
  <c r="E1135" i="1"/>
  <c r="G1135" i="1"/>
  <c r="C1136" i="1"/>
  <c r="D1136" i="1"/>
  <c r="E1136" i="1"/>
  <c r="G1136" i="1"/>
  <c r="C1137" i="1"/>
  <c r="D1137" i="1"/>
  <c r="E1137" i="1"/>
  <c r="AU1137" i="1"/>
  <c r="G1137" i="1" s="1"/>
  <c r="C1138" i="1"/>
  <c r="D1138" i="1"/>
  <c r="E1138" i="1"/>
  <c r="G1138" i="1"/>
  <c r="C1139" i="1"/>
  <c r="E1139" i="1"/>
  <c r="G1139" i="1"/>
  <c r="F1139" i="1" s="1"/>
  <c r="H1139" i="1" s="1"/>
  <c r="C1140" i="1"/>
  <c r="E1140" i="1"/>
  <c r="G1140" i="1"/>
  <c r="F1140" i="1" s="1"/>
  <c r="H1140" i="1" s="1"/>
  <c r="C1141" i="1"/>
  <c r="D1141" i="1"/>
  <c r="E1141" i="1"/>
  <c r="G1141" i="1"/>
  <c r="C1142" i="1"/>
  <c r="D1142" i="1"/>
  <c r="E1142" i="1"/>
  <c r="G1142" i="1"/>
  <c r="C1143" i="1"/>
  <c r="D1143" i="1"/>
  <c r="E1143" i="1"/>
  <c r="G1143" i="1"/>
  <c r="C1144" i="1"/>
  <c r="D1144" i="1"/>
  <c r="E1144" i="1"/>
  <c r="G1144" i="1"/>
  <c r="C1145" i="1"/>
  <c r="D1145" i="1"/>
  <c r="E1145" i="1"/>
  <c r="G1145" i="1"/>
  <c r="C1146" i="1"/>
  <c r="D1146" i="1"/>
  <c r="E1146" i="1"/>
  <c r="G1146" i="1"/>
  <c r="C1147" i="1"/>
  <c r="D1147" i="1"/>
  <c r="E1147" i="1"/>
  <c r="G1147" i="1"/>
  <c r="C1148" i="1"/>
  <c r="D1148" i="1"/>
  <c r="E1148" i="1"/>
  <c r="G1148" i="1"/>
  <c r="C1149" i="1"/>
  <c r="D1149" i="1"/>
  <c r="E1149" i="1"/>
  <c r="G1149" i="1"/>
  <c r="C1150" i="1"/>
  <c r="D1150" i="1"/>
  <c r="E1150" i="1"/>
  <c r="G1150" i="1"/>
  <c r="C1151" i="1"/>
  <c r="D1151" i="1"/>
  <c r="E1151" i="1"/>
  <c r="G1151" i="1"/>
  <c r="C1152" i="1"/>
  <c r="D1152" i="1"/>
  <c r="E1152" i="1"/>
  <c r="G1152" i="1"/>
  <c r="C1153" i="1"/>
  <c r="E1153" i="1"/>
  <c r="G1153" i="1"/>
  <c r="F1153" i="1" s="1"/>
  <c r="H1153" i="1" s="1"/>
  <c r="C1154" i="1"/>
  <c r="D1154" i="1"/>
  <c r="E1154" i="1"/>
  <c r="G1154" i="1"/>
  <c r="C1155" i="1"/>
  <c r="D1155" i="1"/>
  <c r="E1155" i="1"/>
  <c r="G1155" i="1"/>
  <c r="C1156" i="1"/>
  <c r="D1156" i="1"/>
  <c r="E1156" i="1"/>
  <c r="G1156" i="1"/>
  <c r="C1157" i="1"/>
  <c r="D1157" i="1"/>
  <c r="E1157" i="1"/>
  <c r="G1157" i="1"/>
  <c r="C1158" i="1"/>
  <c r="D1158" i="1"/>
  <c r="E1158" i="1"/>
  <c r="G1158" i="1"/>
  <c r="C1159" i="1"/>
  <c r="D1159" i="1"/>
  <c r="E1159" i="1"/>
  <c r="G1159" i="1"/>
  <c r="C1160" i="1"/>
  <c r="D1160" i="1"/>
  <c r="E1160" i="1"/>
  <c r="G1160" i="1"/>
  <c r="C1161" i="1"/>
  <c r="E1161" i="1"/>
  <c r="G1161" i="1"/>
  <c r="C1162" i="1"/>
  <c r="E1162" i="1"/>
  <c r="G1162" i="1"/>
  <c r="C1163" i="1"/>
  <c r="E1163" i="1"/>
  <c r="G1163" i="1"/>
  <c r="C1164" i="1"/>
  <c r="E1164" i="1"/>
  <c r="G1164" i="1"/>
  <c r="C1165" i="1"/>
  <c r="E1165" i="1"/>
  <c r="C1166" i="1"/>
  <c r="E1166" i="1"/>
  <c r="G1166" i="1"/>
  <c r="C1167" i="1"/>
  <c r="E1167" i="1"/>
  <c r="G1167" i="1"/>
  <c r="C1169" i="1"/>
  <c r="E1169" i="1"/>
  <c r="G1169" i="1"/>
  <c r="C1170" i="1"/>
  <c r="E1170" i="1"/>
  <c r="G1170" i="1"/>
  <c r="C1171" i="1"/>
  <c r="E1171" i="1"/>
  <c r="G1171" i="1"/>
  <c r="C1172" i="1"/>
  <c r="E1172" i="1"/>
  <c r="G1172" i="1"/>
  <c r="C1173" i="1"/>
  <c r="E1173" i="1"/>
  <c r="G1173" i="1"/>
  <c r="F1173" i="1" s="1"/>
  <c r="H1173" i="1" s="1"/>
  <c r="C1174" i="1"/>
  <c r="E1174" i="1"/>
  <c r="G1174" i="1"/>
  <c r="C1175" i="1"/>
  <c r="E1175" i="1"/>
  <c r="G1175" i="1"/>
  <c r="C1176" i="1"/>
  <c r="E1176" i="1"/>
  <c r="G1176" i="1"/>
  <c r="C1177" i="1"/>
  <c r="E1177" i="1"/>
  <c r="G1177" i="1"/>
  <c r="C1178" i="1"/>
  <c r="E1178" i="1"/>
  <c r="G1178" i="1"/>
  <c r="F1165" i="1" l="1"/>
  <c r="H1165" i="1" s="1"/>
  <c r="F1168" i="1"/>
  <c r="H1168" i="1" s="1"/>
  <c r="F1163" i="1"/>
  <c r="H1163" i="1" s="1"/>
  <c r="F1170" i="1"/>
  <c r="H1170" i="1" s="1"/>
  <c r="F1178" i="1"/>
  <c r="H1178" i="1" s="1"/>
  <c r="F1162" i="1"/>
  <c r="H1162" i="1" s="1"/>
  <c r="F1161" i="1"/>
  <c r="H1161" i="1" s="1"/>
  <c r="F1172" i="1"/>
  <c r="H1172" i="1" s="1"/>
  <c r="F1177" i="1"/>
  <c r="H1177" i="1" s="1"/>
  <c r="F1166" i="1"/>
  <c r="H1166" i="1" s="1"/>
  <c r="F1176" i="1"/>
  <c r="H1176" i="1" s="1"/>
  <c r="F1174" i="1"/>
  <c r="H1174" i="1" s="1"/>
  <c r="F1171" i="1"/>
  <c r="H1171" i="1" s="1"/>
  <c r="F1164" i="1"/>
  <c r="H1164" i="1" s="1"/>
  <c r="F1175" i="1"/>
  <c r="H1175" i="1" s="1"/>
  <c r="F1169" i="1"/>
  <c r="H1169" i="1" s="1"/>
  <c r="F1167" i="1"/>
  <c r="H1167" i="1" s="1"/>
  <c r="F1121" i="1"/>
  <c r="H1121" i="1" s="1"/>
  <c r="F1116" i="1"/>
  <c r="H1116" i="1" s="1"/>
  <c r="F1109" i="1"/>
  <c r="H1109" i="1" s="1"/>
  <c r="F1104" i="1"/>
  <c r="H1104" i="1" s="1"/>
  <c r="F1150" i="1"/>
  <c r="H1150" i="1" s="1"/>
  <c r="F1145" i="1"/>
  <c r="H1145" i="1" s="1"/>
  <c r="F1138" i="1"/>
  <c r="H1138" i="1" s="1"/>
  <c r="F1133" i="1"/>
  <c r="H1133" i="1" s="1"/>
  <c r="F1148" i="1"/>
  <c r="H1148" i="1" s="1"/>
  <c r="F1143" i="1"/>
  <c r="H1143" i="1" s="1"/>
  <c r="F1149" i="1"/>
  <c r="H1149" i="1" s="1"/>
  <c r="F1144" i="1"/>
  <c r="H1144" i="1" s="1"/>
  <c r="F1159" i="1"/>
  <c r="H1159" i="1" s="1"/>
  <c r="F1124" i="1"/>
  <c r="H1124" i="1" s="1"/>
  <c r="F1119" i="1"/>
  <c r="H1119" i="1" s="1"/>
  <c r="F1114" i="1"/>
  <c r="H1114" i="1" s="1"/>
  <c r="F1134" i="1"/>
  <c r="H1134" i="1" s="1"/>
  <c r="F1129" i="1"/>
  <c r="H1129" i="1" s="1"/>
  <c r="F1103" i="1"/>
  <c r="H1103" i="1" s="1"/>
  <c r="F1123" i="1"/>
  <c r="H1123" i="1" s="1"/>
  <c r="F1118" i="1"/>
  <c r="H1118" i="1" s="1"/>
  <c r="F1155" i="1"/>
  <c r="H1155" i="1" s="1"/>
  <c r="F1120" i="1"/>
  <c r="H1120" i="1" s="1"/>
  <c r="F1130" i="1"/>
  <c r="H1130" i="1" s="1"/>
  <c r="F1147" i="1"/>
  <c r="H1147" i="1" s="1"/>
  <c r="F1152" i="1"/>
  <c r="H1152" i="1" s="1"/>
  <c r="F1157" i="1"/>
  <c r="H1157" i="1" s="1"/>
  <c r="F1107" i="1"/>
  <c r="H1107" i="1" s="1"/>
  <c r="F1122" i="1"/>
  <c r="H1122" i="1" s="1"/>
  <c r="F1117" i="1"/>
  <c r="H1117" i="1" s="1"/>
  <c r="F1102" i="1"/>
  <c r="H1102" i="1" s="1"/>
  <c r="F1137" i="1"/>
  <c r="H1137" i="1" s="1"/>
  <c r="F1156" i="1"/>
  <c r="H1156" i="1" s="1"/>
  <c r="F1154" i="1"/>
  <c r="H1154" i="1" s="1"/>
  <c r="F1115" i="1"/>
  <c r="H1115" i="1" s="1"/>
  <c r="F1135" i="1"/>
  <c r="H1135" i="1" s="1"/>
  <c r="F1125" i="1"/>
  <c r="H1125" i="1" s="1"/>
  <c r="F1110" i="1"/>
  <c r="H1110" i="1" s="1"/>
  <c r="F1105" i="1"/>
  <c r="H1105" i="1" s="1"/>
  <c r="F1158" i="1"/>
  <c r="H1158" i="1" s="1"/>
  <c r="F1108" i="1"/>
  <c r="H1108" i="1" s="1"/>
  <c r="F1142" i="1"/>
  <c r="H1142" i="1" s="1"/>
  <c r="G1127" i="1"/>
  <c r="F1127" i="1" s="1"/>
  <c r="H1127" i="1" s="1"/>
  <c r="F1151" i="1"/>
  <c r="H1151" i="1" s="1"/>
  <c r="F1146" i="1"/>
  <c r="H1146" i="1" s="1"/>
  <c r="F1160" i="1"/>
  <c r="H1160" i="1" s="1"/>
  <c r="F1141" i="1"/>
  <c r="H1141" i="1" s="1"/>
  <c r="F1136" i="1"/>
  <c r="H1136" i="1" s="1"/>
  <c r="F1131" i="1"/>
  <c r="H1131" i="1" s="1"/>
  <c r="F1111" i="1"/>
  <c r="H1111" i="1" s="1"/>
  <c r="F1106" i="1"/>
  <c r="H1106" i="1" s="1"/>
</calcChain>
</file>

<file path=xl/sharedStrings.xml><?xml version="1.0" encoding="utf-8"?>
<sst xmlns="http://schemas.openxmlformats.org/spreadsheetml/2006/main" count="1278" uniqueCount="96">
  <si>
    <t>KO-480</t>
  </si>
  <si>
    <t>KO-380</t>
  </si>
  <si>
    <t>456-B</t>
  </si>
  <si>
    <t>PZ31-B107K28-BA</t>
  </si>
  <si>
    <t>PZ31-V10696-FA</t>
  </si>
  <si>
    <t>PZ31-V10696-DA</t>
  </si>
  <si>
    <t>PZ31-V10696-BA</t>
  </si>
  <si>
    <t>PZ31-B10782-DA-BGY</t>
  </si>
  <si>
    <t>PZ31-17912-B-PIA-01</t>
  </si>
  <si>
    <t>PZ31-V21469</t>
  </si>
  <si>
    <t>PZ31-V21468</t>
  </si>
  <si>
    <t>PZ31-V42916-AD</t>
  </si>
  <si>
    <t>PZ31-V10620-BA</t>
  </si>
  <si>
    <t>PZ31-B10870-AA</t>
  </si>
  <si>
    <t>PZ31-B10782-DA</t>
  </si>
  <si>
    <t>PZ31-B10782-AA</t>
  </si>
  <si>
    <t>PZ31-V23552-AB</t>
  </si>
  <si>
    <t>PZ31-V22811-AC</t>
  </si>
  <si>
    <t>PZ31-V22810-AC</t>
  </si>
  <si>
    <t>PZ31-V22801-AD</t>
  </si>
  <si>
    <t>PZ31-V22800-AD</t>
  </si>
  <si>
    <t>PZ31-V16801-AC</t>
  </si>
  <si>
    <t>PZ31-V16800-AC</t>
  </si>
  <si>
    <t>GÖVDE KIRIK</t>
  </si>
  <si>
    <t>FİKSTÜR HATASI</t>
  </si>
  <si>
    <t>ÖLÇÜ HATASU</t>
  </si>
  <si>
    <t>PUNTA HATASI</t>
  </si>
  <si>
    <t>EZİK</t>
  </si>
  <si>
    <t>PAS</t>
  </si>
  <si>
    <t>EZME HATASI</t>
  </si>
  <si>
    <t>BOŞALTMA HATASI</t>
  </si>
  <si>
    <t>YIRTIK HATASI</t>
  </si>
  <si>
    <t>BİNİ FORM HATASI</t>
  </si>
  <si>
    <t>ÇİZİK</t>
  </si>
  <si>
    <t>DETAY HATASI</t>
  </si>
  <si>
    <t xml:space="preserve">BOY UZUN VEYA KISA  </t>
  </si>
  <si>
    <t>TERS BRAKET</t>
  </si>
  <si>
    <t>SİYAH KAPAK HATASI</t>
  </si>
  <si>
    <t>TRİM MESAFESİ UZUN VEYA KISA</t>
  </si>
  <si>
    <t>BURÇ HATASI (YOK,BOŞLUK)</t>
  </si>
  <si>
    <t>BRAKETTE DEFORMASYON,YAMUK VEYA YOK</t>
  </si>
  <si>
    <t>CİVATA YOK</t>
  </si>
  <si>
    <t>YARI MAMÜL</t>
  </si>
  <si>
    <t>ÇİFT BASIM</t>
  </si>
  <si>
    <t>FARKLI REFERANS</t>
  </si>
  <si>
    <t xml:space="preserve">DELİK KONUMU KAPALI,formu bozuk,KAÇIK VEYA HATALI </t>
  </si>
  <si>
    <t>SARI TEKER HATASI</t>
  </si>
  <si>
    <t>BRAKETTE KAPLAMA</t>
  </si>
  <si>
    <t>ENJEKSİYON VEYA CİVATADA(DİŞ) HATASI</t>
  </si>
  <si>
    <t>PAH HATASI</t>
  </si>
  <si>
    <t>MAVİ KAPAK HATASI</t>
  </si>
  <si>
    <t>SEAL İŞARETİ OLMAYAN</t>
  </si>
  <si>
    <t>KESİM HATASI</t>
  </si>
  <si>
    <t>CİVATA YIRTIK HATASI</t>
  </si>
  <si>
    <t>CİVATA YAMUK</t>
  </si>
  <si>
    <t>HURDA İZİ</t>
  </si>
  <si>
    <t>ONDÜLASYON</t>
  </si>
  <si>
    <t>YAY HATASI</t>
  </si>
  <si>
    <t>YAĞLAMA HATASI</t>
  </si>
  <si>
    <t>EKSİK OPERASYON</t>
  </si>
  <si>
    <t>SEAL HATASI(YOK,YIRTIK,DEFORME)</t>
  </si>
  <si>
    <t>OVALAMA HATASI</t>
  </si>
  <si>
    <t>HATALI OPERASYON</t>
  </si>
  <si>
    <t>CİVATA OYNAMASI</t>
  </si>
  <si>
    <t>PIA01-KIRIK</t>
  </si>
  <si>
    <t>PIA8-KIRIK</t>
  </si>
  <si>
    <t>DİŞ HATASI</t>
  </si>
  <si>
    <t>ÇAPAK</t>
  </si>
  <si>
    <t>DEFORMASYON</t>
  </si>
  <si>
    <t xml:space="preserve">KAPLAMA </t>
  </si>
  <si>
    <t>MARKALAMA</t>
  </si>
  <si>
    <t>TORK HATASI</t>
  </si>
  <si>
    <t>MASTAR HATASI</t>
  </si>
  <si>
    <t>FTT</t>
  </si>
  <si>
    <t>NOK</t>
  </si>
  <si>
    <t>OK</t>
  </si>
  <si>
    <t>TASHİH YAPILACAK</t>
  </si>
  <si>
    <t>KONTROL EDİLEN</t>
  </si>
  <si>
    <t>HAFTA</t>
  </si>
  <si>
    <t>TARİH</t>
  </si>
  <si>
    <t>REFERANS</t>
  </si>
  <si>
    <t>PZ31-B10782-CA</t>
  </si>
  <si>
    <t>PZ31-16801-AC</t>
  </si>
  <si>
    <t>457-B</t>
  </si>
  <si>
    <t>PZ31-16800-AC</t>
  </si>
  <si>
    <t>746-A</t>
  </si>
  <si>
    <t>46-A</t>
  </si>
  <si>
    <t>456 - B</t>
  </si>
  <si>
    <t>PZ31-V22800-AC</t>
  </si>
  <si>
    <t>PZ31-V22801-AC</t>
  </si>
  <si>
    <t>PZ31-V2281-AC</t>
  </si>
  <si>
    <t>465-B</t>
  </si>
  <si>
    <t>56-BA</t>
  </si>
  <si>
    <t>56B</t>
  </si>
  <si>
    <t>912-B</t>
  </si>
  <si>
    <t>46-AB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</si>
</sst>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F]d\ mmmm\ yy;@"/>
  </numFmts>
  <fonts count="1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charset val="162"/>
      <scheme val="minor"/>
    </font>
    <font>
      <b/>
      <sz val="10"/>
      <color theme="0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1CF41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3">
    <xf numFmtId="0" fontId="0" fillId="0" borderId="0"/>
    <xf numFmtId="0" fontId="5" fillId="0" borderId="0"/>
    <xf numFmtId="0" fontId="1" fillId="0" borderId="0"/>
  </cellStyleXfs>
  <cellXfs count="107">
    <xf numFmtId="0" fontId="0" fillId="0" borderId="0" xfId="0"/>
    <xf numFmtId="0" fontId="5" fillId="0" borderId="0" xfId="1"/>
    <xf numFmtId="0" fontId="5" fillId="0" borderId="0" xfId="1" applyAlignment="1">
      <alignment horizontal="center" vertical="center"/>
    </xf>
    <xf numFmtId="3" fontId="5" fillId="0" borderId="0" xfId="1" applyNumberFormat="1" applyAlignment="1">
      <alignment horizontal="center" vertical="center"/>
    </xf>
    <xf numFmtId="164" fontId="5" fillId="0" borderId="0" xfId="1" applyNumberFormat="1" applyAlignment="1">
      <alignment horizontal="center" vertical="center"/>
    </xf>
    <xf numFmtId="0" fontId="1" fillId="0" borderId="0" xfId="1" applyFont="1" applyAlignment="1">
      <alignment horizontal="center" vertical="center"/>
    </xf>
    <xf numFmtId="9" fontId="3" fillId="2" borderId="1" xfId="2" applyNumberFormat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5" fillId="0" borderId="1" xfId="1" applyBorder="1" applyAlignment="1">
      <alignment horizontal="center" vertical="center"/>
    </xf>
    <xf numFmtId="3" fontId="5" fillId="0" borderId="1" xfId="1" applyNumberForma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0" fontId="7" fillId="0" borderId="0" xfId="1" applyFont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3" fontId="7" fillId="0" borderId="2" xfId="1" applyNumberFormat="1" applyFont="1" applyBorder="1" applyAlignment="1">
      <alignment horizontal="center" vertical="center" wrapText="1"/>
    </xf>
    <xf numFmtId="164" fontId="7" fillId="0" borderId="2" xfId="1" applyNumberFormat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7" fillId="0" borderId="2" xfId="1" applyFont="1" applyFill="1" applyBorder="1" applyAlignment="1">
      <alignment horizontal="center" vertical="center" wrapText="1"/>
    </xf>
    <xf numFmtId="9" fontId="7" fillId="0" borderId="2" xfId="1" applyNumberFormat="1" applyFont="1" applyFill="1" applyBorder="1" applyAlignment="1">
      <alignment horizontal="center" vertical="center" wrapText="1"/>
    </xf>
    <xf numFmtId="0" fontId="5" fillId="0" borderId="0" xfId="1" applyFill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0" fontId="5" fillId="0" borderId="1" xfId="1" applyFill="1" applyBorder="1" applyAlignment="1">
      <alignment horizontal="center" vertical="center"/>
    </xf>
    <xf numFmtId="164" fontId="3" fillId="0" borderId="1" xfId="1" applyNumberFormat="1" applyFont="1" applyFill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3" fontId="5" fillId="0" borderId="1" xfId="1" applyNumberFormat="1" applyFill="1" applyBorder="1" applyAlignment="1">
      <alignment horizontal="center" vertical="center"/>
    </xf>
    <xf numFmtId="3" fontId="5" fillId="0" borderId="0" xfId="1" applyNumberFormat="1" applyFill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8" fillId="0" borderId="1" xfId="1" applyFont="1" applyFill="1" applyBorder="1" applyAlignment="1">
      <alignment horizontal="center" vertical="center"/>
    </xf>
    <xf numFmtId="0" fontId="5" fillId="0" borderId="1" xfId="1" applyNumberFormat="1" applyFill="1" applyBorder="1" applyAlignment="1">
      <alignment horizontal="center" vertical="center"/>
    </xf>
    <xf numFmtId="0" fontId="1" fillId="0" borderId="5" xfId="1" applyFont="1" applyBorder="1" applyAlignment="1">
      <alignment horizontal="center" vertical="center"/>
    </xf>
    <xf numFmtId="164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3" fontId="5" fillId="0" borderId="5" xfId="1" applyNumberFormat="1" applyBorder="1" applyAlignment="1">
      <alignment horizontal="center" vertical="center"/>
    </xf>
    <xf numFmtId="0" fontId="5" fillId="0" borderId="5" xfId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0" fontId="3" fillId="3" borderId="5" xfId="1" applyFont="1" applyFill="1" applyBorder="1" applyAlignment="1">
      <alignment horizontal="center" vertical="center"/>
    </xf>
    <xf numFmtId="9" fontId="3" fillId="2" borderId="5" xfId="2" applyNumberFormat="1" applyFont="1" applyFill="1" applyBorder="1" applyAlignment="1">
      <alignment horizontal="center" vertical="center"/>
    </xf>
    <xf numFmtId="0" fontId="1" fillId="0" borderId="4" xfId="1" applyFont="1" applyBorder="1" applyAlignment="1">
      <alignment horizontal="center" vertical="center"/>
    </xf>
    <xf numFmtId="164" fontId="3" fillId="0" borderId="4" xfId="1" applyNumberFormat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3" fontId="5" fillId="0" borderId="4" xfId="1" applyNumberFormat="1" applyBorder="1" applyAlignment="1">
      <alignment horizontal="center" vertical="center"/>
    </xf>
    <xf numFmtId="0" fontId="5" fillId="0" borderId="4" xfId="1" applyBorder="1" applyAlignment="1">
      <alignment horizontal="center" vertical="center"/>
    </xf>
    <xf numFmtId="0" fontId="3" fillId="4" borderId="4" xfId="1" applyFont="1" applyFill="1" applyBorder="1" applyAlignment="1">
      <alignment horizontal="center" vertical="center"/>
    </xf>
    <xf numFmtId="0" fontId="3" fillId="3" borderId="4" xfId="1" applyFont="1" applyFill="1" applyBorder="1" applyAlignment="1">
      <alignment horizontal="center" vertical="center"/>
    </xf>
    <xf numFmtId="9" fontId="3" fillId="2" borderId="4" xfId="2" applyNumberFormat="1" applyFont="1" applyFill="1" applyBorder="1" applyAlignment="1">
      <alignment horizontal="center" vertical="center"/>
    </xf>
    <xf numFmtId="164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3" fontId="5" fillId="0" borderId="5" xfId="1" applyNumberFormat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5" fillId="0" borderId="0" xfId="1" applyFill="1"/>
    <xf numFmtId="0" fontId="8" fillId="0" borderId="0" xfId="1" applyFont="1" applyFill="1" applyBorder="1" applyAlignment="1">
      <alignment horizontal="center" vertical="center"/>
    </xf>
    <xf numFmtId="164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3" fontId="5" fillId="0" borderId="0" xfId="1" applyNumberFormat="1" applyFill="1" applyBorder="1" applyAlignment="1">
      <alignment horizontal="center" vertical="center"/>
    </xf>
    <xf numFmtId="0" fontId="5" fillId="0" borderId="0" xfId="1" applyFill="1" applyBorder="1" applyAlignment="1">
      <alignment horizontal="center" vertical="center"/>
    </xf>
    <xf numFmtId="0" fontId="5" fillId="0" borderId="0" xfId="1" applyNumberFormat="1" applyFill="1" applyBorder="1" applyAlignment="1">
      <alignment horizontal="center" vertical="center"/>
    </xf>
    <xf numFmtId="0" fontId="5" fillId="0" borderId="0" xfId="1" applyFill="1" applyBorder="1"/>
    <xf numFmtId="164" fontId="5" fillId="0" borderId="0" xfId="1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9" fontId="8" fillId="2" borderId="0" xfId="1" applyNumberFormat="1" applyFont="1" applyFill="1" applyBorder="1" applyAlignment="1">
      <alignment horizontal="center" vertical="center"/>
    </xf>
    <xf numFmtId="0" fontId="8" fillId="0" borderId="4" xfId="1" applyFont="1" applyFill="1" applyBorder="1" applyAlignment="1">
      <alignment horizontal="center" vertical="center"/>
    </xf>
    <xf numFmtId="164" fontId="3" fillId="0" borderId="4" xfId="1" applyNumberFormat="1" applyFont="1" applyFill="1" applyBorder="1" applyAlignment="1">
      <alignment horizontal="center" vertical="center"/>
    </xf>
    <xf numFmtId="0" fontId="3" fillId="0" borderId="4" xfId="1" applyFont="1" applyFill="1" applyBorder="1" applyAlignment="1">
      <alignment horizontal="center" vertical="center"/>
    </xf>
    <xf numFmtId="3" fontId="5" fillId="0" borderId="4" xfId="1" applyNumberFormat="1" applyFill="1" applyBorder="1" applyAlignment="1">
      <alignment horizontal="center" vertical="center"/>
    </xf>
    <xf numFmtId="0" fontId="5" fillId="0" borderId="4" xfId="1" applyFill="1" applyBorder="1" applyAlignment="1">
      <alignment horizontal="center" vertical="center"/>
    </xf>
    <xf numFmtId="0" fontId="5" fillId="0" borderId="4" xfId="1" applyNumberFormat="1" applyFill="1" applyBorder="1" applyAlignment="1">
      <alignment horizontal="center" vertical="center"/>
    </xf>
    <xf numFmtId="164" fontId="3" fillId="0" borderId="6" xfId="1" applyNumberFormat="1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5" fillId="5" borderId="0" xfId="1" applyFill="1" applyAlignment="1">
      <alignment horizontal="center" vertical="center"/>
    </xf>
    <xf numFmtId="0" fontId="5" fillId="3" borderId="0" xfId="1" applyFill="1" applyAlignment="1">
      <alignment horizontal="center" vertical="center"/>
    </xf>
    <xf numFmtId="9" fontId="1" fillId="2" borderId="0" xfId="2" applyNumberFormat="1" applyFill="1" applyAlignment="1">
      <alignment horizontal="center" vertical="center"/>
    </xf>
    <xf numFmtId="0" fontId="1" fillId="0" borderId="0" xfId="1" applyFont="1" applyAlignment="1">
      <alignment horizontal="center"/>
    </xf>
    <xf numFmtId="9" fontId="0" fillId="2" borderId="0" xfId="2" applyNumberFormat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3" fontId="3" fillId="0" borderId="0" xfId="1" applyNumberFormat="1" applyFont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3" fillId="5" borderId="0" xfId="1" applyFont="1" applyFill="1" applyAlignment="1">
      <alignment horizontal="center" vertical="center"/>
    </xf>
    <xf numFmtId="0" fontId="3" fillId="3" borderId="0" xfId="1" applyFont="1" applyFill="1" applyAlignment="1">
      <alignment horizontal="center" vertical="center"/>
    </xf>
    <xf numFmtId="9" fontId="3" fillId="2" borderId="0" xfId="2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164" fontId="3" fillId="0" borderId="0" xfId="1" applyNumberFormat="1" applyFont="1" applyFill="1" applyAlignment="1">
      <alignment horizontal="center" vertical="center"/>
    </xf>
    <xf numFmtId="3" fontId="3" fillId="0" borderId="0" xfId="1" applyNumberFormat="1" applyFont="1" applyFill="1" applyAlignment="1">
      <alignment horizontal="center" vertical="center"/>
    </xf>
    <xf numFmtId="0" fontId="1" fillId="0" borderId="0" xfId="1" applyFont="1" applyFill="1" applyAlignment="1">
      <alignment horizontal="center" vertical="center"/>
    </xf>
    <xf numFmtId="0" fontId="11" fillId="0" borderId="7" xfId="1" applyFont="1" applyFill="1" applyBorder="1" applyAlignment="1">
      <alignment horizontal="center" vertical="center" wrapText="1"/>
    </xf>
    <xf numFmtId="0" fontId="8" fillId="0" borderId="5" xfId="1" applyFont="1" applyFill="1" applyBorder="1" applyAlignment="1">
      <alignment horizontal="center" vertical="center"/>
    </xf>
    <xf numFmtId="3" fontId="3" fillId="4" borderId="0" xfId="1" applyNumberFormat="1" applyFont="1" applyFill="1" applyBorder="1" applyAlignment="1">
      <alignment horizontal="center" vertical="center"/>
    </xf>
    <xf numFmtId="3" fontId="5" fillId="4" borderId="0" xfId="1" applyNumberFormat="1" applyFill="1" applyBorder="1" applyAlignment="1">
      <alignment horizontal="center" vertical="center"/>
    </xf>
    <xf numFmtId="0" fontId="3" fillId="3" borderId="0" xfId="1" applyFont="1" applyFill="1" applyBorder="1" applyAlignment="1">
      <alignment horizontal="center" vertical="center"/>
    </xf>
    <xf numFmtId="0" fontId="5" fillId="3" borderId="0" xfId="1" applyFill="1" applyBorder="1" applyAlignment="1">
      <alignment horizontal="center" vertical="center"/>
    </xf>
    <xf numFmtId="0" fontId="5" fillId="0" borderId="5" xfId="1" applyNumberFormat="1" applyFill="1" applyBorder="1" applyAlignment="1">
      <alignment horizontal="center" vertical="center"/>
    </xf>
    <xf numFmtId="0" fontId="11" fillId="0" borderId="0" xfId="1" applyFont="1" applyFill="1" applyBorder="1" applyAlignment="1">
      <alignment horizontal="center" vertical="center" wrapText="1"/>
    </xf>
    <xf numFmtId="0" fontId="0" fillId="0" borderId="1" xfId="1" applyFont="1" applyFill="1" applyBorder="1" applyAlignment="1">
      <alignment horizontal="center" vertical="center"/>
    </xf>
    <xf numFmtId="9" fontId="0" fillId="2" borderId="0" xfId="1" applyNumberFormat="1" applyFont="1" applyFill="1" applyAlignment="1">
      <alignment horizontal="center" vertical="center"/>
    </xf>
    <xf numFmtId="3" fontId="3" fillId="4" borderId="1" xfId="1" applyNumberFormat="1" applyFont="1" applyFill="1" applyBorder="1" applyAlignment="1">
      <alignment horizontal="center" vertical="center"/>
    </xf>
    <xf numFmtId="0" fontId="1" fillId="6" borderId="1" xfId="1" applyFont="1" applyFill="1" applyBorder="1" applyAlignment="1">
      <alignment horizontal="center" vertical="center"/>
    </xf>
    <xf numFmtId="164" fontId="3" fillId="6" borderId="1" xfId="1" applyNumberFormat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3" fontId="5" fillId="6" borderId="1" xfId="1" applyNumberFormat="1" applyFill="1" applyBorder="1" applyAlignment="1">
      <alignment horizontal="center" vertical="center"/>
    </xf>
    <xf numFmtId="0" fontId="5" fillId="6" borderId="1" xfId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1" fillId="0" borderId="1" xfId="1" applyFont="1" applyFill="1" applyBorder="1" applyAlignment="1">
      <alignment horizontal="center" vertical="center"/>
    </xf>
    <xf numFmtId="0" fontId="0" fillId="6" borderId="1" xfId="1" applyFont="1" applyFill="1" applyBorder="1" applyAlignment="1">
      <alignment horizontal="center" vertical="center"/>
    </xf>
    <xf numFmtId="164" fontId="3" fillId="6" borderId="5" xfId="1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2 2" xfId="2"/>
  </cellStyles>
  <dxfs count="66"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[$-41F]d\ mmmm\ 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rgb="FF000000"/>
        </right>
        <top style="thin">
          <color rgb="FF000000"/>
        </top>
      </border>
    </dxf>
    <dxf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o Stili 1" pivot="0" count="2">
      <tableStyleElement type="wholeTable" dxfId="65"/>
      <tableStyleElement type="headerRow" dxfId="6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TEKNOCEF%20FW%20GUNLUK%20GIDISA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Y"/>
      <sheetName val="FW"/>
      <sheetName val="PZ31-V23552-AB"/>
      <sheetName val="PZ31-16800-AC"/>
      <sheetName val="PZ31-V22800-AD"/>
      <sheetName val="PZ31-V22810-AC"/>
      <sheetName val="PZ31-V22811-AC"/>
      <sheetName val="PZ31-16801-AC"/>
      <sheetName val="PZ31-V42916-AD"/>
      <sheetName val="PZ31-V22801-AD"/>
    </sheetNames>
    <sheetDataSet>
      <sheetData sheetId="0" refreshError="1">
        <row r="2">
          <cell r="A2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id="1" name="GUNLUK_GIDISAT" displayName="GUNLUK_GIDISAT" ref="A1:BF2041" headerRowDxfId="63" dataDxfId="61" headerRowBorderDxfId="62" tableBorderDxfId="60">
  <autoFilter ref="A1:BF2041"/>
  <tableColumns count="58">
    <tableColumn id="1" name="REFERANS" totalsRowLabel="Toplam" dataDxfId="59"/>
    <tableColumn id="2" name="TARİH" dataDxfId="58"/>
    <tableColumn id="3" name="HAFTA" dataDxfId="57">
      <calculatedColumnFormula>WEEKNUM(B2)</calculatedColumnFormula>
    </tableColumn>
    <tableColumn id="4" name="KONTROL EDİLEN" dataDxfId="56"/>
    <tableColumn id="5" name="TASHİH YAPILACAK" dataDxfId="55">
      <calculatedColumnFormula>[1]DETAY!$A$2</calculatedColumnFormula>
    </tableColumn>
    <tableColumn id="6" name="OK" dataDxfId="54">
      <calculatedColumnFormula>D2-G2</calculatedColumnFormula>
    </tableColumn>
    <tableColumn id="7" name="NOK" dataDxfId="53">
      <calculatedColumnFormula>SUBTOTAL(9,I2:BD2)</calculatedColumnFormula>
    </tableColumn>
    <tableColumn id="8" name="FTT" dataDxfId="52" dataCellStyle="Normal 2">
      <calculatedColumnFormula>F2/D2</calculatedColumnFormula>
    </tableColumn>
    <tableColumn id="9" name="MASTAR HATASI" dataDxfId="51"/>
    <tableColumn id="10" name="TORK HATASI" dataDxfId="50"/>
    <tableColumn id="11" name="MARKALAMA" dataDxfId="49"/>
    <tableColumn id="12" name="KAPLAMA " dataDxfId="48"/>
    <tableColumn id="13" name="DEFORMASYON" dataDxfId="47"/>
    <tableColumn id="14" name="ÇAPAK" dataDxfId="46"/>
    <tableColumn id="15" name="DİŞ HATASI" dataDxfId="45"/>
    <tableColumn id="16" name="PIA8-KIRIK" dataDxfId="44"/>
    <tableColumn id="17" name="PIA01-KIRIK" dataDxfId="43"/>
    <tableColumn id="18" name="CİVATA OYNAMASI" dataDxfId="42"/>
    <tableColumn id="20" name="HATALI OPERASYON" dataDxfId="41"/>
    <tableColumn id="21" name="OVALAMA HATASI" dataDxfId="40"/>
    <tableColumn id="22" name="SEAL HATASI(YOK,YIRTIK,DEFORME)" dataDxfId="39"/>
    <tableColumn id="23" name="EKSİK OPERASYON" dataDxfId="38"/>
    <tableColumn id="24" name="YAĞLAMA HATASI" dataDxfId="37"/>
    <tableColumn id="25" name="YAY HATASI" dataDxfId="36"/>
    <tableColumn id="26" name="ONDÜLASYON" dataDxfId="35"/>
    <tableColumn id="27" name="HURDA İZİ" dataDxfId="34"/>
    <tableColumn id="28" name="CİVATA YAMUK" dataDxfId="33"/>
    <tableColumn id="29" name="CİVATA YIRTIK HATASI" dataDxfId="32"/>
    <tableColumn id="30" name="KESİM HATASI" dataDxfId="31"/>
    <tableColumn id="31" name="SEAL İŞARETİ OLMAYAN" dataDxfId="30"/>
    <tableColumn id="32" name="MAVİ KAPAK HATASI" dataDxfId="29"/>
    <tableColumn id="33" name="PAH HATASI" dataDxfId="28"/>
    <tableColumn id="34" name="ENJEKSİYON VEYA CİVATADA(DİŞ) HATASI" dataDxfId="27"/>
    <tableColumn id="35" name="BRAKETTE KAPLAMA" dataDxfId="26"/>
    <tableColumn id="36" name="SARI TEKER HATASI" dataDxfId="25"/>
    <tableColumn id="37" name="DELİK KONUMU KAPALI,formu bozuk,KAÇIK VEYA HATALI " dataDxfId="24"/>
    <tableColumn id="38" name="FARKLI REFERANS" dataDxfId="23"/>
    <tableColumn id="39" name="ÇİFT BASIM" dataDxfId="22"/>
    <tableColumn id="40" name="YARI MAMÜL" dataDxfId="21"/>
    <tableColumn id="41" name="CİVATA YOK" dataDxfId="20"/>
    <tableColumn id="42" name="BRAKETTE DEFORMASYON,YAMUK VEYA YOK" dataDxfId="19"/>
    <tableColumn id="43" name="BURÇ HATASI (YOK,BOŞLUK)" dataDxfId="18"/>
    <tableColumn id="44" name="TRİM MESAFESİ UZUN VEYA KISA" dataDxfId="17"/>
    <tableColumn id="45" name="SİYAH KAPAK HATASI" dataDxfId="16"/>
    <tableColumn id="46" name="TERS BRAKET" dataDxfId="15"/>
    <tableColumn id="47" name="BOY UZUN VEYA KISA  " dataDxfId="14"/>
    <tableColumn id="48" name="DETAY HATASI" dataDxfId="13"/>
    <tableColumn id="49" name="ÇİZİK" dataDxfId="12"/>
    <tableColumn id="50" name="BİNİ FORM HATASI" dataDxfId="11"/>
    <tableColumn id="51" name="YIRTIK HATASI" dataDxfId="10"/>
    <tableColumn id="52" name="BOŞALTMA HATASI" dataDxfId="9"/>
    <tableColumn id="53" name="EZME HATASI" dataDxfId="8"/>
    <tableColumn id="19" name="PAS" dataDxfId="7" dataCellStyle="Normal 2"/>
    <tableColumn id="54" name="EZİK" dataDxfId="6"/>
    <tableColumn id="56" name="PUNTA HATASI" dataDxfId="5"/>
    <tableColumn id="55" name="ÖLÇÜ HATASU" totalsRowFunction="count" dataDxfId="4"/>
    <tableColumn id="57" name="FİKSTÜR HATASI" dataDxfId="3"/>
    <tableColumn id="58" name="GÖVDE KIRIK" dataDxfId="2"/>
  </tableColumns>
  <tableStyleInfo name="TableStyleLight13" showFirstColumn="1" showLastColumn="0" showRowStripes="0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DJ2041"/>
  <sheetViews>
    <sheetView tabSelected="1" zoomScaleNormal="100" workbookViewId="0">
      <pane ySplit="1275" topLeftCell="A1203" activePane="bottomLeft"/>
      <selection activeCell="BG1" sqref="BG1:BG1048576"/>
      <selection pane="bottomLeft" activeCell="E1222" sqref="E1222"/>
    </sheetView>
  </sheetViews>
  <sheetFormatPr defaultColWidth="9.140625" defaultRowHeight="15" x14ac:dyDescent="0.25"/>
  <cols>
    <col min="1" max="1" width="20" style="5" bestFit="1" customWidth="1"/>
    <col min="2" max="2" width="13.85546875" style="4" bestFit="1" customWidth="1"/>
    <col min="3" max="3" width="6.42578125" style="2" bestFit="1" customWidth="1"/>
    <col min="4" max="4" width="15.28515625" style="3" bestFit="1" customWidth="1"/>
    <col min="5" max="5" width="10.28515625" style="2" customWidth="1"/>
    <col min="6" max="6" width="11.85546875" style="22" bestFit="1" customWidth="1"/>
    <col min="7" max="7" width="13.140625" style="22" bestFit="1" customWidth="1"/>
    <col min="8" max="8" width="11.85546875" style="22" bestFit="1" customWidth="1"/>
    <col min="9" max="18" width="10.7109375" style="2" customWidth="1"/>
    <col min="20" max="51" width="10.7109375" style="2" customWidth="1"/>
    <col min="52" max="52" width="23.7109375" style="2" customWidth="1"/>
    <col min="53" max="53" width="19.140625" style="2" customWidth="1"/>
    <col min="54" max="54" width="10.7109375" style="2" customWidth="1"/>
    <col min="55" max="55" width="12.5703125" style="2" customWidth="1"/>
    <col min="56" max="56" width="20.7109375" style="2" customWidth="1"/>
    <col min="57" max="57" width="20.42578125" style="2" customWidth="1"/>
    <col min="58" max="58" width="10.7109375" style="2" customWidth="1"/>
    <col min="59" max="16384" width="9.140625" style="1"/>
  </cols>
  <sheetData>
    <row r="1" spans="1:114" s="87" customFormat="1" ht="49.15" customHeight="1" x14ac:dyDescent="0.25">
      <c r="A1" s="19" t="s">
        <v>80</v>
      </c>
      <c r="B1" s="18" t="s">
        <v>79</v>
      </c>
      <c r="C1" s="14" t="s">
        <v>78</v>
      </c>
      <c r="D1" s="17" t="s">
        <v>77</v>
      </c>
      <c r="E1" s="14" t="s">
        <v>76</v>
      </c>
      <c r="F1" s="20" t="s">
        <v>75</v>
      </c>
      <c r="G1" s="20" t="s">
        <v>74</v>
      </c>
      <c r="H1" s="21" t="s">
        <v>73</v>
      </c>
      <c r="I1" s="14" t="s">
        <v>72</v>
      </c>
      <c r="J1" s="14" t="s">
        <v>71</v>
      </c>
      <c r="K1" s="14" t="s">
        <v>70</v>
      </c>
      <c r="L1" s="14" t="s">
        <v>69</v>
      </c>
      <c r="M1" s="14" t="s">
        <v>68</v>
      </c>
      <c r="N1" s="14" t="s">
        <v>67</v>
      </c>
      <c r="O1" s="14" t="s">
        <v>66</v>
      </c>
      <c r="P1" s="14" t="s">
        <v>65</v>
      </c>
      <c r="Q1" s="14" t="s">
        <v>64</v>
      </c>
      <c r="R1" s="14" t="s">
        <v>63</v>
      </c>
      <c r="S1" s="14" t="s">
        <v>62</v>
      </c>
      <c r="T1" s="14" t="s">
        <v>61</v>
      </c>
      <c r="U1" s="14" t="s">
        <v>60</v>
      </c>
      <c r="V1" s="14" t="s">
        <v>59</v>
      </c>
      <c r="W1" s="14" t="s">
        <v>58</v>
      </c>
      <c r="X1" s="14" t="s">
        <v>57</v>
      </c>
      <c r="Y1" s="14" t="s">
        <v>56</v>
      </c>
      <c r="Z1" s="14" t="s">
        <v>55</v>
      </c>
      <c r="AA1" s="14" t="s">
        <v>54</v>
      </c>
      <c r="AB1" s="14" t="s">
        <v>53</v>
      </c>
      <c r="AC1" s="14" t="s">
        <v>52</v>
      </c>
      <c r="AD1" s="14" t="s">
        <v>51</v>
      </c>
      <c r="AE1" s="14" t="s">
        <v>50</v>
      </c>
      <c r="AF1" s="14" t="s">
        <v>49</v>
      </c>
      <c r="AG1" s="14" t="s">
        <v>48</v>
      </c>
      <c r="AH1" s="14" t="s">
        <v>47</v>
      </c>
      <c r="AI1" s="14" t="s">
        <v>46</v>
      </c>
      <c r="AJ1" s="14" t="s">
        <v>45</v>
      </c>
      <c r="AK1" s="16" t="s">
        <v>44</v>
      </c>
      <c r="AL1" s="14" t="s">
        <v>43</v>
      </c>
      <c r="AM1" s="14" t="s">
        <v>42</v>
      </c>
      <c r="AN1" s="14" t="s">
        <v>41</v>
      </c>
      <c r="AO1" s="14" t="s">
        <v>40</v>
      </c>
      <c r="AP1" s="14" t="s">
        <v>39</v>
      </c>
      <c r="AQ1" s="14" t="s">
        <v>38</v>
      </c>
      <c r="AR1" s="16" t="s">
        <v>37</v>
      </c>
      <c r="AS1" s="14" t="s">
        <v>36</v>
      </c>
      <c r="AT1" s="14" t="s">
        <v>35</v>
      </c>
      <c r="AU1" s="14" t="s">
        <v>34</v>
      </c>
      <c r="AV1" s="15" t="s">
        <v>33</v>
      </c>
      <c r="AW1" s="13" t="s">
        <v>32</v>
      </c>
      <c r="AX1" s="13" t="s">
        <v>31</v>
      </c>
      <c r="AY1" s="13" t="s">
        <v>30</v>
      </c>
      <c r="AZ1" s="13" t="s">
        <v>29</v>
      </c>
      <c r="BA1" s="14" t="s">
        <v>28</v>
      </c>
      <c r="BB1" s="13" t="s">
        <v>27</v>
      </c>
      <c r="BC1" s="13" t="s">
        <v>26</v>
      </c>
      <c r="BD1" s="13" t="s">
        <v>25</v>
      </c>
      <c r="BE1" s="14" t="s">
        <v>24</v>
      </c>
      <c r="BF1" s="14" t="s">
        <v>23</v>
      </c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</row>
    <row r="2" spans="1:114" s="22" customFormat="1" x14ac:dyDescent="0.25">
      <c r="A2" s="5" t="s">
        <v>15</v>
      </c>
      <c r="B2" s="4">
        <v>46145</v>
      </c>
      <c r="C2" s="2">
        <f t="shared" ref="C2:C1121" si="0">WEEKNUM(B2)</f>
        <v>19</v>
      </c>
      <c r="D2" s="3">
        <v>2215</v>
      </c>
      <c r="E2" s="70">
        <f>[1]DETAY!$A$2</f>
        <v>0</v>
      </c>
      <c r="F2" s="71">
        <f t="shared" ref="F2:F1121" si="1">D2-G2</f>
        <v>2200</v>
      </c>
      <c r="G2" s="72">
        <f t="shared" ref="G2:G1121" si="2">SUBTOTAL(9,I2:BD2)</f>
        <v>15</v>
      </c>
      <c r="H2" s="73">
        <f t="shared" ref="H2:H1121" si="3">F2/D2</f>
        <v>0.99322799097065462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>
        <v>15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F2" s="1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</row>
    <row r="3" spans="1:114" s="22" customFormat="1" x14ac:dyDescent="0.25">
      <c r="A3" s="5" t="s">
        <v>4</v>
      </c>
      <c r="B3" s="4">
        <v>46145</v>
      </c>
      <c r="C3" s="2">
        <f t="shared" si="0"/>
        <v>19</v>
      </c>
      <c r="D3" s="3">
        <v>308</v>
      </c>
      <c r="E3" s="70">
        <f>[1]DETAY!$A$2</f>
        <v>0</v>
      </c>
      <c r="F3" s="71">
        <f t="shared" si="1"/>
        <v>308</v>
      </c>
      <c r="G3" s="72">
        <f t="shared" si="2"/>
        <v>0</v>
      </c>
      <c r="H3" s="73">
        <f t="shared" si="3"/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F3" s="1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</row>
    <row r="4" spans="1:114" s="22" customFormat="1" x14ac:dyDescent="0.25">
      <c r="A4" s="5" t="s">
        <v>6</v>
      </c>
      <c r="B4" s="4">
        <v>46145</v>
      </c>
      <c r="C4" s="2">
        <f t="shared" si="0"/>
        <v>19</v>
      </c>
      <c r="D4" s="3">
        <v>154</v>
      </c>
      <c r="E4" s="70">
        <f>[1]DETAY!$A$2</f>
        <v>0</v>
      </c>
      <c r="F4" s="71">
        <f t="shared" si="1"/>
        <v>154</v>
      </c>
      <c r="G4" s="72">
        <f t="shared" si="2"/>
        <v>0</v>
      </c>
      <c r="H4" s="73">
        <f t="shared" si="3"/>
        <v>1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F4" s="1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</row>
    <row r="5" spans="1:114" s="22" customFormat="1" x14ac:dyDescent="0.25">
      <c r="A5" s="5" t="s">
        <v>82</v>
      </c>
      <c r="B5" s="4">
        <v>46145</v>
      </c>
      <c r="C5" s="2">
        <f t="shared" si="0"/>
        <v>19</v>
      </c>
      <c r="D5" s="3">
        <v>1201</v>
      </c>
      <c r="E5" s="70">
        <f>[1]DETAY!$A$2</f>
        <v>0</v>
      </c>
      <c r="F5" s="71">
        <f t="shared" si="1"/>
        <v>1200</v>
      </c>
      <c r="G5" s="72">
        <f t="shared" si="2"/>
        <v>1</v>
      </c>
      <c r="H5" s="73">
        <f t="shared" si="3"/>
        <v>0.99916736053288924</v>
      </c>
      <c r="I5" s="2"/>
      <c r="J5" s="2"/>
      <c r="K5" s="2"/>
      <c r="L5" s="2">
        <v>1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F5" s="1"/>
    </row>
    <row r="6" spans="1:114" s="22" customFormat="1" x14ac:dyDescent="0.25">
      <c r="A6" s="5" t="s">
        <v>20</v>
      </c>
      <c r="B6" s="4">
        <v>46145</v>
      </c>
      <c r="C6" s="2">
        <f t="shared" si="0"/>
        <v>19</v>
      </c>
      <c r="D6" s="3">
        <v>356</v>
      </c>
      <c r="E6" s="70">
        <f>[1]DETAY!$A$2</f>
        <v>0</v>
      </c>
      <c r="F6" s="71">
        <f t="shared" si="1"/>
        <v>350</v>
      </c>
      <c r="G6" s="72">
        <f t="shared" si="2"/>
        <v>6</v>
      </c>
      <c r="H6" s="73">
        <f t="shared" si="3"/>
        <v>0.9831460674157303</v>
      </c>
      <c r="I6" s="2"/>
      <c r="J6" s="2">
        <v>2</v>
      </c>
      <c r="K6" s="2"/>
      <c r="L6" s="2">
        <v>2</v>
      </c>
      <c r="M6" s="2"/>
      <c r="N6" s="2"/>
      <c r="O6" s="2">
        <v>2</v>
      </c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F6" s="1"/>
    </row>
    <row r="7" spans="1:114" s="22" customFormat="1" x14ac:dyDescent="0.25">
      <c r="A7" s="5" t="s">
        <v>19</v>
      </c>
      <c r="B7" s="4">
        <v>46145</v>
      </c>
      <c r="C7" s="2">
        <f t="shared" si="0"/>
        <v>19</v>
      </c>
      <c r="D7" s="3">
        <v>1070</v>
      </c>
      <c r="E7" s="70">
        <f>[1]DETAY!$A$2</f>
        <v>0</v>
      </c>
      <c r="F7" s="71">
        <f t="shared" si="1"/>
        <v>1050</v>
      </c>
      <c r="G7" s="72">
        <f t="shared" si="2"/>
        <v>20</v>
      </c>
      <c r="H7" s="73">
        <f t="shared" si="3"/>
        <v>0.98130841121495327</v>
      </c>
      <c r="I7" s="2"/>
      <c r="J7" s="2">
        <v>14</v>
      </c>
      <c r="K7" s="2"/>
      <c r="L7" s="2">
        <v>6</v>
      </c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F7" s="1"/>
    </row>
    <row r="8" spans="1:114" s="22" customFormat="1" x14ac:dyDescent="0.25">
      <c r="A8" s="5" t="s">
        <v>10</v>
      </c>
      <c r="B8" s="4">
        <v>46145</v>
      </c>
      <c r="C8" s="2">
        <f t="shared" si="0"/>
        <v>19</v>
      </c>
      <c r="D8" s="3">
        <v>60</v>
      </c>
      <c r="E8" s="70">
        <f>[1]DETAY!$A$2</f>
        <v>0</v>
      </c>
      <c r="F8" s="71">
        <f t="shared" si="1"/>
        <v>60</v>
      </c>
      <c r="G8" s="72">
        <f t="shared" si="2"/>
        <v>0</v>
      </c>
      <c r="H8" s="73">
        <f t="shared" si="3"/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F8" s="1"/>
    </row>
    <row r="9" spans="1:114" s="22" customFormat="1" x14ac:dyDescent="0.25">
      <c r="A9" s="5" t="s">
        <v>9</v>
      </c>
      <c r="B9" s="4">
        <v>46145</v>
      </c>
      <c r="C9" s="2">
        <f t="shared" si="0"/>
        <v>19</v>
      </c>
      <c r="D9" s="3">
        <v>122</v>
      </c>
      <c r="E9" s="70">
        <f>[1]DETAY!$A$2</f>
        <v>0</v>
      </c>
      <c r="F9" s="71">
        <f t="shared" si="1"/>
        <v>120</v>
      </c>
      <c r="G9" s="72">
        <f t="shared" si="2"/>
        <v>2</v>
      </c>
      <c r="H9" s="73">
        <f t="shared" si="3"/>
        <v>0.98360655737704916</v>
      </c>
      <c r="I9" s="2"/>
      <c r="J9" s="2"/>
      <c r="K9" s="2"/>
      <c r="L9" s="2"/>
      <c r="M9" s="2">
        <v>2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F9" s="1"/>
    </row>
    <row r="10" spans="1:114" s="22" customFormat="1" x14ac:dyDescent="0.25">
      <c r="A10" s="5" t="s">
        <v>1</v>
      </c>
      <c r="B10" s="4">
        <v>46145</v>
      </c>
      <c r="C10" s="2">
        <f t="shared" si="0"/>
        <v>19</v>
      </c>
      <c r="D10" s="3">
        <v>375</v>
      </c>
      <c r="E10" s="70">
        <f>[1]DETAY!$A$2</f>
        <v>0</v>
      </c>
      <c r="F10" s="71">
        <f t="shared" si="1"/>
        <v>315</v>
      </c>
      <c r="G10" s="72">
        <f t="shared" si="2"/>
        <v>60</v>
      </c>
      <c r="H10" s="73">
        <f t="shared" si="3"/>
        <v>0.84</v>
      </c>
      <c r="I10" s="2"/>
      <c r="J10" s="2"/>
      <c r="K10" s="2"/>
      <c r="L10" s="2"/>
      <c r="M10" s="2">
        <v>50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>
        <v>10</v>
      </c>
      <c r="AV10" s="2"/>
      <c r="AW10" s="2"/>
      <c r="AX10" s="2"/>
      <c r="AY10" s="2"/>
      <c r="AZ10" s="2"/>
      <c r="BA10" s="2"/>
      <c r="BB10" s="2"/>
      <c r="BC10" s="2"/>
      <c r="BD10" s="2"/>
      <c r="BF10" s="1"/>
    </row>
    <row r="11" spans="1:114" s="22" customFormat="1" x14ac:dyDescent="0.25">
      <c r="A11" s="5" t="s">
        <v>15</v>
      </c>
      <c r="B11" s="4">
        <v>46146</v>
      </c>
      <c r="C11" s="2">
        <f t="shared" si="0"/>
        <v>19</v>
      </c>
      <c r="D11" s="3">
        <v>1993</v>
      </c>
      <c r="E11" s="70">
        <f>[1]DETAY!$A$2</f>
        <v>0</v>
      </c>
      <c r="F11" s="71">
        <f t="shared" si="1"/>
        <v>1980</v>
      </c>
      <c r="G11" s="72">
        <f t="shared" si="2"/>
        <v>13</v>
      </c>
      <c r="H11" s="73">
        <f t="shared" si="3"/>
        <v>0.99347717009533365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13</v>
      </c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F11" s="1"/>
    </row>
    <row r="12" spans="1:114" s="22" customFormat="1" x14ac:dyDescent="0.25">
      <c r="A12" s="5" t="s">
        <v>7</v>
      </c>
      <c r="B12" s="4">
        <v>46146</v>
      </c>
      <c r="C12" s="2">
        <f t="shared" si="0"/>
        <v>19</v>
      </c>
      <c r="D12" s="3">
        <v>1451</v>
      </c>
      <c r="E12" s="70">
        <f>[1]DETAY!$A$2</f>
        <v>0</v>
      </c>
      <c r="F12" s="71">
        <f t="shared" si="1"/>
        <v>1440</v>
      </c>
      <c r="G12" s="72">
        <f t="shared" si="2"/>
        <v>11</v>
      </c>
      <c r="H12" s="73">
        <f t="shared" si="3"/>
        <v>0.99241902136457616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11</v>
      </c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F12" s="1"/>
    </row>
    <row r="13" spans="1:114" s="22" customFormat="1" x14ac:dyDescent="0.25">
      <c r="A13" s="5" t="s">
        <v>5</v>
      </c>
      <c r="B13" s="4">
        <v>46146</v>
      </c>
      <c r="C13" s="2">
        <f t="shared" si="0"/>
        <v>19</v>
      </c>
      <c r="D13" s="3">
        <v>154</v>
      </c>
      <c r="E13" s="70">
        <f>[1]DETAY!$A$2</f>
        <v>0</v>
      </c>
      <c r="F13" s="71">
        <f t="shared" si="1"/>
        <v>154</v>
      </c>
      <c r="G13" s="72">
        <f t="shared" si="2"/>
        <v>0</v>
      </c>
      <c r="H13" s="73">
        <f t="shared" si="3"/>
        <v>1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F13" s="1"/>
    </row>
    <row r="14" spans="1:114" s="22" customFormat="1" x14ac:dyDescent="0.25">
      <c r="A14" s="5" t="s">
        <v>4</v>
      </c>
      <c r="B14" s="4">
        <v>46146</v>
      </c>
      <c r="C14" s="2">
        <f t="shared" si="0"/>
        <v>19</v>
      </c>
      <c r="D14" s="3">
        <v>464</v>
      </c>
      <c r="E14" s="70">
        <f>[1]DETAY!$A$2</f>
        <v>0</v>
      </c>
      <c r="F14" s="71">
        <f t="shared" si="1"/>
        <v>462</v>
      </c>
      <c r="G14" s="72">
        <f t="shared" si="2"/>
        <v>2</v>
      </c>
      <c r="H14" s="73">
        <f t="shared" si="3"/>
        <v>0.99568965517241381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2</v>
      </c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F14" s="1"/>
    </row>
    <row r="15" spans="1:114" s="22" customFormat="1" x14ac:dyDescent="0.25">
      <c r="A15" s="5" t="s">
        <v>6</v>
      </c>
      <c r="B15" s="4">
        <v>46146</v>
      </c>
      <c r="C15" s="2">
        <f t="shared" si="0"/>
        <v>19</v>
      </c>
      <c r="D15" s="3">
        <v>154</v>
      </c>
      <c r="E15" s="70">
        <f>[1]DETAY!$A$2</f>
        <v>0</v>
      </c>
      <c r="F15" s="71">
        <f t="shared" si="1"/>
        <v>154</v>
      </c>
      <c r="G15" s="72">
        <f t="shared" si="2"/>
        <v>0</v>
      </c>
      <c r="H15" s="73">
        <f t="shared" si="3"/>
        <v>1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F15" s="1"/>
    </row>
    <row r="16" spans="1:114" s="22" customFormat="1" x14ac:dyDescent="0.25">
      <c r="A16" s="5">
        <v>456</v>
      </c>
      <c r="B16" s="4">
        <v>46146</v>
      </c>
      <c r="C16" s="2">
        <f t="shared" si="0"/>
        <v>19</v>
      </c>
      <c r="D16" s="3">
        <v>260</v>
      </c>
      <c r="E16" s="70">
        <f>[1]DETAY!$A$2</f>
        <v>0</v>
      </c>
      <c r="F16" s="71">
        <f t="shared" si="1"/>
        <v>260</v>
      </c>
      <c r="G16" s="72">
        <f t="shared" si="2"/>
        <v>0</v>
      </c>
      <c r="H16" s="73">
        <f t="shared" si="3"/>
        <v>1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F16" s="1"/>
    </row>
    <row r="17" spans="1:58" s="22" customFormat="1" x14ac:dyDescent="0.25">
      <c r="A17" s="5" t="s">
        <v>83</v>
      </c>
      <c r="B17" s="4">
        <v>46146</v>
      </c>
      <c r="C17" s="2">
        <f t="shared" si="0"/>
        <v>19</v>
      </c>
      <c r="D17" s="3">
        <v>205</v>
      </c>
      <c r="E17" s="70">
        <f>[1]DETAY!$A$2</f>
        <v>0</v>
      </c>
      <c r="F17" s="71">
        <f t="shared" si="1"/>
        <v>190</v>
      </c>
      <c r="G17" s="72">
        <f t="shared" si="2"/>
        <v>15</v>
      </c>
      <c r="H17" s="73">
        <f t="shared" si="3"/>
        <v>0.92682926829268297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>
        <v>15</v>
      </c>
      <c r="AV17" s="2"/>
      <c r="AW17" s="2"/>
      <c r="AX17" s="2"/>
      <c r="AY17" s="2"/>
      <c r="AZ17" s="2"/>
      <c r="BA17" s="2"/>
      <c r="BB17" s="2"/>
      <c r="BC17" s="2"/>
      <c r="BD17" s="2"/>
      <c r="BF17" s="1"/>
    </row>
    <row r="18" spans="1:58" s="22" customFormat="1" x14ac:dyDescent="0.25">
      <c r="A18" s="5" t="s">
        <v>82</v>
      </c>
      <c r="B18" s="4">
        <v>46146</v>
      </c>
      <c r="C18" s="2">
        <f t="shared" si="0"/>
        <v>19</v>
      </c>
      <c r="D18" s="3">
        <v>2137</v>
      </c>
      <c r="E18" s="70">
        <f>[1]DETAY!$A$2</f>
        <v>0</v>
      </c>
      <c r="F18" s="71">
        <f t="shared" si="1"/>
        <v>2069</v>
      </c>
      <c r="G18" s="72">
        <f t="shared" si="2"/>
        <v>68</v>
      </c>
      <c r="H18" s="73">
        <f t="shared" si="3"/>
        <v>0.96817969115582592</v>
      </c>
      <c r="I18" s="2"/>
      <c r="J18" s="2"/>
      <c r="K18" s="2"/>
      <c r="L18" s="2">
        <v>25</v>
      </c>
      <c r="M18" s="2"/>
      <c r="N18" s="2"/>
      <c r="O18" s="2"/>
      <c r="P18" s="2"/>
      <c r="Q18" s="2"/>
      <c r="R18" s="2">
        <v>3</v>
      </c>
      <c r="S18" s="2"/>
      <c r="T18" s="2"/>
      <c r="U18" s="2"/>
      <c r="V18" s="2"/>
      <c r="W18" s="2"/>
      <c r="X18" s="2"/>
      <c r="Y18" s="2"/>
      <c r="Z18" s="2"/>
      <c r="AA18" s="2"/>
      <c r="AB18" s="2">
        <v>40</v>
      </c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F18" s="1"/>
    </row>
    <row r="19" spans="1:58" s="22" customFormat="1" x14ac:dyDescent="0.25">
      <c r="A19" s="5" t="s">
        <v>19</v>
      </c>
      <c r="B19" s="4">
        <v>46146</v>
      </c>
      <c r="C19" s="2">
        <f t="shared" si="0"/>
        <v>19</v>
      </c>
      <c r="D19" s="3">
        <v>3363</v>
      </c>
      <c r="E19" s="70">
        <f>[1]DETAY!$A$2</f>
        <v>0</v>
      </c>
      <c r="F19" s="71">
        <f t="shared" si="1"/>
        <v>3200</v>
      </c>
      <c r="G19" s="72">
        <f t="shared" si="2"/>
        <v>163</v>
      </c>
      <c r="H19" s="73">
        <f t="shared" si="3"/>
        <v>0.95153137079988104</v>
      </c>
      <c r="I19" s="2"/>
      <c r="J19" s="2">
        <v>132</v>
      </c>
      <c r="K19" s="2"/>
      <c r="L19" s="2">
        <v>31</v>
      </c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F19" s="1"/>
    </row>
    <row r="20" spans="1:58" s="22" customFormat="1" x14ac:dyDescent="0.25">
      <c r="A20" s="5" t="s">
        <v>17</v>
      </c>
      <c r="B20" s="4">
        <v>46146</v>
      </c>
      <c r="C20" s="2">
        <f t="shared" si="0"/>
        <v>19</v>
      </c>
      <c r="D20" s="3">
        <v>190</v>
      </c>
      <c r="E20" s="70">
        <f>[1]DETAY!$A$2</f>
        <v>0</v>
      </c>
      <c r="F20" s="71">
        <f t="shared" si="1"/>
        <v>162</v>
      </c>
      <c r="G20" s="72">
        <f t="shared" si="2"/>
        <v>28</v>
      </c>
      <c r="H20" s="73">
        <f t="shared" si="3"/>
        <v>0.85263157894736841</v>
      </c>
      <c r="I20" s="2"/>
      <c r="J20" s="2">
        <v>25</v>
      </c>
      <c r="K20" s="2"/>
      <c r="L20" s="2">
        <v>3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F20" s="1"/>
    </row>
    <row r="21" spans="1:58" s="22" customFormat="1" x14ac:dyDescent="0.25">
      <c r="A21" s="5" t="s">
        <v>16</v>
      </c>
      <c r="B21" s="4">
        <v>46146</v>
      </c>
      <c r="C21" s="2">
        <f t="shared" si="0"/>
        <v>19</v>
      </c>
      <c r="D21" s="3">
        <v>3018</v>
      </c>
      <c r="E21" s="70">
        <f>[1]DETAY!$A$2</f>
        <v>0</v>
      </c>
      <c r="F21" s="71">
        <f t="shared" si="1"/>
        <v>2905</v>
      </c>
      <c r="G21" s="72">
        <f t="shared" si="2"/>
        <v>113</v>
      </c>
      <c r="H21" s="73">
        <f t="shared" si="3"/>
        <v>0.9625579854208085</v>
      </c>
      <c r="I21" s="2"/>
      <c r="J21" s="2"/>
      <c r="K21" s="2"/>
      <c r="L21" s="2">
        <v>1</v>
      </c>
      <c r="M21" s="2">
        <v>20</v>
      </c>
      <c r="N21" s="2"/>
      <c r="O21" s="2"/>
      <c r="P21" s="2">
        <v>35</v>
      </c>
      <c r="Q21" s="2">
        <v>14</v>
      </c>
      <c r="R21" s="2"/>
      <c r="S21" s="2"/>
      <c r="T21" s="2">
        <v>1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>
        <v>20</v>
      </c>
      <c r="AG21" s="2"/>
      <c r="AH21" s="2">
        <v>22</v>
      </c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F21" s="1"/>
    </row>
    <row r="22" spans="1:58" s="22" customFormat="1" x14ac:dyDescent="0.25">
      <c r="A22" s="5" t="s">
        <v>11</v>
      </c>
      <c r="B22" s="4">
        <v>46146</v>
      </c>
      <c r="C22" s="2">
        <f t="shared" si="0"/>
        <v>19</v>
      </c>
      <c r="D22" s="3">
        <v>140</v>
      </c>
      <c r="E22" s="70">
        <f>[1]DETAY!$A$2</f>
        <v>0</v>
      </c>
      <c r="F22" s="71">
        <f t="shared" si="1"/>
        <v>140</v>
      </c>
      <c r="G22" s="72">
        <f t="shared" si="2"/>
        <v>0</v>
      </c>
      <c r="H22" s="73">
        <f t="shared" si="3"/>
        <v>1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F22" s="1"/>
    </row>
    <row r="23" spans="1:58" s="22" customFormat="1" x14ac:dyDescent="0.25">
      <c r="A23" s="5" t="s">
        <v>10</v>
      </c>
      <c r="B23" s="4">
        <v>46146</v>
      </c>
      <c r="C23" s="2">
        <f t="shared" si="0"/>
        <v>19</v>
      </c>
      <c r="D23" s="3">
        <v>608</v>
      </c>
      <c r="E23" s="70">
        <f>[1]DETAY!$A$2</f>
        <v>0</v>
      </c>
      <c r="F23" s="71">
        <f t="shared" si="1"/>
        <v>600</v>
      </c>
      <c r="G23" s="72">
        <f t="shared" si="2"/>
        <v>8</v>
      </c>
      <c r="H23" s="73">
        <f t="shared" si="3"/>
        <v>0.98684210526315785</v>
      </c>
      <c r="I23" s="2"/>
      <c r="J23" s="2"/>
      <c r="K23" s="2"/>
      <c r="L23" s="2"/>
      <c r="M23" s="2">
        <v>8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F23" s="1"/>
    </row>
    <row r="24" spans="1:58" s="22" customFormat="1" x14ac:dyDescent="0.25">
      <c r="A24" s="5" t="s">
        <v>9</v>
      </c>
      <c r="B24" s="4">
        <v>46146</v>
      </c>
      <c r="C24" s="2">
        <f t="shared" si="0"/>
        <v>19</v>
      </c>
      <c r="D24" s="3">
        <v>909</v>
      </c>
      <c r="E24" s="70">
        <f>[1]DETAY!$A$2</f>
        <v>0</v>
      </c>
      <c r="F24" s="71">
        <f t="shared" si="1"/>
        <v>900</v>
      </c>
      <c r="G24" s="72">
        <f t="shared" si="2"/>
        <v>9</v>
      </c>
      <c r="H24" s="73">
        <f t="shared" si="3"/>
        <v>0.99009900990099009</v>
      </c>
      <c r="I24" s="2"/>
      <c r="J24" s="2"/>
      <c r="K24" s="2"/>
      <c r="L24" s="2"/>
      <c r="M24" s="2">
        <v>9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F24" s="1"/>
    </row>
    <row r="25" spans="1:58" s="22" customFormat="1" x14ac:dyDescent="0.25">
      <c r="A25" s="5" t="s">
        <v>0</v>
      </c>
      <c r="B25" s="4">
        <v>46146</v>
      </c>
      <c r="C25" s="2">
        <f t="shared" si="0"/>
        <v>19</v>
      </c>
      <c r="D25" s="3">
        <v>652</v>
      </c>
      <c r="E25" s="70">
        <f>[1]DETAY!$A$2</f>
        <v>0</v>
      </c>
      <c r="F25" s="71">
        <f t="shared" si="1"/>
        <v>510</v>
      </c>
      <c r="G25" s="72">
        <f t="shared" si="2"/>
        <v>142</v>
      </c>
      <c r="H25" s="73">
        <f t="shared" si="3"/>
        <v>0.78220858895705525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>
        <v>142</v>
      </c>
      <c r="AV25" s="2"/>
      <c r="AW25" s="2"/>
      <c r="AX25" s="2"/>
      <c r="AY25" s="2"/>
      <c r="AZ25" s="2"/>
      <c r="BA25" s="2"/>
      <c r="BB25" s="2"/>
      <c r="BC25" s="2"/>
      <c r="BD25" s="2"/>
      <c r="BF25" s="1"/>
    </row>
    <row r="26" spans="1:58" s="22" customFormat="1" x14ac:dyDescent="0.25">
      <c r="A26" s="5" t="s">
        <v>18</v>
      </c>
      <c r="B26" s="4">
        <v>46146</v>
      </c>
      <c r="C26" s="2">
        <f t="shared" si="0"/>
        <v>19</v>
      </c>
      <c r="D26" s="3">
        <v>313</v>
      </c>
      <c r="E26" s="70">
        <f>[1]DETAY!$A$2</f>
        <v>0</v>
      </c>
      <c r="F26" s="71">
        <f t="shared" si="1"/>
        <v>300</v>
      </c>
      <c r="G26" s="72">
        <f t="shared" si="2"/>
        <v>13</v>
      </c>
      <c r="H26" s="73">
        <f t="shared" si="3"/>
        <v>0.95846645367412142</v>
      </c>
      <c r="I26" s="2"/>
      <c r="J26" s="2">
        <v>12</v>
      </c>
      <c r="K26" s="2"/>
      <c r="L26" s="2">
        <v>1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F26" s="1"/>
    </row>
    <row r="27" spans="1:58" s="22" customFormat="1" x14ac:dyDescent="0.25">
      <c r="A27" s="5" t="s">
        <v>1</v>
      </c>
      <c r="B27" s="4">
        <v>46146</v>
      </c>
      <c r="C27" s="2">
        <f t="shared" si="0"/>
        <v>19</v>
      </c>
      <c r="D27" s="3">
        <v>365</v>
      </c>
      <c r="E27" s="70">
        <f>[1]DETAY!$A$2</f>
        <v>0</v>
      </c>
      <c r="F27" s="71">
        <f t="shared" si="1"/>
        <v>315</v>
      </c>
      <c r="G27" s="72">
        <f t="shared" si="2"/>
        <v>50</v>
      </c>
      <c r="H27" s="73">
        <f t="shared" si="3"/>
        <v>0.86301369863013699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>
        <v>50</v>
      </c>
      <c r="AV27" s="2"/>
      <c r="AW27" s="2"/>
      <c r="AX27" s="2"/>
      <c r="AY27" s="2"/>
      <c r="AZ27" s="2"/>
      <c r="BA27" s="2"/>
      <c r="BB27" s="2"/>
      <c r="BC27" s="2"/>
      <c r="BD27" s="2"/>
      <c r="BF27" s="1"/>
    </row>
    <row r="28" spans="1:58" s="22" customFormat="1" x14ac:dyDescent="0.25">
      <c r="A28" s="5" t="s">
        <v>14</v>
      </c>
      <c r="B28" s="4">
        <v>46146</v>
      </c>
      <c r="C28" s="2">
        <f t="shared" si="0"/>
        <v>19</v>
      </c>
      <c r="D28" s="3">
        <v>220</v>
      </c>
      <c r="E28" s="70">
        <f>[1]DETAY!$A$2</f>
        <v>0</v>
      </c>
      <c r="F28" s="71">
        <f t="shared" si="1"/>
        <v>220</v>
      </c>
      <c r="G28" s="72">
        <f t="shared" si="2"/>
        <v>0</v>
      </c>
      <c r="H28" s="73">
        <f t="shared" si="3"/>
        <v>1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F28" s="1"/>
    </row>
    <row r="29" spans="1:58" s="22" customFormat="1" x14ac:dyDescent="0.25">
      <c r="A29" s="5" t="s">
        <v>13</v>
      </c>
      <c r="B29" s="4">
        <v>46146</v>
      </c>
      <c r="C29" s="2">
        <f t="shared" si="0"/>
        <v>19</v>
      </c>
      <c r="D29" s="3">
        <v>3009</v>
      </c>
      <c r="E29" s="70">
        <f>[1]DETAY!$A$2</f>
        <v>0</v>
      </c>
      <c r="F29" s="71">
        <f t="shared" si="1"/>
        <v>2880</v>
      </c>
      <c r="G29" s="72">
        <f t="shared" si="2"/>
        <v>129</v>
      </c>
      <c r="H29" s="73">
        <f t="shared" si="3"/>
        <v>0.95712861415752737</v>
      </c>
      <c r="I29" s="2"/>
      <c r="J29" s="2"/>
      <c r="K29" s="2"/>
      <c r="L29" s="2"/>
      <c r="M29" s="2"/>
      <c r="N29" s="2"/>
      <c r="O29" s="2">
        <v>120</v>
      </c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9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F29" s="1"/>
    </row>
    <row r="30" spans="1:58" s="22" customFormat="1" x14ac:dyDescent="0.25">
      <c r="A30" s="5" t="s">
        <v>8</v>
      </c>
      <c r="B30" s="4">
        <v>46146</v>
      </c>
      <c r="C30" s="2">
        <f t="shared" si="0"/>
        <v>19</v>
      </c>
      <c r="D30" s="3">
        <v>262</v>
      </c>
      <c r="E30" s="70">
        <f>[1]DETAY!$A$2</f>
        <v>0</v>
      </c>
      <c r="F30" s="71">
        <f t="shared" si="1"/>
        <v>261</v>
      </c>
      <c r="G30" s="72">
        <f t="shared" si="2"/>
        <v>1</v>
      </c>
      <c r="H30" s="73">
        <f t="shared" si="3"/>
        <v>0.99618320610687028</v>
      </c>
      <c r="I30" s="2"/>
      <c r="J30" s="2"/>
      <c r="K30" s="2">
        <v>1</v>
      </c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F30" s="1"/>
    </row>
    <row r="31" spans="1:58" s="22" customFormat="1" x14ac:dyDescent="0.25">
      <c r="A31" s="5" t="s">
        <v>12</v>
      </c>
      <c r="B31" s="4">
        <v>46146</v>
      </c>
      <c r="C31" s="2">
        <f t="shared" si="0"/>
        <v>19</v>
      </c>
      <c r="D31" s="3">
        <v>220</v>
      </c>
      <c r="E31" s="70">
        <f>[1]DETAY!$A$2</f>
        <v>0</v>
      </c>
      <c r="F31" s="71">
        <f t="shared" si="1"/>
        <v>220</v>
      </c>
      <c r="G31" s="72">
        <f t="shared" si="2"/>
        <v>0</v>
      </c>
      <c r="H31" s="73">
        <f t="shared" si="3"/>
        <v>1</v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F31" s="1"/>
    </row>
    <row r="32" spans="1:58" s="22" customFormat="1" x14ac:dyDescent="0.25">
      <c r="A32" s="5" t="s">
        <v>7</v>
      </c>
      <c r="B32" s="4">
        <v>46147</v>
      </c>
      <c r="C32" s="2">
        <f t="shared" si="0"/>
        <v>19</v>
      </c>
      <c r="D32" s="3">
        <v>513</v>
      </c>
      <c r="E32" s="70">
        <f>[1]DETAY!$A$2</f>
        <v>0</v>
      </c>
      <c r="F32" s="71">
        <f t="shared" si="1"/>
        <v>512</v>
      </c>
      <c r="G32" s="72">
        <f t="shared" si="2"/>
        <v>1</v>
      </c>
      <c r="H32" s="73">
        <f t="shared" si="3"/>
        <v>0.99805068226120852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>
        <v>1</v>
      </c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F32" s="1"/>
    </row>
    <row r="33" spans="1:58" s="22" customFormat="1" x14ac:dyDescent="0.25">
      <c r="A33" s="5" t="s">
        <v>13</v>
      </c>
      <c r="B33" s="4">
        <v>46147</v>
      </c>
      <c r="C33" s="2">
        <f t="shared" si="0"/>
        <v>19</v>
      </c>
      <c r="D33" s="3">
        <v>1800</v>
      </c>
      <c r="E33" s="70">
        <f>[1]DETAY!$A$2</f>
        <v>0</v>
      </c>
      <c r="F33" s="71">
        <f t="shared" si="1"/>
        <v>1800</v>
      </c>
      <c r="G33" s="72">
        <f t="shared" si="2"/>
        <v>0</v>
      </c>
      <c r="H33" s="73">
        <f t="shared" si="3"/>
        <v>1</v>
      </c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F33" s="1"/>
    </row>
    <row r="34" spans="1:58" s="22" customFormat="1" x14ac:dyDescent="0.25">
      <c r="A34" s="5" t="s">
        <v>12</v>
      </c>
      <c r="B34" s="4">
        <v>46147</v>
      </c>
      <c r="C34" s="2">
        <f t="shared" si="0"/>
        <v>19</v>
      </c>
      <c r="D34" s="3">
        <v>1935</v>
      </c>
      <c r="E34" s="70">
        <f>[1]DETAY!$A$2</f>
        <v>0</v>
      </c>
      <c r="F34" s="71">
        <f t="shared" si="1"/>
        <v>1935</v>
      </c>
      <c r="G34" s="72">
        <f t="shared" si="2"/>
        <v>0</v>
      </c>
      <c r="H34" s="73">
        <f t="shared" si="3"/>
        <v>1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F34" s="1"/>
    </row>
    <row r="35" spans="1:58" s="22" customFormat="1" x14ac:dyDescent="0.25">
      <c r="A35" s="5" t="s">
        <v>5</v>
      </c>
      <c r="B35" s="4">
        <v>46147</v>
      </c>
      <c r="C35" s="2">
        <f t="shared" si="0"/>
        <v>19</v>
      </c>
      <c r="D35" s="3">
        <v>308</v>
      </c>
      <c r="E35" s="70">
        <f>[1]DETAY!$A$2</f>
        <v>0</v>
      </c>
      <c r="F35" s="71">
        <f t="shared" si="1"/>
        <v>308</v>
      </c>
      <c r="G35" s="72">
        <f t="shared" si="2"/>
        <v>0</v>
      </c>
      <c r="H35" s="73">
        <f t="shared" si="3"/>
        <v>1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F35" s="1"/>
    </row>
    <row r="36" spans="1:58" s="22" customFormat="1" x14ac:dyDescent="0.25">
      <c r="A36" s="5" t="s">
        <v>4</v>
      </c>
      <c r="B36" s="4">
        <v>46147</v>
      </c>
      <c r="C36" s="2">
        <f t="shared" si="0"/>
        <v>19</v>
      </c>
      <c r="D36" s="3">
        <v>309</v>
      </c>
      <c r="E36" s="70">
        <f>[1]DETAY!$A$2</f>
        <v>0</v>
      </c>
      <c r="F36" s="71">
        <f t="shared" si="1"/>
        <v>308</v>
      </c>
      <c r="G36" s="72">
        <f t="shared" si="2"/>
        <v>1</v>
      </c>
      <c r="H36" s="73">
        <f t="shared" si="3"/>
        <v>0.99676375404530748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>
        <v>1</v>
      </c>
      <c r="AV36" s="2"/>
      <c r="AW36" s="2"/>
      <c r="AX36" s="2"/>
      <c r="AY36" s="2"/>
      <c r="AZ36" s="2"/>
      <c r="BA36" s="2"/>
      <c r="BB36" s="2"/>
      <c r="BC36" s="2"/>
      <c r="BD36" s="2"/>
      <c r="BF36" s="1"/>
    </row>
    <row r="37" spans="1:58" s="22" customFormat="1" x14ac:dyDescent="0.25">
      <c r="A37" s="5" t="s">
        <v>6</v>
      </c>
      <c r="B37" s="4">
        <v>46147</v>
      </c>
      <c r="C37" s="2">
        <f t="shared" si="0"/>
        <v>19</v>
      </c>
      <c r="D37" s="3">
        <v>231</v>
      </c>
      <c r="E37" s="70">
        <f>[1]DETAY!$A$2</f>
        <v>0</v>
      </c>
      <c r="F37" s="71">
        <f t="shared" si="1"/>
        <v>231</v>
      </c>
      <c r="G37" s="72">
        <f t="shared" si="2"/>
        <v>0</v>
      </c>
      <c r="H37" s="73">
        <f t="shared" si="3"/>
        <v>1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F37" s="1"/>
    </row>
    <row r="38" spans="1:58" s="22" customFormat="1" x14ac:dyDescent="0.25">
      <c r="A38" s="5" t="s">
        <v>19</v>
      </c>
      <c r="B38" s="4">
        <v>46147</v>
      </c>
      <c r="C38" s="2">
        <f t="shared" si="0"/>
        <v>19</v>
      </c>
      <c r="D38" s="3">
        <v>604</v>
      </c>
      <c r="E38" s="70">
        <f>[1]DETAY!$A$2</f>
        <v>0</v>
      </c>
      <c r="F38" s="71">
        <f t="shared" si="1"/>
        <v>503</v>
      </c>
      <c r="G38" s="72">
        <f t="shared" si="2"/>
        <v>101</v>
      </c>
      <c r="H38" s="73">
        <f t="shared" si="3"/>
        <v>0.83278145695364236</v>
      </c>
      <c r="I38" s="2"/>
      <c r="J38" s="2">
        <v>93</v>
      </c>
      <c r="K38" s="2"/>
      <c r="L38" s="2">
        <v>8</v>
      </c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F38" s="1"/>
    </row>
    <row r="39" spans="1:58" s="22" customFormat="1" x14ac:dyDescent="0.25">
      <c r="A39" s="5" t="s">
        <v>18</v>
      </c>
      <c r="B39" s="4">
        <v>46147</v>
      </c>
      <c r="C39" s="2">
        <f t="shared" si="0"/>
        <v>19</v>
      </c>
      <c r="D39" s="3">
        <v>3995</v>
      </c>
      <c r="E39" s="70">
        <f>[1]DETAY!$A$2</f>
        <v>0</v>
      </c>
      <c r="F39" s="71">
        <f t="shared" si="1"/>
        <v>3900</v>
      </c>
      <c r="G39" s="72">
        <f t="shared" si="2"/>
        <v>95</v>
      </c>
      <c r="H39" s="73">
        <f t="shared" si="3"/>
        <v>0.97622027534418021</v>
      </c>
      <c r="I39" s="2"/>
      <c r="J39" s="2">
        <v>87</v>
      </c>
      <c r="K39" s="2"/>
      <c r="L39" s="2">
        <v>8</v>
      </c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F39" s="1"/>
    </row>
    <row r="40" spans="1:58" s="22" customFormat="1" x14ac:dyDescent="0.25">
      <c r="A40" s="5" t="s">
        <v>16</v>
      </c>
      <c r="B40" s="4">
        <v>46147</v>
      </c>
      <c r="C40" s="2">
        <f t="shared" si="0"/>
        <v>19</v>
      </c>
      <c r="D40" s="3">
        <v>3237</v>
      </c>
      <c r="E40" s="70">
        <f>[1]DETAY!$A$2</f>
        <v>0</v>
      </c>
      <c r="F40" s="71">
        <f t="shared" si="1"/>
        <v>3150</v>
      </c>
      <c r="G40" s="72">
        <f t="shared" si="2"/>
        <v>87</v>
      </c>
      <c r="H40" s="73">
        <f t="shared" si="3"/>
        <v>0.97312326227988877</v>
      </c>
      <c r="I40" s="2"/>
      <c r="J40" s="2"/>
      <c r="K40" s="2">
        <v>3</v>
      </c>
      <c r="L40" s="2">
        <v>3</v>
      </c>
      <c r="M40" s="2">
        <v>11</v>
      </c>
      <c r="N40" s="2"/>
      <c r="O40" s="2"/>
      <c r="P40" s="2">
        <v>32</v>
      </c>
      <c r="Q40" s="2">
        <v>4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>
        <v>19</v>
      </c>
      <c r="AG40" s="2"/>
      <c r="AH40" s="2">
        <v>15</v>
      </c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F40" s="1"/>
    </row>
    <row r="41" spans="1:58" s="22" customFormat="1" x14ac:dyDescent="0.25">
      <c r="A41" s="5" t="s">
        <v>10</v>
      </c>
      <c r="B41" s="4">
        <v>46147</v>
      </c>
      <c r="C41" s="2">
        <f t="shared" si="0"/>
        <v>19</v>
      </c>
      <c r="D41" s="3">
        <v>1448</v>
      </c>
      <c r="E41" s="70">
        <f>[1]DETAY!$A$2</f>
        <v>0</v>
      </c>
      <c r="F41" s="71">
        <f t="shared" si="1"/>
        <v>1440</v>
      </c>
      <c r="G41" s="72">
        <f t="shared" si="2"/>
        <v>8</v>
      </c>
      <c r="H41" s="73">
        <f t="shared" si="3"/>
        <v>0.99447513812154698</v>
      </c>
      <c r="I41" s="2"/>
      <c r="J41" s="2"/>
      <c r="K41" s="2"/>
      <c r="L41" s="2"/>
      <c r="M41" s="2">
        <v>8</v>
      </c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F41" s="1"/>
    </row>
    <row r="42" spans="1:58" s="22" customFormat="1" x14ac:dyDescent="0.25">
      <c r="A42" s="5" t="s">
        <v>9</v>
      </c>
      <c r="B42" s="4">
        <v>46147</v>
      </c>
      <c r="C42" s="2">
        <f t="shared" si="0"/>
        <v>19</v>
      </c>
      <c r="D42" s="3">
        <v>1087</v>
      </c>
      <c r="E42" s="70">
        <f>[1]DETAY!$A$2</f>
        <v>0</v>
      </c>
      <c r="F42" s="71">
        <f t="shared" si="1"/>
        <v>1080</v>
      </c>
      <c r="G42" s="72">
        <f t="shared" si="2"/>
        <v>7</v>
      </c>
      <c r="H42" s="73">
        <f t="shared" si="3"/>
        <v>0.99356025758969646</v>
      </c>
      <c r="I42" s="2"/>
      <c r="J42" s="2"/>
      <c r="K42" s="2"/>
      <c r="L42" s="2"/>
      <c r="M42" s="2">
        <v>7</v>
      </c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F42" s="1"/>
    </row>
    <row r="43" spans="1:58" s="22" customFormat="1" x14ac:dyDescent="0.25">
      <c r="A43" s="5" t="s">
        <v>0</v>
      </c>
      <c r="B43" s="4">
        <v>46147</v>
      </c>
      <c r="C43" s="2">
        <f t="shared" si="0"/>
        <v>19</v>
      </c>
      <c r="D43" s="3">
        <v>471</v>
      </c>
      <c r="E43" s="70">
        <f>[1]DETAY!$A$2</f>
        <v>0</v>
      </c>
      <c r="F43" s="71">
        <f t="shared" si="1"/>
        <v>425</v>
      </c>
      <c r="G43" s="72">
        <f t="shared" si="2"/>
        <v>46</v>
      </c>
      <c r="H43" s="73">
        <f t="shared" si="3"/>
        <v>0.90233545647558389</v>
      </c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>
        <v>1</v>
      </c>
      <c r="AL43" s="2"/>
      <c r="AM43" s="2"/>
      <c r="AN43" s="2"/>
      <c r="AO43" s="2"/>
      <c r="AP43" s="2"/>
      <c r="AQ43" s="2"/>
      <c r="AR43" s="2"/>
      <c r="AS43" s="2"/>
      <c r="AT43" s="2"/>
      <c r="AU43" s="2">
        <v>45</v>
      </c>
      <c r="AV43" s="2"/>
      <c r="AW43" s="2"/>
      <c r="AX43" s="2"/>
      <c r="AY43" s="2"/>
      <c r="AZ43" s="2"/>
      <c r="BA43" s="2"/>
      <c r="BB43" s="2"/>
      <c r="BC43" s="2"/>
      <c r="BD43" s="2"/>
      <c r="BF43" s="1"/>
    </row>
    <row r="44" spans="1:58" s="22" customFormat="1" x14ac:dyDescent="0.25">
      <c r="A44" s="5" t="s">
        <v>81</v>
      </c>
      <c r="B44" s="4">
        <v>46147</v>
      </c>
      <c r="C44" s="2">
        <f t="shared" si="0"/>
        <v>19</v>
      </c>
      <c r="D44" s="3">
        <v>220</v>
      </c>
      <c r="E44" s="70">
        <f>[1]DETAY!$A$2</f>
        <v>0</v>
      </c>
      <c r="F44" s="71">
        <f t="shared" si="1"/>
        <v>220</v>
      </c>
      <c r="G44" s="72">
        <f t="shared" si="2"/>
        <v>0</v>
      </c>
      <c r="H44" s="73">
        <f t="shared" si="3"/>
        <v>1</v>
      </c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F44" s="1"/>
    </row>
    <row r="45" spans="1:58" s="22" customFormat="1" x14ac:dyDescent="0.25">
      <c r="A45" s="5" t="s">
        <v>14</v>
      </c>
      <c r="B45" s="4">
        <v>46147</v>
      </c>
      <c r="C45" s="2">
        <f t="shared" si="0"/>
        <v>19</v>
      </c>
      <c r="D45" s="3">
        <v>222</v>
      </c>
      <c r="E45" s="70">
        <f>[1]DETAY!$A$2</f>
        <v>0</v>
      </c>
      <c r="F45" s="71">
        <f t="shared" si="1"/>
        <v>220</v>
      </c>
      <c r="G45" s="72">
        <f t="shared" si="2"/>
        <v>2</v>
      </c>
      <c r="H45" s="73">
        <f t="shared" si="3"/>
        <v>0.99099099099099097</v>
      </c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>
        <v>2</v>
      </c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F45" s="1"/>
    </row>
    <row r="46" spans="1:58" s="22" customFormat="1" x14ac:dyDescent="0.25">
      <c r="A46" s="5" t="s">
        <v>82</v>
      </c>
      <c r="B46" s="4">
        <v>46147</v>
      </c>
      <c r="C46" s="2">
        <f t="shared" si="0"/>
        <v>19</v>
      </c>
      <c r="D46" s="3">
        <v>1375</v>
      </c>
      <c r="E46" s="70">
        <f>[1]DETAY!$A$2</f>
        <v>0</v>
      </c>
      <c r="F46" s="71">
        <f t="shared" si="1"/>
        <v>1335</v>
      </c>
      <c r="G46" s="72">
        <f t="shared" si="2"/>
        <v>40</v>
      </c>
      <c r="H46" s="73">
        <f t="shared" si="3"/>
        <v>0.97090909090909094</v>
      </c>
      <c r="I46" s="2"/>
      <c r="J46" s="2"/>
      <c r="K46" s="2"/>
      <c r="L46" s="2">
        <v>36</v>
      </c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>
        <v>4</v>
      </c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F46" s="1"/>
    </row>
    <row r="47" spans="1:58" s="22" customFormat="1" x14ac:dyDescent="0.25">
      <c r="A47" s="5" t="s">
        <v>84</v>
      </c>
      <c r="B47" s="4">
        <v>46147</v>
      </c>
      <c r="C47" s="2">
        <f t="shared" si="0"/>
        <v>19</v>
      </c>
      <c r="D47" s="3">
        <v>477</v>
      </c>
      <c r="E47" s="70">
        <f>[1]DETAY!$A$2</f>
        <v>0</v>
      </c>
      <c r="F47" s="71">
        <f t="shared" si="1"/>
        <v>455</v>
      </c>
      <c r="G47" s="72">
        <f t="shared" si="2"/>
        <v>22</v>
      </c>
      <c r="H47" s="73">
        <f t="shared" si="3"/>
        <v>0.95387840670859536</v>
      </c>
      <c r="I47" s="2"/>
      <c r="J47" s="2"/>
      <c r="K47" s="2"/>
      <c r="L47" s="2">
        <v>16</v>
      </c>
      <c r="M47" s="2"/>
      <c r="N47" s="2">
        <v>1</v>
      </c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>
        <v>4</v>
      </c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>
        <v>1</v>
      </c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F47" s="1"/>
    </row>
    <row r="48" spans="1:58" s="22" customFormat="1" x14ac:dyDescent="0.25">
      <c r="A48" s="5" t="s">
        <v>11</v>
      </c>
      <c r="B48" s="4">
        <v>46147</v>
      </c>
      <c r="C48" s="2">
        <f t="shared" si="0"/>
        <v>19</v>
      </c>
      <c r="D48" s="3">
        <v>1681</v>
      </c>
      <c r="E48" s="70">
        <f>[1]DETAY!$A$2</f>
        <v>0</v>
      </c>
      <c r="F48" s="71">
        <f t="shared" si="1"/>
        <v>1680</v>
      </c>
      <c r="G48" s="72">
        <f t="shared" si="2"/>
        <v>1</v>
      </c>
      <c r="H48" s="73">
        <f t="shared" si="3"/>
        <v>0.99940511600237958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>
        <v>1</v>
      </c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F48" s="1"/>
    </row>
    <row r="49" spans="1:58" s="22" customFormat="1" x14ac:dyDescent="0.25">
      <c r="A49" s="5" t="s">
        <v>1</v>
      </c>
      <c r="B49" s="4">
        <v>46147</v>
      </c>
      <c r="C49" s="2">
        <f t="shared" si="0"/>
        <v>19</v>
      </c>
      <c r="D49" s="3">
        <v>170</v>
      </c>
      <c r="E49" s="70">
        <f>[1]DETAY!$A$2</f>
        <v>0</v>
      </c>
      <c r="F49" s="71">
        <f t="shared" si="1"/>
        <v>140</v>
      </c>
      <c r="G49" s="72">
        <f t="shared" si="2"/>
        <v>30</v>
      </c>
      <c r="H49" s="73">
        <f t="shared" si="3"/>
        <v>0.82352941176470584</v>
      </c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>
        <v>30</v>
      </c>
      <c r="AV49" s="2"/>
      <c r="AW49" s="2"/>
      <c r="AX49" s="2"/>
      <c r="AY49" s="2"/>
      <c r="AZ49" s="2"/>
      <c r="BA49" s="2"/>
      <c r="BB49" s="2"/>
      <c r="BC49" s="2"/>
      <c r="BD49" s="2"/>
      <c r="BF49" s="1"/>
    </row>
    <row r="50" spans="1:58" s="22" customFormat="1" x14ac:dyDescent="0.25">
      <c r="A50" s="5" t="s">
        <v>84</v>
      </c>
      <c r="B50" s="4">
        <v>46148</v>
      </c>
      <c r="C50" s="2">
        <f t="shared" si="0"/>
        <v>19</v>
      </c>
      <c r="D50" s="3">
        <v>2066</v>
      </c>
      <c r="E50" s="70">
        <f>[1]DETAY!$A$2</f>
        <v>0</v>
      </c>
      <c r="F50" s="71">
        <f t="shared" si="1"/>
        <v>2012</v>
      </c>
      <c r="G50" s="72">
        <f t="shared" si="2"/>
        <v>54</v>
      </c>
      <c r="H50" s="73">
        <f t="shared" si="3"/>
        <v>0.9738625363020329</v>
      </c>
      <c r="I50" s="2"/>
      <c r="J50" s="2"/>
      <c r="K50" s="2"/>
      <c r="L50" s="2">
        <v>54</v>
      </c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F50" s="1"/>
    </row>
    <row r="51" spans="1:58" s="22" customFormat="1" x14ac:dyDescent="0.25">
      <c r="A51" s="5" t="s">
        <v>82</v>
      </c>
      <c r="B51" s="4">
        <v>46148</v>
      </c>
      <c r="C51" s="2">
        <f t="shared" si="0"/>
        <v>19</v>
      </c>
      <c r="D51" s="3">
        <v>338</v>
      </c>
      <c r="E51" s="70">
        <f>[1]DETAY!$A$2</f>
        <v>0</v>
      </c>
      <c r="F51" s="71">
        <f t="shared" si="1"/>
        <v>337</v>
      </c>
      <c r="G51" s="72">
        <f t="shared" si="2"/>
        <v>1</v>
      </c>
      <c r="H51" s="73">
        <f t="shared" si="3"/>
        <v>0.99704142011834318</v>
      </c>
      <c r="I51" s="2"/>
      <c r="J51" s="2"/>
      <c r="K51" s="2"/>
      <c r="L51" s="2">
        <v>1</v>
      </c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F51" s="1"/>
    </row>
    <row r="52" spans="1:58" s="22" customFormat="1" x14ac:dyDescent="0.25">
      <c r="A52" s="5" t="s">
        <v>18</v>
      </c>
      <c r="B52" s="4">
        <v>46148</v>
      </c>
      <c r="C52" s="2">
        <f t="shared" si="0"/>
        <v>19</v>
      </c>
      <c r="D52" s="3">
        <v>2500</v>
      </c>
      <c r="E52" s="70">
        <f>[1]DETAY!$A$2</f>
        <v>0</v>
      </c>
      <c r="F52" s="71">
        <f t="shared" si="1"/>
        <v>2407</v>
      </c>
      <c r="G52" s="72">
        <f t="shared" si="2"/>
        <v>93</v>
      </c>
      <c r="H52" s="73">
        <f t="shared" si="3"/>
        <v>0.96279999999999999</v>
      </c>
      <c r="I52" s="2"/>
      <c r="J52" s="2">
        <v>85</v>
      </c>
      <c r="K52" s="2"/>
      <c r="L52" s="2">
        <v>8</v>
      </c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F52" s="1"/>
    </row>
    <row r="53" spans="1:58" s="22" customFormat="1" x14ac:dyDescent="0.25">
      <c r="A53" s="5" t="s">
        <v>10</v>
      </c>
      <c r="B53" s="4">
        <v>46148</v>
      </c>
      <c r="C53" s="2">
        <f t="shared" si="0"/>
        <v>19</v>
      </c>
      <c r="D53" s="3">
        <v>665</v>
      </c>
      <c r="E53" s="70">
        <f>[1]DETAY!$A$2</f>
        <v>0</v>
      </c>
      <c r="F53" s="71">
        <f t="shared" si="1"/>
        <v>660</v>
      </c>
      <c r="G53" s="72">
        <f t="shared" si="2"/>
        <v>5</v>
      </c>
      <c r="H53" s="73">
        <f t="shared" si="3"/>
        <v>0.99248120300751874</v>
      </c>
      <c r="I53" s="2"/>
      <c r="J53" s="2"/>
      <c r="K53" s="2"/>
      <c r="L53" s="2"/>
      <c r="M53" s="2">
        <v>5</v>
      </c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F53" s="1"/>
    </row>
    <row r="54" spans="1:58" s="22" customFormat="1" x14ac:dyDescent="0.25">
      <c r="A54" s="5" t="s">
        <v>9</v>
      </c>
      <c r="B54" s="4">
        <v>46148</v>
      </c>
      <c r="C54" s="2">
        <f t="shared" si="0"/>
        <v>19</v>
      </c>
      <c r="D54" s="3">
        <v>728</v>
      </c>
      <c r="E54" s="70">
        <f>[1]DETAY!$A$2</f>
        <v>0</v>
      </c>
      <c r="F54" s="71">
        <f t="shared" si="1"/>
        <v>720</v>
      </c>
      <c r="G54" s="72">
        <f t="shared" si="2"/>
        <v>8</v>
      </c>
      <c r="H54" s="73">
        <f t="shared" si="3"/>
        <v>0.98901098901098905</v>
      </c>
      <c r="I54" s="2"/>
      <c r="J54" s="2"/>
      <c r="K54" s="2"/>
      <c r="L54" s="2"/>
      <c r="M54" s="2">
        <v>6</v>
      </c>
      <c r="N54" s="2"/>
      <c r="O54" s="2">
        <v>1</v>
      </c>
      <c r="P54" s="2"/>
      <c r="Q54" s="2"/>
      <c r="R54" s="2"/>
      <c r="S54" s="2"/>
      <c r="T54" s="2">
        <v>1</v>
      </c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F54" s="1"/>
    </row>
    <row r="55" spans="1:58" s="22" customFormat="1" x14ac:dyDescent="0.25">
      <c r="A55" s="5" t="s">
        <v>1</v>
      </c>
      <c r="B55" s="4">
        <v>46148</v>
      </c>
      <c r="C55" s="2">
        <f t="shared" si="0"/>
        <v>19</v>
      </c>
      <c r="D55" s="3">
        <v>563</v>
      </c>
      <c r="E55" s="70">
        <f>[1]DETAY!$A$2</f>
        <v>0</v>
      </c>
      <c r="F55" s="71">
        <f t="shared" si="1"/>
        <v>460</v>
      </c>
      <c r="G55" s="72">
        <f t="shared" si="2"/>
        <v>103</v>
      </c>
      <c r="H55" s="73">
        <f t="shared" si="3"/>
        <v>0.81705150976909413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>
        <v>103</v>
      </c>
      <c r="AV55" s="2"/>
      <c r="AW55" s="2"/>
      <c r="AX55" s="2"/>
      <c r="AY55" s="2"/>
      <c r="AZ55" s="2"/>
      <c r="BA55" s="2"/>
      <c r="BB55" s="2"/>
      <c r="BC55" s="2"/>
      <c r="BD55" s="2"/>
      <c r="BF55" s="1"/>
    </row>
    <row r="56" spans="1:58" s="22" customFormat="1" x14ac:dyDescent="0.25">
      <c r="A56" s="5" t="s">
        <v>14</v>
      </c>
      <c r="B56" s="4">
        <v>46148</v>
      </c>
      <c r="C56" s="2">
        <f t="shared" si="0"/>
        <v>19</v>
      </c>
      <c r="D56" s="3">
        <v>1320</v>
      </c>
      <c r="E56" s="70">
        <f>[1]DETAY!$A$2</f>
        <v>0</v>
      </c>
      <c r="F56" s="71">
        <f t="shared" si="1"/>
        <v>1320</v>
      </c>
      <c r="G56" s="72">
        <f t="shared" si="2"/>
        <v>0</v>
      </c>
      <c r="H56" s="73">
        <f t="shared" si="3"/>
        <v>1</v>
      </c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F56" s="1"/>
    </row>
    <row r="57" spans="1:58" s="22" customFormat="1" x14ac:dyDescent="0.25">
      <c r="A57" s="5" t="s">
        <v>7</v>
      </c>
      <c r="B57" s="4">
        <v>46148</v>
      </c>
      <c r="C57" s="2">
        <f t="shared" si="0"/>
        <v>19</v>
      </c>
      <c r="D57" s="3">
        <v>1255</v>
      </c>
      <c r="E57" s="70">
        <f>[1]DETAY!$A$2</f>
        <v>0</v>
      </c>
      <c r="F57" s="71">
        <f t="shared" si="1"/>
        <v>1255</v>
      </c>
      <c r="G57" s="72">
        <f t="shared" si="2"/>
        <v>0</v>
      </c>
      <c r="H57" s="73">
        <f t="shared" si="3"/>
        <v>1</v>
      </c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F57" s="1"/>
    </row>
    <row r="58" spans="1:58" s="22" customFormat="1" x14ac:dyDescent="0.25">
      <c r="A58" s="5" t="s">
        <v>13</v>
      </c>
      <c r="B58" s="4">
        <v>46148</v>
      </c>
      <c r="C58" s="2">
        <f t="shared" si="0"/>
        <v>19</v>
      </c>
      <c r="D58" s="3">
        <v>452</v>
      </c>
      <c r="E58" s="70">
        <f>[1]DETAY!$A$2</f>
        <v>0</v>
      </c>
      <c r="F58" s="71">
        <f t="shared" si="1"/>
        <v>452</v>
      </c>
      <c r="G58" s="72">
        <f t="shared" si="2"/>
        <v>0</v>
      </c>
      <c r="H58" s="73">
        <f t="shared" si="3"/>
        <v>1</v>
      </c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F58" s="1"/>
    </row>
    <row r="59" spans="1:58" s="22" customFormat="1" x14ac:dyDescent="0.25">
      <c r="A59" s="5" t="s">
        <v>5</v>
      </c>
      <c r="B59" s="4">
        <v>46148</v>
      </c>
      <c r="C59" s="2">
        <f t="shared" si="0"/>
        <v>19</v>
      </c>
      <c r="D59" s="3">
        <v>462</v>
      </c>
      <c r="E59" s="70">
        <f>[1]DETAY!$A$2</f>
        <v>0</v>
      </c>
      <c r="F59" s="71">
        <f t="shared" si="1"/>
        <v>462</v>
      </c>
      <c r="G59" s="72">
        <f t="shared" si="2"/>
        <v>0</v>
      </c>
      <c r="H59" s="73">
        <f t="shared" si="3"/>
        <v>1</v>
      </c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F59" s="1"/>
    </row>
    <row r="60" spans="1:58" s="22" customFormat="1" x14ac:dyDescent="0.25">
      <c r="A60" s="5" t="s">
        <v>4</v>
      </c>
      <c r="B60" s="4">
        <v>46148</v>
      </c>
      <c r="C60" s="2">
        <f t="shared" si="0"/>
        <v>19</v>
      </c>
      <c r="D60" s="3">
        <v>430</v>
      </c>
      <c r="E60" s="70">
        <f>[1]DETAY!$A$2</f>
        <v>0</v>
      </c>
      <c r="F60" s="71">
        <f t="shared" si="1"/>
        <v>430</v>
      </c>
      <c r="G60" s="72">
        <f t="shared" si="2"/>
        <v>0</v>
      </c>
      <c r="H60" s="73">
        <f t="shared" si="3"/>
        <v>1</v>
      </c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F60" s="1"/>
    </row>
    <row r="61" spans="1:58" s="22" customFormat="1" x14ac:dyDescent="0.25">
      <c r="A61" s="5" t="s">
        <v>20</v>
      </c>
      <c r="B61" s="4">
        <v>46148</v>
      </c>
      <c r="C61" s="2">
        <f t="shared" si="0"/>
        <v>19</v>
      </c>
      <c r="D61" s="3">
        <v>1578</v>
      </c>
      <c r="E61" s="70">
        <f>[1]DETAY!$A$2</f>
        <v>0</v>
      </c>
      <c r="F61" s="71">
        <f t="shared" si="1"/>
        <v>1550</v>
      </c>
      <c r="G61" s="72">
        <f t="shared" si="2"/>
        <v>28</v>
      </c>
      <c r="H61" s="73">
        <f t="shared" si="3"/>
        <v>0.98225602027883396</v>
      </c>
      <c r="I61" s="2"/>
      <c r="J61" s="2">
        <v>28</v>
      </c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F61" s="1"/>
    </row>
    <row r="62" spans="1:58" s="22" customFormat="1" x14ac:dyDescent="0.25">
      <c r="A62" s="5" t="s">
        <v>81</v>
      </c>
      <c r="B62" s="4">
        <v>46148</v>
      </c>
      <c r="C62" s="2">
        <f t="shared" si="0"/>
        <v>19</v>
      </c>
      <c r="D62" s="3">
        <v>220</v>
      </c>
      <c r="E62" s="70">
        <f>[1]DETAY!$A$2</f>
        <v>0</v>
      </c>
      <c r="F62" s="71">
        <f t="shared" si="1"/>
        <v>220</v>
      </c>
      <c r="G62" s="72">
        <f t="shared" si="2"/>
        <v>0</v>
      </c>
      <c r="H62" s="73">
        <f t="shared" si="3"/>
        <v>1</v>
      </c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F62" s="1"/>
    </row>
    <row r="63" spans="1:58" s="22" customFormat="1" x14ac:dyDescent="0.25">
      <c r="A63" s="5" t="s">
        <v>16</v>
      </c>
      <c r="B63" s="4">
        <v>46148</v>
      </c>
      <c r="C63" s="2">
        <f t="shared" si="0"/>
        <v>19</v>
      </c>
      <c r="D63" s="3">
        <v>2240</v>
      </c>
      <c r="E63" s="70">
        <f>[1]DETAY!$A$2</f>
        <v>0</v>
      </c>
      <c r="F63" s="71">
        <f t="shared" si="1"/>
        <v>2196</v>
      </c>
      <c r="G63" s="72">
        <f t="shared" si="2"/>
        <v>44</v>
      </c>
      <c r="H63" s="73">
        <f t="shared" si="3"/>
        <v>0.98035714285714282</v>
      </c>
      <c r="I63" s="2"/>
      <c r="J63" s="2"/>
      <c r="K63" s="2"/>
      <c r="L63" s="2"/>
      <c r="M63" s="2">
        <v>18</v>
      </c>
      <c r="N63" s="2"/>
      <c r="O63" s="2"/>
      <c r="P63" s="2">
        <v>15</v>
      </c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>
        <v>11</v>
      </c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F63" s="1"/>
    </row>
    <row r="64" spans="1:58" s="22" customFormat="1" x14ac:dyDescent="0.25">
      <c r="A64" s="5" t="s">
        <v>8</v>
      </c>
      <c r="B64" s="4">
        <v>46148</v>
      </c>
      <c r="C64" s="2">
        <f t="shared" si="0"/>
        <v>19</v>
      </c>
      <c r="D64" s="3">
        <v>525</v>
      </c>
      <c r="E64" s="70">
        <f>[1]DETAY!$A$2</f>
        <v>0</v>
      </c>
      <c r="F64" s="71">
        <f t="shared" si="1"/>
        <v>525</v>
      </c>
      <c r="G64" s="72">
        <f t="shared" si="2"/>
        <v>0</v>
      </c>
      <c r="H64" s="73">
        <f t="shared" si="3"/>
        <v>1</v>
      </c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F64" s="1"/>
    </row>
    <row r="65" spans="1:58" s="22" customFormat="1" x14ac:dyDescent="0.25">
      <c r="A65" s="5" t="s">
        <v>10</v>
      </c>
      <c r="B65" s="4">
        <v>46149</v>
      </c>
      <c r="C65" s="2">
        <f t="shared" si="0"/>
        <v>19</v>
      </c>
      <c r="D65" s="3">
        <v>809</v>
      </c>
      <c r="E65" s="70">
        <f>[1]DETAY!$A$2</f>
        <v>0</v>
      </c>
      <c r="F65" s="71">
        <f t="shared" si="1"/>
        <v>804</v>
      </c>
      <c r="G65" s="72">
        <f t="shared" si="2"/>
        <v>5</v>
      </c>
      <c r="H65" s="73">
        <f t="shared" si="3"/>
        <v>0.99381953028430159</v>
      </c>
      <c r="I65" s="2"/>
      <c r="J65" s="2"/>
      <c r="K65" s="2"/>
      <c r="L65" s="2"/>
      <c r="M65" s="2">
        <v>5</v>
      </c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F65" s="1"/>
    </row>
    <row r="66" spans="1:58" s="22" customFormat="1" x14ac:dyDescent="0.25">
      <c r="A66" s="5" t="s">
        <v>9</v>
      </c>
      <c r="B66" s="4">
        <v>46149</v>
      </c>
      <c r="C66" s="2">
        <f t="shared" si="0"/>
        <v>19</v>
      </c>
      <c r="D66" s="3">
        <v>1105</v>
      </c>
      <c r="E66" s="70">
        <f>[1]DETAY!$A$2</f>
        <v>0</v>
      </c>
      <c r="F66" s="71">
        <f t="shared" si="1"/>
        <v>1091</v>
      </c>
      <c r="G66" s="72">
        <f t="shared" si="2"/>
        <v>14</v>
      </c>
      <c r="H66" s="73">
        <f t="shared" si="3"/>
        <v>0.98733031674208149</v>
      </c>
      <c r="I66" s="2"/>
      <c r="J66" s="2"/>
      <c r="K66" s="2"/>
      <c r="L66" s="2"/>
      <c r="M66" s="2">
        <v>1</v>
      </c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>
        <v>1</v>
      </c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>
        <v>12</v>
      </c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F66" s="1"/>
    </row>
    <row r="67" spans="1:58" s="22" customFormat="1" x14ac:dyDescent="0.25">
      <c r="A67" s="5" t="s">
        <v>0</v>
      </c>
      <c r="B67" s="4">
        <v>46149</v>
      </c>
      <c r="C67" s="2">
        <f t="shared" si="0"/>
        <v>19</v>
      </c>
      <c r="D67" s="3">
        <v>712</v>
      </c>
      <c r="E67" s="70">
        <f>[1]DETAY!$A$2</f>
        <v>0</v>
      </c>
      <c r="F67" s="71">
        <f t="shared" si="1"/>
        <v>665</v>
      </c>
      <c r="G67" s="72">
        <f t="shared" si="2"/>
        <v>47</v>
      </c>
      <c r="H67" s="73">
        <f t="shared" si="3"/>
        <v>0.9339887640449438</v>
      </c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>
        <v>47</v>
      </c>
      <c r="AV67" s="2"/>
      <c r="AW67" s="2"/>
      <c r="AX67" s="2"/>
      <c r="AY67" s="2"/>
      <c r="AZ67" s="2"/>
      <c r="BA67" s="2"/>
      <c r="BB67" s="2"/>
      <c r="BC67" s="2"/>
      <c r="BD67" s="2"/>
      <c r="BF67" s="1"/>
    </row>
    <row r="68" spans="1:58" s="22" customFormat="1" x14ac:dyDescent="0.25">
      <c r="A68" s="5" t="s">
        <v>14</v>
      </c>
      <c r="B68" s="4">
        <v>46149</v>
      </c>
      <c r="C68" s="2">
        <f t="shared" si="0"/>
        <v>19</v>
      </c>
      <c r="D68" s="3">
        <v>1540</v>
      </c>
      <c r="E68" s="70">
        <f>[1]DETAY!$A$2</f>
        <v>0</v>
      </c>
      <c r="F68" s="71">
        <f t="shared" si="1"/>
        <v>1540</v>
      </c>
      <c r="G68" s="72">
        <f t="shared" si="2"/>
        <v>0</v>
      </c>
      <c r="H68" s="73">
        <f t="shared" si="3"/>
        <v>1</v>
      </c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F68" s="1"/>
    </row>
    <row r="69" spans="1:58" s="22" customFormat="1" x14ac:dyDescent="0.25">
      <c r="A69" s="5" t="s">
        <v>7</v>
      </c>
      <c r="B69" s="4">
        <v>46149</v>
      </c>
      <c r="C69" s="2">
        <f t="shared" si="0"/>
        <v>19</v>
      </c>
      <c r="D69" s="3">
        <v>1024</v>
      </c>
      <c r="E69" s="70">
        <f>[1]DETAY!$A$2</f>
        <v>0</v>
      </c>
      <c r="F69" s="71">
        <f t="shared" si="1"/>
        <v>1024</v>
      </c>
      <c r="G69" s="72">
        <f t="shared" si="2"/>
        <v>0</v>
      </c>
      <c r="H69" s="73">
        <f t="shared" si="3"/>
        <v>1</v>
      </c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F69" s="1"/>
    </row>
    <row r="70" spans="1:58" s="22" customFormat="1" x14ac:dyDescent="0.25">
      <c r="A70" s="5" t="s">
        <v>12</v>
      </c>
      <c r="B70" s="4">
        <v>46149</v>
      </c>
      <c r="C70" s="2">
        <f t="shared" si="0"/>
        <v>19</v>
      </c>
      <c r="D70" s="3">
        <v>1510</v>
      </c>
      <c r="E70" s="70">
        <f>[1]DETAY!$A$2</f>
        <v>0</v>
      </c>
      <c r="F70" s="71">
        <f t="shared" si="1"/>
        <v>1510</v>
      </c>
      <c r="G70" s="72">
        <f t="shared" si="2"/>
        <v>0</v>
      </c>
      <c r="H70" s="73">
        <f t="shared" si="3"/>
        <v>1</v>
      </c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F70" s="1"/>
    </row>
    <row r="71" spans="1:58" s="22" customFormat="1" x14ac:dyDescent="0.25">
      <c r="A71" s="5" t="s">
        <v>4</v>
      </c>
      <c r="B71" s="4">
        <v>46149</v>
      </c>
      <c r="C71" s="2">
        <f t="shared" si="0"/>
        <v>19</v>
      </c>
      <c r="D71" s="3">
        <v>1002</v>
      </c>
      <c r="E71" s="70">
        <f>[1]DETAY!$A$2</f>
        <v>0</v>
      </c>
      <c r="F71" s="71">
        <f t="shared" si="1"/>
        <v>1001</v>
      </c>
      <c r="G71" s="72">
        <f t="shared" si="2"/>
        <v>1</v>
      </c>
      <c r="H71" s="73">
        <f t="shared" si="3"/>
        <v>0.99900199600798401</v>
      </c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>
        <v>1</v>
      </c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F71" s="1"/>
    </row>
    <row r="72" spans="1:58" s="22" customFormat="1" x14ac:dyDescent="0.25">
      <c r="A72" s="5" t="s">
        <v>6</v>
      </c>
      <c r="B72" s="4">
        <v>46149</v>
      </c>
      <c r="C72" s="2">
        <f t="shared" si="0"/>
        <v>19</v>
      </c>
      <c r="D72" s="3">
        <v>693</v>
      </c>
      <c r="E72" s="70">
        <f>[1]DETAY!$A$2</f>
        <v>0</v>
      </c>
      <c r="F72" s="71">
        <f t="shared" si="1"/>
        <v>693</v>
      </c>
      <c r="G72" s="72">
        <f t="shared" si="2"/>
        <v>0</v>
      </c>
      <c r="H72" s="73">
        <f t="shared" si="3"/>
        <v>1</v>
      </c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F72" s="1"/>
    </row>
    <row r="73" spans="1:58" s="22" customFormat="1" x14ac:dyDescent="0.25">
      <c r="A73" s="5" t="s">
        <v>18</v>
      </c>
      <c r="B73" s="4">
        <v>46149</v>
      </c>
      <c r="C73" s="2">
        <f t="shared" si="0"/>
        <v>19</v>
      </c>
      <c r="D73" s="3">
        <v>702</v>
      </c>
      <c r="E73" s="70">
        <f>[1]DETAY!$A$2</f>
        <v>0</v>
      </c>
      <c r="F73" s="71">
        <f t="shared" si="1"/>
        <v>700</v>
      </c>
      <c r="G73" s="72">
        <f t="shared" si="2"/>
        <v>2</v>
      </c>
      <c r="H73" s="73">
        <f t="shared" si="3"/>
        <v>0.9971509971509972</v>
      </c>
      <c r="I73" s="2"/>
      <c r="J73" s="2">
        <v>2</v>
      </c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F73" s="1"/>
    </row>
    <row r="74" spans="1:58" s="22" customFormat="1" x14ac:dyDescent="0.25">
      <c r="A74" s="5" t="s">
        <v>15</v>
      </c>
      <c r="B74" s="4">
        <v>46149</v>
      </c>
      <c r="C74" s="2">
        <f t="shared" si="0"/>
        <v>19</v>
      </c>
      <c r="D74" s="3">
        <v>1320</v>
      </c>
      <c r="E74" s="70">
        <f>[1]DETAY!$A$2</f>
        <v>0</v>
      </c>
      <c r="F74" s="71">
        <f t="shared" si="1"/>
        <v>1320</v>
      </c>
      <c r="G74" s="72">
        <f t="shared" si="2"/>
        <v>0</v>
      </c>
      <c r="H74" s="73">
        <f t="shared" si="3"/>
        <v>1</v>
      </c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F74" s="1"/>
    </row>
    <row r="75" spans="1:58" s="22" customFormat="1" x14ac:dyDescent="0.25">
      <c r="A75" s="5" t="s">
        <v>17</v>
      </c>
      <c r="B75" s="4">
        <v>46149</v>
      </c>
      <c r="C75" s="2">
        <f t="shared" si="0"/>
        <v>19</v>
      </c>
      <c r="D75" s="3">
        <v>707</v>
      </c>
      <c r="E75" s="70">
        <f>[1]DETAY!$A$2</f>
        <v>0</v>
      </c>
      <c r="F75" s="71">
        <f t="shared" si="1"/>
        <v>700</v>
      </c>
      <c r="G75" s="72">
        <f t="shared" si="2"/>
        <v>7</v>
      </c>
      <c r="H75" s="73">
        <f t="shared" si="3"/>
        <v>0.99009900990099009</v>
      </c>
      <c r="I75" s="2"/>
      <c r="J75" s="2">
        <v>4</v>
      </c>
      <c r="K75" s="2"/>
      <c r="L75" s="2">
        <v>3</v>
      </c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F75" s="1"/>
    </row>
    <row r="76" spans="1:58" s="22" customFormat="1" x14ac:dyDescent="0.25">
      <c r="A76" s="5" t="s">
        <v>16</v>
      </c>
      <c r="B76" s="4">
        <v>46149</v>
      </c>
      <c r="C76" s="2">
        <f t="shared" si="0"/>
        <v>19</v>
      </c>
      <c r="D76" s="3">
        <v>2248</v>
      </c>
      <c r="E76" s="70">
        <f>[1]DETAY!$A$2</f>
        <v>0</v>
      </c>
      <c r="F76" s="71">
        <f t="shared" si="1"/>
        <v>2205</v>
      </c>
      <c r="G76" s="72">
        <f t="shared" si="2"/>
        <v>43</v>
      </c>
      <c r="H76" s="73">
        <f t="shared" si="3"/>
        <v>0.98087188612099641</v>
      </c>
      <c r="I76" s="2"/>
      <c r="J76" s="2"/>
      <c r="K76" s="2">
        <v>3</v>
      </c>
      <c r="L76" s="2"/>
      <c r="M76" s="2">
        <v>13</v>
      </c>
      <c r="N76" s="2"/>
      <c r="O76" s="2"/>
      <c r="P76" s="2">
        <v>3</v>
      </c>
      <c r="Q76" s="2">
        <v>1</v>
      </c>
      <c r="R76" s="2"/>
      <c r="S76" s="2"/>
      <c r="T76" s="2"/>
      <c r="U76" s="2">
        <v>4</v>
      </c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>
        <v>4</v>
      </c>
      <c r="AG76" s="2"/>
      <c r="AH76" s="2">
        <v>15</v>
      </c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F76" s="1"/>
    </row>
    <row r="77" spans="1:58" s="22" customFormat="1" x14ac:dyDescent="0.25">
      <c r="A77" s="5" t="s">
        <v>14</v>
      </c>
      <c r="B77" s="4">
        <v>46150</v>
      </c>
      <c r="C77" s="2">
        <f t="shared" si="0"/>
        <v>19</v>
      </c>
      <c r="D77" s="3">
        <v>220</v>
      </c>
      <c r="E77" s="70">
        <f>[1]DETAY!$A$2</f>
        <v>0</v>
      </c>
      <c r="F77" s="71">
        <f t="shared" si="1"/>
        <v>220</v>
      </c>
      <c r="G77" s="72">
        <f t="shared" si="2"/>
        <v>0</v>
      </c>
      <c r="H77" s="73">
        <f t="shared" si="3"/>
        <v>1</v>
      </c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F77" s="1"/>
    </row>
    <row r="78" spans="1:58" s="22" customFormat="1" x14ac:dyDescent="0.25">
      <c r="A78" s="5" t="s">
        <v>7</v>
      </c>
      <c r="B78" s="4">
        <v>46150</v>
      </c>
      <c r="C78" s="2">
        <f t="shared" si="0"/>
        <v>19</v>
      </c>
      <c r="D78" s="3">
        <v>192</v>
      </c>
      <c r="E78" s="70">
        <f>[1]DETAY!$A$2</f>
        <v>0</v>
      </c>
      <c r="F78" s="71">
        <f t="shared" si="1"/>
        <v>192</v>
      </c>
      <c r="G78" s="72">
        <f t="shared" si="2"/>
        <v>0</v>
      </c>
      <c r="H78" s="73">
        <f t="shared" si="3"/>
        <v>1</v>
      </c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F78" s="1"/>
    </row>
    <row r="79" spans="1:58" s="22" customFormat="1" x14ac:dyDescent="0.25">
      <c r="A79" s="5" t="s">
        <v>3</v>
      </c>
      <c r="B79" s="4">
        <v>46150</v>
      </c>
      <c r="C79" s="2">
        <f t="shared" si="0"/>
        <v>19</v>
      </c>
      <c r="D79" s="3">
        <v>400</v>
      </c>
      <c r="E79" s="70">
        <f>[1]DETAY!$A$2</f>
        <v>0</v>
      </c>
      <c r="F79" s="71">
        <f t="shared" si="1"/>
        <v>400</v>
      </c>
      <c r="G79" s="72">
        <f t="shared" si="2"/>
        <v>0</v>
      </c>
      <c r="H79" s="73">
        <f t="shared" si="3"/>
        <v>1</v>
      </c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F79" s="1"/>
    </row>
    <row r="80" spans="1:58" s="22" customFormat="1" x14ac:dyDescent="0.25">
      <c r="A80" s="5" t="s">
        <v>4</v>
      </c>
      <c r="B80" s="4">
        <v>46150</v>
      </c>
      <c r="C80" s="2">
        <f t="shared" si="0"/>
        <v>19</v>
      </c>
      <c r="D80" s="3">
        <v>385</v>
      </c>
      <c r="E80" s="70">
        <f>[1]DETAY!$A$2</f>
        <v>0</v>
      </c>
      <c r="F80" s="71">
        <f t="shared" si="1"/>
        <v>385</v>
      </c>
      <c r="G80" s="72">
        <f t="shared" si="2"/>
        <v>0</v>
      </c>
      <c r="H80" s="73">
        <f t="shared" si="3"/>
        <v>1</v>
      </c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F80" s="1"/>
    </row>
    <row r="81" spans="1:58" s="22" customFormat="1" x14ac:dyDescent="0.25">
      <c r="A81" s="5" t="s">
        <v>82</v>
      </c>
      <c r="B81" s="4">
        <v>46150</v>
      </c>
      <c r="C81" s="2">
        <f t="shared" si="0"/>
        <v>19</v>
      </c>
      <c r="D81" s="3">
        <v>1325</v>
      </c>
      <c r="E81" s="70">
        <f>[1]DETAY!$A$2</f>
        <v>0</v>
      </c>
      <c r="F81" s="71">
        <f t="shared" si="1"/>
        <v>1240</v>
      </c>
      <c r="G81" s="72">
        <f t="shared" si="2"/>
        <v>85</v>
      </c>
      <c r="H81" s="73">
        <f t="shared" si="3"/>
        <v>0.9358490566037736</v>
      </c>
      <c r="I81" s="2"/>
      <c r="J81" s="2"/>
      <c r="K81" s="2"/>
      <c r="L81" s="2">
        <v>85</v>
      </c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F81" s="1"/>
    </row>
    <row r="82" spans="1:58" s="22" customFormat="1" x14ac:dyDescent="0.25">
      <c r="A82" s="5" t="s">
        <v>17</v>
      </c>
      <c r="B82" s="4">
        <v>46150</v>
      </c>
      <c r="C82" s="2">
        <f t="shared" si="0"/>
        <v>19</v>
      </c>
      <c r="D82" s="3">
        <v>1094</v>
      </c>
      <c r="E82" s="70">
        <f>[1]DETAY!$A$2</f>
        <v>0</v>
      </c>
      <c r="F82" s="71">
        <f t="shared" si="1"/>
        <v>1050</v>
      </c>
      <c r="G82" s="72">
        <f t="shared" si="2"/>
        <v>44</v>
      </c>
      <c r="H82" s="73">
        <f t="shared" si="3"/>
        <v>0.95978062157221211</v>
      </c>
      <c r="I82" s="2"/>
      <c r="J82" s="2">
        <v>35</v>
      </c>
      <c r="K82" s="2"/>
      <c r="L82" s="2">
        <v>9</v>
      </c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F82" s="1"/>
    </row>
    <row r="83" spans="1:58" s="22" customFormat="1" x14ac:dyDescent="0.25">
      <c r="A83" s="5" t="s">
        <v>16</v>
      </c>
      <c r="B83" s="4">
        <v>46150</v>
      </c>
      <c r="C83" s="2">
        <f t="shared" si="0"/>
        <v>19</v>
      </c>
      <c r="D83" s="3">
        <v>1042</v>
      </c>
      <c r="E83" s="70">
        <f>[1]DETAY!$A$2</f>
        <v>0</v>
      </c>
      <c r="F83" s="71">
        <f t="shared" si="1"/>
        <v>1015</v>
      </c>
      <c r="G83" s="72">
        <f t="shared" si="2"/>
        <v>27</v>
      </c>
      <c r="H83" s="73">
        <f t="shared" si="3"/>
        <v>0.97408829174664102</v>
      </c>
      <c r="I83" s="2"/>
      <c r="J83" s="2"/>
      <c r="K83" s="2"/>
      <c r="L83" s="2">
        <v>6</v>
      </c>
      <c r="M83" s="2">
        <v>1</v>
      </c>
      <c r="N83" s="2"/>
      <c r="O83" s="2">
        <v>1</v>
      </c>
      <c r="P83" s="2">
        <v>3</v>
      </c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>
        <v>10</v>
      </c>
      <c r="AG83" s="2"/>
      <c r="AH83" s="2">
        <v>6</v>
      </c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F83" s="1"/>
    </row>
    <row r="84" spans="1:58" s="22" customFormat="1" x14ac:dyDescent="0.25">
      <c r="A84" s="5" t="s">
        <v>10</v>
      </c>
      <c r="B84" s="4">
        <v>46150</v>
      </c>
      <c r="C84" s="2">
        <f t="shared" si="0"/>
        <v>19</v>
      </c>
      <c r="D84" s="3">
        <v>181</v>
      </c>
      <c r="E84" s="70">
        <f>[1]DETAY!$A$2</f>
        <v>0</v>
      </c>
      <c r="F84" s="71">
        <f t="shared" si="1"/>
        <v>180</v>
      </c>
      <c r="G84" s="72">
        <f t="shared" si="2"/>
        <v>1</v>
      </c>
      <c r="H84" s="73">
        <f t="shared" si="3"/>
        <v>0.99447513812154698</v>
      </c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>
        <v>1</v>
      </c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F84" s="1"/>
    </row>
    <row r="85" spans="1:58" s="22" customFormat="1" x14ac:dyDescent="0.25">
      <c r="A85" s="5" t="s">
        <v>9</v>
      </c>
      <c r="B85" s="4">
        <v>46150</v>
      </c>
      <c r="C85" s="2">
        <f t="shared" si="0"/>
        <v>19</v>
      </c>
      <c r="D85" s="3">
        <v>300</v>
      </c>
      <c r="E85" s="70">
        <f>[1]DETAY!$A$2</f>
        <v>0</v>
      </c>
      <c r="F85" s="71">
        <f t="shared" si="1"/>
        <v>300</v>
      </c>
      <c r="G85" s="72">
        <f t="shared" si="2"/>
        <v>0</v>
      </c>
      <c r="H85" s="73">
        <f t="shared" si="3"/>
        <v>1</v>
      </c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F85" s="1"/>
    </row>
    <row r="86" spans="1:58" s="22" customFormat="1" x14ac:dyDescent="0.25">
      <c r="A86" s="5" t="s">
        <v>0</v>
      </c>
      <c r="B86" s="4">
        <v>46150</v>
      </c>
      <c r="C86" s="2">
        <f t="shared" si="0"/>
        <v>19</v>
      </c>
      <c r="D86" s="3">
        <v>545</v>
      </c>
      <c r="E86" s="70">
        <f>[1]DETAY!$A$2</f>
        <v>0</v>
      </c>
      <c r="F86" s="71">
        <f t="shared" si="1"/>
        <v>490</v>
      </c>
      <c r="G86" s="72">
        <f t="shared" si="2"/>
        <v>55</v>
      </c>
      <c r="H86" s="73">
        <f t="shared" si="3"/>
        <v>0.8990825688073395</v>
      </c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>
        <v>55</v>
      </c>
      <c r="AV86" s="2"/>
      <c r="AW86" s="2"/>
      <c r="AX86" s="2"/>
      <c r="AY86" s="2"/>
      <c r="AZ86" s="2"/>
      <c r="BA86" s="2"/>
      <c r="BB86" s="2"/>
      <c r="BC86" s="2"/>
      <c r="BD86" s="2"/>
      <c r="BF86" s="1"/>
    </row>
    <row r="87" spans="1:58" s="22" customFormat="1" x14ac:dyDescent="0.25">
      <c r="A87" s="5" t="s">
        <v>84</v>
      </c>
      <c r="B87" s="4">
        <v>46150</v>
      </c>
      <c r="C87" s="2">
        <f t="shared" si="0"/>
        <v>19</v>
      </c>
      <c r="D87" s="3">
        <v>839</v>
      </c>
      <c r="E87" s="70">
        <f>[1]DETAY!$A$2</f>
        <v>0</v>
      </c>
      <c r="F87" s="71">
        <f t="shared" si="1"/>
        <v>828</v>
      </c>
      <c r="G87" s="72">
        <f t="shared" si="2"/>
        <v>11</v>
      </c>
      <c r="H87" s="73">
        <f t="shared" si="3"/>
        <v>0.98688915375446962</v>
      </c>
      <c r="I87" s="2"/>
      <c r="J87" s="2"/>
      <c r="K87" s="2"/>
      <c r="L87" s="2">
        <v>11</v>
      </c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F87" s="1"/>
    </row>
    <row r="88" spans="1:58" s="22" customFormat="1" x14ac:dyDescent="0.25">
      <c r="A88" s="5" t="s">
        <v>20</v>
      </c>
      <c r="B88" s="4">
        <v>46150</v>
      </c>
      <c r="C88" s="2">
        <f t="shared" si="0"/>
        <v>19</v>
      </c>
      <c r="D88" s="3">
        <v>742</v>
      </c>
      <c r="E88" s="70">
        <f>[1]DETAY!$A$2</f>
        <v>0</v>
      </c>
      <c r="F88" s="71">
        <f t="shared" si="1"/>
        <v>742</v>
      </c>
      <c r="G88" s="72">
        <f t="shared" si="2"/>
        <v>0</v>
      </c>
      <c r="H88" s="73">
        <f t="shared" si="3"/>
        <v>1</v>
      </c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F88" s="1"/>
    </row>
    <row r="89" spans="1:58" s="22" customFormat="1" x14ac:dyDescent="0.25">
      <c r="A89" s="5" t="s">
        <v>10</v>
      </c>
      <c r="B89" s="4">
        <v>46150</v>
      </c>
      <c r="C89" s="2">
        <f t="shared" si="0"/>
        <v>19</v>
      </c>
      <c r="D89" s="3">
        <v>554</v>
      </c>
      <c r="E89" s="70">
        <f>[1]DETAY!$A$2</f>
        <v>0</v>
      </c>
      <c r="F89" s="71">
        <f t="shared" si="1"/>
        <v>540</v>
      </c>
      <c r="G89" s="72">
        <f t="shared" si="2"/>
        <v>14</v>
      </c>
      <c r="H89" s="73">
        <f t="shared" si="3"/>
        <v>0.97472924187725629</v>
      </c>
      <c r="I89" s="2"/>
      <c r="J89" s="2"/>
      <c r="K89" s="2"/>
      <c r="L89" s="2"/>
      <c r="M89" s="2">
        <v>14</v>
      </c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F89" s="1"/>
    </row>
    <row r="90" spans="1:58" s="22" customFormat="1" x14ac:dyDescent="0.25">
      <c r="A90" s="5" t="s">
        <v>9</v>
      </c>
      <c r="B90" s="4">
        <v>46150</v>
      </c>
      <c r="C90" s="2">
        <f t="shared" si="0"/>
        <v>19</v>
      </c>
      <c r="D90" s="3">
        <v>551</v>
      </c>
      <c r="E90" s="70">
        <f>[1]DETAY!$A$2</f>
        <v>0</v>
      </c>
      <c r="F90" s="71">
        <f t="shared" si="1"/>
        <v>540</v>
      </c>
      <c r="G90" s="72">
        <f t="shared" si="2"/>
        <v>11</v>
      </c>
      <c r="H90" s="73">
        <f t="shared" si="3"/>
        <v>0.98003629764065336</v>
      </c>
      <c r="I90" s="2"/>
      <c r="J90" s="2"/>
      <c r="K90" s="2"/>
      <c r="L90" s="2"/>
      <c r="M90" s="2">
        <v>11</v>
      </c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F90" s="1"/>
    </row>
    <row r="91" spans="1:58" s="22" customFormat="1" x14ac:dyDescent="0.25">
      <c r="A91" s="5" t="s">
        <v>1</v>
      </c>
      <c r="B91" s="4">
        <v>46150</v>
      </c>
      <c r="C91" s="2">
        <f t="shared" si="0"/>
        <v>19</v>
      </c>
      <c r="D91" s="3">
        <v>145</v>
      </c>
      <c r="E91" s="70">
        <f>[1]DETAY!$A$2</f>
        <v>0</v>
      </c>
      <c r="F91" s="71">
        <f t="shared" si="1"/>
        <v>113</v>
      </c>
      <c r="G91" s="72">
        <f t="shared" si="2"/>
        <v>32</v>
      </c>
      <c r="H91" s="73">
        <f t="shared" si="3"/>
        <v>0.77931034482758621</v>
      </c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>
        <v>32</v>
      </c>
      <c r="AV91" s="2"/>
      <c r="AW91" s="2"/>
      <c r="AX91" s="2"/>
      <c r="AY91" s="2"/>
      <c r="AZ91" s="2"/>
      <c r="BA91" s="2"/>
      <c r="BB91" s="2"/>
      <c r="BC91" s="2"/>
      <c r="BD91" s="2"/>
      <c r="BF91" s="1"/>
    </row>
    <row r="92" spans="1:58" s="22" customFormat="1" x14ac:dyDescent="0.25">
      <c r="A92" s="5" t="s">
        <v>16</v>
      </c>
      <c r="B92" s="4">
        <v>46150</v>
      </c>
      <c r="C92" s="2">
        <f t="shared" si="0"/>
        <v>19</v>
      </c>
      <c r="D92" s="3">
        <v>3125</v>
      </c>
      <c r="E92" s="70">
        <f>[1]DETAY!$A$2</f>
        <v>0</v>
      </c>
      <c r="F92" s="71">
        <f t="shared" si="1"/>
        <v>3077</v>
      </c>
      <c r="G92" s="72">
        <f t="shared" si="2"/>
        <v>48</v>
      </c>
      <c r="H92" s="73">
        <f t="shared" si="3"/>
        <v>0.98463999999999996</v>
      </c>
      <c r="I92" s="2"/>
      <c r="J92" s="2"/>
      <c r="K92" s="2"/>
      <c r="L92" s="2"/>
      <c r="M92" s="2">
        <v>27</v>
      </c>
      <c r="N92" s="2"/>
      <c r="O92" s="2"/>
      <c r="P92" s="2">
        <v>17</v>
      </c>
      <c r="Q92" s="2">
        <v>1</v>
      </c>
      <c r="R92" s="2"/>
      <c r="S92" s="2"/>
      <c r="T92" s="2"/>
      <c r="U92" s="2"/>
      <c r="V92" s="2"/>
      <c r="W92" s="2">
        <v>1</v>
      </c>
      <c r="X92" s="2"/>
      <c r="Y92" s="2"/>
      <c r="Z92" s="2"/>
      <c r="AA92" s="2"/>
      <c r="AB92" s="2"/>
      <c r="AC92" s="2"/>
      <c r="AD92" s="2"/>
      <c r="AE92" s="2"/>
      <c r="AF92" s="2">
        <v>1</v>
      </c>
      <c r="AG92" s="2"/>
      <c r="AH92" s="2">
        <v>1</v>
      </c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F92" s="1"/>
    </row>
    <row r="93" spans="1:58" s="22" customFormat="1" x14ac:dyDescent="0.25">
      <c r="A93" s="5" t="s">
        <v>8</v>
      </c>
      <c r="B93" s="4">
        <v>46150</v>
      </c>
      <c r="C93" s="2">
        <f t="shared" si="0"/>
        <v>19</v>
      </c>
      <c r="D93" s="3">
        <v>781</v>
      </c>
      <c r="E93" s="70">
        <f>[1]DETAY!$A$2</f>
        <v>0</v>
      </c>
      <c r="F93" s="71">
        <f t="shared" si="1"/>
        <v>781</v>
      </c>
      <c r="G93" s="72">
        <f t="shared" si="2"/>
        <v>0</v>
      </c>
      <c r="H93" s="73">
        <f t="shared" si="3"/>
        <v>1</v>
      </c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F93" s="1"/>
    </row>
    <row r="94" spans="1:58" s="22" customFormat="1" x14ac:dyDescent="0.25">
      <c r="A94" s="74" t="s">
        <v>7</v>
      </c>
      <c r="B94" s="4">
        <v>46150</v>
      </c>
      <c r="C94" s="2">
        <f t="shared" si="0"/>
        <v>19</v>
      </c>
      <c r="D94" s="3">
        <v>384</v>
      </c>
      <c r="E94" s="70">
        <f>[1]DETAY!$A$2</f>
        <v>0</v>
      </c>
      <c r="F94" s="71">
        <f t="shared" si="1"/>
        <v>384</v>
      </c>
      <c r="G94" s="72">
        <f t="shared" si="2"/>
        <v>0</v>
      </c>
      <c r="H94" s="73">
        <f t="shared" si="3"/>
        <v>1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F94" s="1"/>
    </row>
    <row r="95" spans="1:58" s="22" customFormat="1" x14ac:dyDescent="0.25">
      <c r="A95" s="5" t="s">
        <v>12</v>
      </c>
      <c r="B95" s="4">
        <v>46150</v>
      </c>
      <c r="C95" s="2">
        <f t="shared" si="0"/>
        <v>19</v>
      </c>
      <c r="D95" s="3">
        <v>220</v>
      </c>
      <c r="E95" s="70">
        <f>[1]DETAY!$A$2</f>
        <v>0</v>
      </c>
      <c r="F95" s="71">
        <f t="shared" si="1"/>
        <v>220</v>
      </c>
      <c r="G95" s="72">
        <f t="shared" si="2"/>
        <v>0</v>
      </c>
      <c r="H95" s="73">
        <f t="shared" si="3"/>
        <v>1</v>
      </c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F95" s="1"/>
    </row>
    <row r="96" spans="1:58" s="22" customFormat="1" x14ac:dyDescent="0.25">
      <c r="A96" s="5" t="s">
        <v>4</v>
      </c>
      <c r="B96" s="4">
        <v>46150</v>
      </c>
      <c r="C96" s="2">
        <f t="shared" si="0"/>
        <v>19</v>
      </c>
      <c r="D96" s="3">
        <v>22</v>
      </c>
      <c r="E96" s="70">
        <f>[1]DETAY!$A$2</f>
        <v>0</v>
      </c>
      <c r="F96" s="71">
        <f t="shared" si="1"/>
        <v>22</v>
      </c>
      <c r="G96" s="72">
        <f t="shared" si="2"/>
        <v>0</v>
      </c>
      <c r="H96" s="73">
        <f t="shared" si="3"/>
        <v>1</v>
      </c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F96" s="1"/>
    </row>
    <row r="97" spans="1:58" s="22" customFormat="1" x14ac:dyDescent="0.25">
      <c r="A97" s="5" t="s">
        <v>84</v>
      </c>
      <c r="B97" s="4">
        <v>46150</v>
      </c>
      <c r="C97" s="2">
        <f t="shared" si="0"/>
        <v>19</v>
      </c>
      <c r="D97" s="3">
        <v>758</v>
      </c>
      <c r="E97" s="70">
        <f>[1]DETAY!$A$2</f>
        <v>0</v>
      </c>
      <c r="F97" s="71">
        <f t="shared" si="1"/>
        <v>750</v>
      </c>
      <c r="G97" s="72">
        <f t="shared" si="2"/>
        <v>8</v>
      </c>
      <c r="H97" s="73">
        <f t="shared" si="3"/>
        <v>0.98944591029023743</v>
      </c>
      <c r="I97" s="2"/>
      <c r="J97" s="2"/>
      <c r="K97" s="2"/>
      <c r="L97" s="2">
        <v>8</v>
      </c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F97" s="1"/>
    </row>
    <row r="98" spans="1:58" s="22" customFormat="1" x14ac:dyDescent="0.25">
      <c r="A98" s="5" t="s">
        <v>20</v>
      </c>
      <c r="B98" s="4">
        <v>46150</v>
      </c>
      <c r="C98" s="2">
        <f t="shared" si="0"/>
        <v>19</v>
      </c>
      <c r="D98" s="3">
        <v>629</v>
      </c>
      <c r="E98" s="70">
        <f>[1]DETAY!$A$2</f>
        <v>0</v>
      </c>
      <c r="F98" s="71">
        <f t="shared" si="1"/>
        <v>620</v>
      </c>
      <c r="G98" s="72">
        <f t="shared" si="2"/>
        <v>9</v>
      </c>
      <c r="H98" s="73">
        <f t="shared" si="3"/>
        <v>0.98569157392686801</v>
      </c>
      <c r="I98" s="2"/>
      <c r="J98" s="2">
        <v>1</v>
      </c>
      <c r="K98" s="2"/>
      <c r="L98" s="2">
        <v>8</v>
      </c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F98" s="1"/>
    </row>
    <row r="99" spans="1:58" s="22" customFormat="1" x14ac:dyDescent="0.25">
      <c r="A99" s="5" t="s">
        <v>18</v>
      </c>
      <c r="B99" s="4">
        <v>46150</v>
      </c>
      <c r="C99" s="2">
        <f t="shared" si="0"/>
        <v>19</v>
      </c>
      <c r="D99" s="3">
        <v>355</v>
      </c>
      <c r="E99" s="70">
        <f>[1]DETAY!$A$2</f>
        <v>0</v>
      </c>
      <c r="F99" s="71">
        <f t="shared" si="1"/>
        <v>350</v>
      </c>
      <c r="G99" s="72">
        <f t="shared" si="2"/>
        <v>5</v>
      </c>
      <c r="H99" s="73">
        <f t="shared" si="3"/>
        <v>0.9859154929577465</v>
      </c>
      <c r="I99" s="2"/>
      <c r="J99" s="2">
        <v>1</v>
      </c>
      <c r="K99" s="2"/>
      <c r="L99" s="2">
        <v>4</v>
      </c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F99" s="1"/>
    </row>
    <row r="100" spans="1:58" s="22" customFormat="1" x14ac:dyDescent="0.25">
      <c r="A100" s="5" t="s">
        <v>10</v>
      </c>
      <c r="B100" s="4">
        <v>46150</v>
      </c>
      <c r="C100" s="2">
        <f t="shared" si="0"/>
        <v>19</v>
      </c>
      <c r="D100" s="3">
        <v>121</v>
      </c>
      <c r="E100" s="70">
        <f>[1]DETAY!$A$2</f>
        <v>0</v>
      </c>
      <c r="F100" s="71">
        <f t="shared" si="1"/>
        <v>120</v>
      </c>
      <c r="G100" s="72">
        <f t="shared" si="2"/>
        <v>1</v>
      </c>
      <c r="H100" s="73">
        <f t="shared" si="3"/>
        <v>0.99173553719008267</v>
      </c>
      <c r="I100" s="2"/>
      <c r="J100" s="2"/>
      <c r="K100" s="2"/>
      <c r="L100" s="2"/>
      <c r="M100" s="2">
        <v>1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F100" s="1"/>
    </row>
    <row r="101" spans="1:58" s="22" customFormat="1" x14ac:dyDescent="0.25">
      <c r="A101" s="5" t="s">
        <v>9</v>
      </c>
      <c r="B101" s="4">
        <v>46150</v>
      </c>
      <c r="C101" s="2">
        <f t="shared" si="0"/>
        <v>19</v>
      </c>
      <c r="D101" s="3">
        <v>301</v>
      </c>
      <c r="E101" s="70">
        <f>[1]DETAY!$A$2</f>
        <v>0</v>
      </c>
      <c r="F101" s="71">
        <f t="shared" si="1"/>
        <v>300</v>
      </c>
      <c r="G101" s="72">
        <f t="shared" si="2"/>
        <v>1</v>
      </c>
      <c r="H101" s="73">
        <f t="shared" si="3"/>
        <v>0.99667774086378735</v>
      </c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>
        <v>1</v>
      </c>
      <c r="BA101" s="2"/>
      <c r="BB101" s="2"/>
      <c r="BC101" s="2"/>
      <c r="BD101" s="2"/>
      <c r="BF101" s="1"/>
    </row>
    <row r="102" spans="1:58" s="22" customFormat="1" x14ac:dyDescent="0.25">
      <c r="A102" s="5" t="s">
        <v>1</v>
      </c>
      <c r="B102" s="4">
        <v>46150</v>
      </c>
      <c r="C102" s="2">
        <f t="shared" si="0"/>
        <v>19</v>
      </c>
      <c r="D102" s="3">
        <v>442</v>
      </c>
      <c r="E102" s="70">
        <f>[1]DETAY!$A$2</f>
        <v>0</v>
      </c>
      <c r="F102" s="71">
        <f t="shared" si="1"/>
        <v>350</v>
      </c>
      <c r="G102" s="72">
        <f t="shared" si="2"/>
        <v>92</v>
      </c>
      <c r="H102" s="73">
        <f t="shared" si="3"/>
        <v>0.79185520361990946</v>
      </c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>
        <v>92</v>
      </c>
      <c r="AV102" s="2"/>
      <c r="AW102" s="2"/>
      <c r="AX102" s="2"/>
      <c r="AY102" s="2"/>
      <c r="AZ102" s="2"/>
      <c r="BA102" s="2"/>
      <c r="BB102" s="2"/>
      <c r="BC102" s="2"/>
      <c r="BD102" s="2"/>
      <c r="BF102" s="1"/>
    </row>
    <row r="103" spans="1:58" s="22" customFormat="1" x14ac:dyDescent="0.25">
      <c r="A103" s="5" t="s">
        <v>82</v>
      </c>
      <c r="B103" s="4">
        <v>46151</v>
      </c>
      <c r="C103" s="2">
        <f t="shared" si="0"/>
        <v>19</v>
      </c>
      <c r="D103" s="3">
        <v>153</v>
      </c>
      <c r="E103" s="70">
        <f>[1]DETAY!$A$2</f>
        <v>0</v>
      </c>
      <c r="F103" s="71">
        <f t="shared" si="1"/>
        <v>150</v>
      </c>
      <c r="G103" s="72">
        <f t="shared" si="2"/>
        <v>3</v>
      </c>
      <c r="H103" s="73">
        <f t="shared" si="3"/>
        <v>0.98039215686274506</v>
      </c>
      <c r="I103" s="2"/>
      <c r="J103" s="2"/>
      <c r="K103" s="2"/>
      <c r="L103" s="2">
        <v>3</v>
      </c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F103" s="1"/>
    </row>
    <row r="104" spans="1:58" s="22" customFormat="1" x14ac:dyDescent="0.25">
      <c r="A104" s="5" t="s">
        <v>18</v>
      </c>
      <c r="B104" s="4">
        <v>46151</v>
      </c>
      <c r="C104" s="2">
        <f t="shared" si="0"/>
        <v>19</v>
      </c>
      <c r="D104" s="3">
        <v>425</v>
      </c>
      <c r="E104" s="70">
        <f>[1]DETAY!$A$2</f>
        <v>0</v>
      </c>
      <c r="F104" s="71">
        <f t="shared" si="1"/>
        <v>386</v>
      </c>
      <c r="G104" s="72">
        <f t="shared" si="2"/>
        <v>39</v>
      </c>
      <c r="H104" s="73">
        <f t="shared" si="3"/>
        <v>0.90823529411764703</v>
      </c>
      <c r="I104" s="2"/>
      <c r="J104" s="2">
        <v>22</v>
      </c>
      <c r="K104" s="2"/>
      <c r="L104" s="2">
        <v>17</v>
      </c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F104" s="1"/>
    </row>
    <row r="105" spans="1:58" s="22" customFormat="1" x14ac:dyDescent="0.25">
      <c r="A105" s="5" t="s">
        <v>17</v>
      </c>
      <c r="B105" s="4">
        <v>46151</v>
      </c>
      <c r="C105" s="2">
        <f t="shared" si="0"/>
        <v>19</v>
      </c>
      <c r="D105" s="3">
        <v>719</v>
      </c>
      <c r="E105" s="70">
        <f>[1]DETAY!$A$2</f>
        <v>0</v>
      </c>
      <c r="F105" s="71">
        <f t="shared" si="1"/>
        <v>700</v>
      </c>
      <c r="G105" s="72">
        <f t="shared" si="2"/>
        <v>19</v>
      </c>
      <c r="H105" s="73">
        <f t="shared" si="3"/>
        <v>0.97357440890125169</v>
      </c>
      <c r="I105" s="2"/>
      <c r="J105" s="2">
        <v>11</v>
      </c>
      <c r="K105" s="2"/>
      <c r="L105" s="2">
        <v>8</v>
      </c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F105" s="1"/>
    </row>
    <row r="106" spans="1:58" s="22" customFormat="1" x14ac:dyDescent="0.25">
      <c r="A106" s="5" t="s">
        <v>16</v>
      </c>
      <c r="B106" s="4">
        <v>46151</v>
      </c>
      <c r="C106" s="2">
        <f t="shared" si="0"/>
        <v>19</v>
      </c>
      <c r="D106" s="3">
        <v>1989</v>
      </c>
      <c r="E106" s="70">
        <f>[1]DETAY!$A$2</f>
        <v>0</v>
      </c>
      <c r="F106" s="71">
        <f t="shared" si="1"/>
        <v>1960</v>
      </c>
      <c r="G106" s="72">
        <f t="shared" si="2"/>
        <v>29</v>
      </c>
      <c r="H106" s="73">
        <f t="shared" si="3"/>
        <v>0.98541980894922077</v>
      </c>
      <c r="I106" s="2"/>
      <c r="J106" s="2"/>
      <c r="K106" s="2">
        <v>14</v>
      </c>
      <c r="L106" s="2">
        <v>1</v>
      </c>
      <c r="M106" s="2">
        <v>1</v>
      </c>
      <c r="N106" s="2"/>
      <c r="O106" s="2">
        <v>1</v>
      </c>
      <c r="P106" s="2">
        <v>2</v>
      </c>
      <c r="Q106" s="2">
        <v>2</v>
      </c>
      <c r="R106" s="2"/>
      <c r="S106" s="2"/>
      <c r="T106" s="2">
        <v>1</v>
      </c>
      <c r="U106" s="2">
        <v>1</v>
      </c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>
        <v>5</v>
      </c>
      <c r="AI106" s="2"/>
      <c r="AJ106" s="2">
        <v>1</v>
      </c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F106" s="1"/>
    </row>
    <row r="107" spans="1:58" s="22" customFormat="1" x14ac:dyDescent="0.25">
      <c r="A107" s="5" t="s">
        <v>10</v>
      </c>
      <c r="B107" s="4">
        <v>46151</v>
      </c>
      <c r="C107" s="2">
        <f t="shared" si="0"/>
        <v>19</v>
      </c>
      <c r="D107" s="3">
        <v>310</v>
      </c>
      <c r="E107" s="70">
        <f>[1]DETAY!$A$2</f>
        <v>0</v>
      </c>
      <c r="F107" s="71">
        <f t="shared" si="1"/>
        <v>300</v>
      </c>
      <c r="G107" s="72">
        <f t="shared" si="2"/>
        <v>10</v>
      </c>
      <c r="H107" s="73">
        <f t="shared" si="3"/>
        <v>0.967741935483871</v>
      </c>
      <c r="I107" s="2"/>
      <c r="J107" s="2"/>
      <c r="K107" s="2"/>
      <c r="L107" s="2"/>
      <c r="M107" s="2">
        <v>10</v>
      </c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F107" s="1"/>
    </row>
    <row r="108" spans="1:58" s="22" customFormat="1" x14ac:dyDescent="0.25">
      <c r="A108" s="5" t="s">
        <v>9</v>
      </c>
      <c r="B108" s="4">
        <v>46151</v>
      </c>
      <c r="C108" s="2">
        <f t="shared" si="0"/>
        <v>19</v>
      </c>
      <c r="D108" s="3">
        <v>246</v>
      </c>
      <c r="E108" s="70">
        <f>[1]DETAY!$A$2</f>
        <v>0</v>
      </c>
      <c r="F108" s="71">
        <f t="shared" si="1"/>
        <v>240</v>
      </c>
      <c r="G108" s="72">
        <f t="shared" si="2"/>
        <v>6</v>
      </c>
      <c r="H108" s="73">
        <f t="shared" si="3"/>
        <v>0.97560975609756095</v>
      </c>
      <c r="I108" s="2"/>
      <c r="J108" s="2"/>
      <c r="K108" s="2"/>
      <c r="L108" s="2"/>
      <c r="M108" s="2">
        <v>6</v>
      </c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F108" s="1"/>
    </row>
    <row r="109" spans="1:58" s="22" customFormat="1" x14ac:dyDescent="0.25">
      <c r="A109" s="5" t="s">
        <v>1</v>
      </c>
      <c r="B109" s="4">
        <v>46151</v>
      </c>
      <c r="C109" s="2">
        <f t="shared" si="0"/>
        <v>19</v>
      </c>
      <c r="D109" s="3">
        <v>370</v>
      </c>
      <c r="E109" s="70">
        <f>[1]DETAY!$A$2</f>
        <v>0</v>
      </c>
      <c r="F109" s="71">
        <f t="shared" si="1"/>
        <v>315</v>
      </c>
      <c r="G109" s="72">
        <f t="shared" si="2"/>
        <v>55</v>
      </c>
      <c r="H109" s="73">
        <f t="shared" si="3"/>
        <v>0.85135135135135132</v>
      </c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>
        <v>55</v>
      </c>
      <c r="AV109" s="2"/>
      <c r="AW109" s="2"/>
      <c r="AX109" s="2"/>
      <c r="AY109" s="2"/>
      <c r="AZ109" s="2"/>
      <c r="BA109" s="2"/>
      <c r="BB109" s="2"/>
      <c r="BC109" s="2"/>
      <c r="BD109" s="2"/>
      <c r="BF109" s="1"/>
    </row>
    <row r="110" spans="1:58" s="22" customFormat="1" x14ac:dyDescent="0.25">
      <c r="A110" s="5" t="s">
        <v>8</v>
      </c>
      <c r="B110" s="4">
        <v>46151</v>
      </c>
      <c r="C110" s="2">
        <f t="shared" si="0"/>
        <v>19</v>
      </c>
      <c r="D110" s="3">
        <v>165</v>
      </c>
      <c r="E110" s="70">
        <f>[1]DETAY!$A$2</f>
        <v>0</v>
      </c>
      <c r="F110" s="71">
        <f t="shared" si="1"/>
        <v>165</v>
      </c>
      <c r="G110" s="72">
        <f t="shared" si="2"/>
        <v>0</v>
      </c>
      <c r="H110" s="73">
        <f t="shared" si="3"/>
        <v>1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F110" s="1"/>
    </row>
    <row r="111" spans="1:58" s="22" customFormat="1" x14ac:dyDescent="0.25">
      <c r="A111" s="74" t="s">
        <v>7</v>
      </c>
      <c r="B111" s="4">
        <v>46151</v>
      </c>
      <c r="C111" s="2">
        <f t="shared" si="0"/>
        <v>19</v>
      </c>
      <c r="D111" s="3">
        <v>128</v>
      </c>
      <c r="E111" s="70">
        <f>[1]DETAY!$A$2</f>
        <v>0</v>
      </c>
      <c r="F111" s="71">
        <f t="shared" si="1"/>
        <v>128</v>
      </c>
      <c r="G111" s="72">
        <f t="shared" si="2"/>
        <v>0</v>
      </c>
      <c r="H111" s="73">
        <f t="shared" si="3"/>
        <v>1</v>
      </c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F111" s="1"/>
    </row>
    <row r="112" spans="1:58" s="22" customFormat="1" x14ac:dyDescent="0.25">
      <c r="A112" s="74" t="s">
        <v>13</v>
      </c>
      <c r="B112" s="4">
        <v>46151</v>
      </c>
      <c r="C112" s="2">
        <f t="shared" si="0"/>
        <v>19</v>
      </c>
      <c r="D112" s="3">
        <v>960</v>
      </c>
      <c r="E112" s="70">
        <f>[1]DETAY!$A$2</f>
        <v>0</v>
      </c>
      <c r="F112" s="71">
        <f t="shared" si="1"/>
        <v>960</v>
      </c>
      <c r="G112" s="72">
        <f t="shared" si="2"/>
        <v>0</v>
      </c>
      <c r="H112" s="73">
        <f t="shared" si="3"/>
        <v>1</v>
      </c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F112" s="1"/>
    </row>
    <row r="113" spans="1:58" s="22" customFormat="1" x14ac:dyDescent="0.25">
      <c r="A113" s="5" t="s">
        <v>82</v>
      </c>
      <c r="B113" s="4">
        <v>46151</v>
      </c>
      <c r="C113" s="2">
        <f t="shared" si="0"/>
        <v>19</v>
      </c>
      <c r="D113" s="3">
        <v>300</v>
      </c>
      <c r="E113" s="70">
        <f>[1]DETAY!$A$2</f>
        <v>0</v>
      </c>
      <c r="F113" s="71">
        <f t="shared" si="1"/>
        <v>300</v>
      </c>
      <c r="G113" s="72">
        <f t="shared" si="2"/>
        <v>0</v>
      </c>
      <c r="H113" s="73">
        <f t="shared" si="3"/>
        <v>1</v>
      </c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F113" s="1"/>
    </row>
    <row r="114" spans="1:58" s="22" customFormat="1" x14ac:dyDescent="0.25">
      <c r="A114" s="5" t="s">
        <v>19</v>
      </c>
      <c r="B114" s="4">
        <v>46151</v>
      </c>
      <c r="C114" s="2">
        <f t="shared" si="0"/>
        <v>19</v>
      </c>
      <c r="D114" s="3">
        <v>512</v>
      </c>
      <c r="E114" s="70">
        <f>[1]DETAY!$A$2</f>
        <v>0</v>
      </c>
      <c r="F114" s="71">
        <f t="shared" si="1"/>
        <v>495</v>
      </c>
      <c r="G114" s="72">
        <f t="shared" si="2"/>
        <v>17</v>
      </c>
      <c r="H114" s="73">
        <f t="shared" si="3"/>
        <v>0.966796875</v>
      </c>
      <c r="I114" s="2"/>
      <c r="J114" s="2">
        <v>13</v>
      </c>
      <c r="K114" s="2"/>
      <c r="L114" s="2">
        <v>4</v>
      </c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F114" s="1"/>
    </row>
    <row r="115" spans="1:58" s="22" customFormat="1" x14ac:dyDescent="0.25">
      <c r="A115" s="5" t="s">
        <v>18</v>
      </c>
      <c r="B115" s="4">
        <v>46151</v>
      </c>
      <c r="C115" s="2">
        <f t="shared" si="0"/>
        <v>19</v>
      </c>
      <c r="D115" s="3">
        <v>350</v>
      </c>
      <c r="E115" s="70">
        <f>[1]DETAY!$A$2</f>
        <v>0</v>
      </c>
      <c r="F115" s="71">
        <f t="shared" si="1"/>
        <v>350</v>
      </c>
      <c r="G115" s="72">
        <f t="shared" si="2"/>
        <v>0</v>
      </c>
      <c r="H115" s="73">
        <f t="shared" si="3"/>
        <v>1</v>
      </c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F115" s="1"/>
    </row>
    <row r="116" spans="1:58" s="22" customFormat="1" x14ac:dyDescent="0.25">
      <c r="A116" s="5" t="s">
        <v>17</v>
      </c>
      <c r="B116" s="4">
        <v>46151</v>
      </c>
      <c r="C116" s="2">
        <f t="shared" si="0"/>
        <v>19</v>
      </c>
      <c r="D116" s="3">
        <v>352</v>
      </c>
      <c r="E116" s="70">
        <f>[1]DETAY!$A$2</f>
        <v>0</v>
      </c>
      <c r="F116" s="71">
        <f t="shared" si="1"/>
        <v>350</v>
      </c>
      <c r="G116" s="72">
        <f t="shared" si="2"/>
        <v>2</v>
      </c>
      <c r="H116" s="73">
        <f t="shared" si="3"/>
        <v>0.99431818181818177</v>
      </c>
      <c r="I116" s="2"/>
      <c r="J116" s="2">
        <v>2</v>
      </c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F116" s="1"/>
    </row>
    <row r="117" spans="1:58" s="22" customFormat="1" x14ac:dyDescent="0.25">
      <c r="A117" s="5" t="s">
        <v>16</v>
      </c>
      <c r="B117" s="4">
        <v>46151</v>
      </c>
      <c r="C117" s="2">
        <f t="shared" si="0"/>
        <v>19</v>
      </c>
      <c r="D117" s="3">
        <v>1231</v>
      </c>
      <c r="E117" s="70">
        <f>[1]DETAY!$A$2</f>
        <v>0</v>
      </c>
      <c r="F117" s="71">
        <f t="shared" si="1"/>
        <v>1190</v>
      </c>
      <c r="G117" s="72">
        <f t="shared" si="2"/>
        <v>41</v>
      </c>
      <c r="H117" s="73">
        <f t="shared" si="3"/>
        <v>0.966693744922827</v>
      </c>
      <c r="I117" s="2"/>
      <c r="J117" s="2"/>
      <c r="K117" s="2">
        <v>28</v>
      </c>
      <c r="L117" s="2"/>
      <c r="M117" s="2"/>
      <c r="N117" s="2"/>
      <c r="O117" s="2"/>
      <c r="P117" s="2">
        <v>5</v>
      </c>
      <c r="Q117" s="2">
        <v>2</v>
      </c>
      <c r="R117" s="2"/>
      <c r="S117" s="2"/>
      <c r="T117" s="2">
        <v>4</v>
      </c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>
        <v>2</v>
      </c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F117" s="1"/>
    </row>
    <row r="118" spans="1:58" s="22" customFormat="1" x14ac:dyDescent="0.25">
      <c r="A118" s="5" t="s">
        <v>10</v>
      </c>
      <c r="B118" s="4">
        <v>46151</v>
      </c>
      <c r="C118" s="2">
        <f t="shared" si="0"/>
        <v>19</v>
      </c>
      <c r="D118" s="3">
        <v>967</v>
      </c>
      <c r="E118" s="70">
        <f>[1]DETAY!$A$2</f>
        <v>0</v>
      </c>
      <c r="F118" s="71">
        <f t="shared" si="1"/>
        <v>960</v>
      </c>
      <c r="G118" s="72">
        <f t="shared" si="2"/>
        <v>7</v>
      </c>
      <c r="H118" s="73">
        <f t="shared" si="3"/>
        <v>0.99276111685625645</v>
      </c>
      <c r="I118" s="2"/>
      <c r="J118" s="2"/>
      <c r="K118" s="2"/>
      <c r="L118" s="2"/>
      <c r="M118" s="2">
        <v>6</v>
      </c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>
        <v>1</v>
      </c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F118" s="1"/>
    </row>
    <row r="119" spans="1:58" s="22" customFormat="1" x14ac:dyDescent="0.25">
      <c r="A119" s="5" t="s">
        <v>9</v>
      </c>
      <c r="B119" s="4">
        <v>46151</v>
      </c>
      <c r="C119" s="2">
        <f t="shared" si="0"/>
        <v>19</v>
      </c>
      <c r="D119" s="3">
        <v>427</v>
      </c>
      <c r="E119" s="70">
        <f>[1]DETAY!$A$2</f>
        <v>0</v>
      </c>
      <c r="F119" s="71">
        <f t="shared" si="1"/>
        <v>420</v>
      </c>
      <c r="G119" s="72">
        <f t="shared" si="2"/>
        <v>7</v>
      </c>
      <c r="H119" s="73">
        <f t="shared" si="3"/>
        <v>0.98360655737704916</v>
      </c>
      <c r="I119" s="2"/>
      <c r="J119" s="2"/>
      <c r="K119" s="2"/>
      <c r="L119" s="2"/>
      <c r="M119" s="2">
        <v>7</v>
      </c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F119" s="1"/>
    </row>
    <row r="120" spans="1:58" s="22" customFormat="1" x14ac:dyDescent="0.25">
      <c r="A120" s="5" t="s">
        <v>1</v>
      </c>
      <c r="B120" s="4">
        <v>46151</v>
      </c>
      <c r="C120" s="2">
        <f t="shared" si="0"/>
        <v>19</v>
      </c>
      <c r="D120" s="3">
        <v>200</v>
      </c>
      <c r="E120" s="70">
        <f>[1]DETAY!$A$2</f>
        <v>0</v>
      </c>
      <c r="F120" s="71">
        <f t="shared" si="1"/>
        <v>150</v>
      </c>
      <c r="G120" s="72">
        <f t="shared" si="2"/>
        <v>50</v>
      </c>
      <c r="H120" s="73">
        <f t="shared" si="3"/>
        <v>0.75</v>
      </c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>
        <v>50</v>
      </c>
      <c r="AV120" s="2"/>
      <c r="AW120" s="2"/>
      <c r="AX120" s="2"/>
      <c r="AY120" s="2"/>
      <c r="AZ120" s="2"/>
      <c r="BA120" s="2"/>
      <c r="BB120" s="2"/>
      <c r="BC120" s="2"/>
      <c r="BD120" s="2"/>
      <c r="BF120" s="1"/>
    </row>
    <row r="121" spans="1:58" s="22" customFormat="1" x14ac:dyDescent="0.25">
      <c r="A121" s="5" t="s">
        <v>8</v>
      </c>
      <c r="B121" s="4">
        <v>46151</v>
      </c>
      <c r="C121" s="2">
        <f t="shared" si="0"/>
        <v>19</v>
      </c>
      <c r="D121" s="3">
        <v>901</v>
      </c>
      <c r="E121" s="70">
        <f>[1]DETAY!$A$2</f>
        <v>0</v>
      </c>
      <c r="F121" s="71">
        <f t="shared" si="1"/>
        <v>900</v>
      </c>
      <c r="G121" s="72">
        <f t="shared" si="2"/>
        <v>1</v>
      </c>
      <c r="H121" s="73">
        <f t="shared" si="3"/>
        <v>0.99889012208657046</v>
      </c>
      <c r="I121" s="2"/>
      <c r="J121" s="2"/>
      <c r="K121" s="2"/>
      <c r="L121" s="2"/>
      <c r="M121" s="2">
        <v>1</v>
      </c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F121" s="1"/>
    </row>
    <row r="122" spans="1:58" s="22" customFormat="1" x14ac:dyDescent="0.25">
      <c r="A122" s="74" t="s">
        <v>7</v>
      </c>
      <c r="B122" s="4">
        <v>46151</v>
      </c>
      <c r="C122" s="2">
        <f t="shared" si="0"/>
        <v>19</v>
      </c>
      <c r="D122" s="3">
        <v>256</v>
      </c>
      <c r="E122" s="70">
        <f>[1]DETAY!$A$2</f>
        <v>0</v>
      </c>
      <c r="F122" s="71">
        <f t="shared" si="1"/>
        <v>256</v>
      </c>
      <c r="G122" s="72">
        <f t="shared" si="2"/>
        <v>0</v>
      </c>
      <c r="H122" s="73">
        <f t="shared" si="3"/>
        <v>1</v>
      </c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F122" s="1"/>
    </row>
    <row r="123" spans="1:58" s="22" customFormat="1" x14ac:dyDescent="0.25">
      <c r="A123" s="5" t="s">
        <v>13</v>
      </c>
      <c r="B123" s="4">
        <v>46151</v>
      </c>
      <c r="C123" s="2">
        <f t="shared" si="0"/>
        <v>19</v>
      </c>
      <c r="D123" s="3">
        <v>881</v>
      </c>
      <c r="E123" s="70">
        <f>[1]DETAY!$A$2</f>
        <v>0</v>
      </c>
      <c r="F123" s="71">
        <f t="shared" si="1"/>
        <v>840</v>
      </c>
      <c r="G123" s="72">
        <f t="shared" si="2"/>
        <v>41</v>
      </c>
      <c r="H123" s="73">
        <f t="shared" si="3"/>
        <v>0.95346197502837682</v>
      </c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>
        <v>41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F123" s="1"/>
    </row>
    <row r="124" spans="1:58" s="22" customFormat="1" x14ac:dyDescent="0.25">
      <c r="A124" s="5" t="s">
        <v>12</v>
      </c>
      <c r="B124" s="4">
        <v>46151</v>
      </c>
      <c r="C124" s="2">
        <f t="shared" si="0"/>
        <v>19</v>
      </c>
      <c r="D124" s="3">
        <v>661</v>
      </c>
      <c r="E124" s="70">
        <f>[1]DETAY!$A$2</f>
        <v>0</v>
      </c>
      <c r="F124" s="71">
        <f t="shared" si="1"/>
        <v>660</v>
      </c>
      <c r="G124" s="72">
        <f t="shared" si="2"/>
        <v>1</v>
      </c>
      <c r="H124" s="73">
        <f t="shared" si="3"/>
        <v>0.99848714069591527</v>
      </c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>
        <v>1</v>
      </c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F124" s="1"/>
    </row>
    <row r="125" spans="1:58" s="22" customFormat="1" x14ac:dyDescent="0.25">
      <c r="A125" s="5" t="s">
        <v>15</v>
      </c>
      <c r="B125" s="4">
        <v>46152</v>
      </c>
      <c r="C125" s="2">
        <f t="shared" si="0"/>
        <v>20</v>
      </c>
      <c r="D125" s="3">
        <v>413</v>
      </c>
      <c r="E125" s="70">
        <f>[1]DETAY!$A$2</f>
        <v>0</v>
      </c>
      <c r="F125" s="71">
        <f t="shared" si="1"/>
        <v>413</v>
      </c>
      <c r="G125" s="72">
        <f t="shared" si="2"/>
        <v>0</v>
      </c>
      <c r="H125" s="73">
        <f t="shared" si="3"/>
        <v>1</v>
      </c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F125" s="1"/>
    </row>
    <row r="126" spans="1:58" s="22" customFormat="1" x14ac:dyDescent="0.25">
      <c r="A126" s="74" t="s">
        <v>13</v>
      </c>
      <c r="B126" s="4">
        <v>46152</v>
      </c>
      <c r="C126" s="2">
        <f t="shared" si="0"/>
        <v>20</v>
      </c>
      <c r="D126" s="3">
        <v>300</v>
      </c>
      <c r="E126" s="70">
        <f>[1]DETAY!$A$2</f>
        <v>0</v>
      </c>
      <c r="F126" s="71">
        <f t="shared" si="1"/>
        <v>300</v>
      </c>
      <c r="G126" s="72">
        <f t="shared" si="2"/>
        <v>0</v>
      </c>
      <c r="H126" s="73">
        <f t="shared" si="3"/>
        <v>1</v>
      </c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F126" s="1"/>
    </row>
    <row r="127" spans="1:58" s="22" customFormat="1" x14ac:dyDescent="0.25">
      <c r="A127" s="5" t="s">
        <v>12</v>
      </c>
      <c r="B127" s="4">
        <v>46152</v>
      </c>
      <c r="C127" s="2">
        <f t="shared" si="0"/>
        <v>20</v>
      </c>
      <c r="D127" s="3">
        <v>660</v>
      </c>
      <c r="E127" s="70">
        <f>[1]DETAY!$A$2</f>
        <v>0</v>
      </c>
      <c r="F127" s="71">
        <f t="shared" si="1"/>
        <v>660</v>
      </c>
      <c r="G127" s="72">
        <f t="shared" si="2"/>
        <v>0</v>
      </c>
      <c r="H127" s="73">
        <f t="shared" si="3"/>
        <v>1</v>
      </c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F127" s="1"/>
    </row>
    <row r="128" spans="1:58" s="22" customFormat="1" x14ac:dyDescent="0.25">
      <c r="A128" s="74" t="s">
        <v>4</v>
      </c>
      <c r="B128" s="4">
        <v>46152</v>
      </c>
      <c r="C128" s="2">
        <f t="shared" si="0"/>
        <v>20</v>
      </c>
      <c r="D128" s="3">
        <v>108</v>
      </c>
      <c r="E128" s="70">
        <f>[1]DETAY!$A$2</f>
        <v>0</v>
      </c>
      <c r="F128" s="71">
        <f t="shared" si="1"/>
        <v>77</v>
      </c>
      <c r="G128" s="72">
        <f t="shared" si="2"/>
        <v>31</v>
      </c>
      <c r="H128" s="73">
        <f t="shared" si="3"/>
        <v>0.71296296296296291</v>
      </c>
      <c r="I128" s="2"/>
      <c r="J128" s="2"/>
      <c r="K128" s="2"/>
      <c r="L128" s="2"/>
      <c r="M128" s="2">
        <v>1</v>
      </c>
      <c r="N128" s="2"/>
      <c r="O128" s="2">
        <v>30</v>
      </c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F128" s="1"/>
    </row>
    <row r="129" spans="1:58" s="22" customFormat="1" x14ac:dyDescent="0.25">
      <c r="A129" s="74" t="s">
        <v>13</v>
      </c>
      <c r="B129" s="4">
        <v>46152</v>
      </c>
      <c r="C129" s="2">
        <f t="shared" si="0"/>
        <v>20</v>
      </c>
      <c r="D129" s="3">
        <v>120</v>
      </c>
      <c r="E129" s="70">
        <f>[1]DETAY!$A$2</f>
        <v>0</v>
      </c>
      <c r="F129" s="71">
        <f t="shared" si="1"/>
        <v>120</v>
      </c>
      <c r="G129" s="72">
        <f t="shared" si="2"/>
        <v>0</v>
      </c>
      <c r="H129" s="73">
        <f t="shared" si="3"/>
        <v>1</v>
      </c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F129" s="1"/>
    </row>
    <row r="130" spans="1:58" s="22" customFormat="1" x14ac:dyDescent="0.25">
      <c r="A130" s="74" t="s">
        <v>4</v>
      </c>
      <c r="B130" s="4">
        <v>46152</v>
      </c>
      <c r="C130" s="2">
        <f t="shared" si="0"/>
        <v>20</v>
      </c>
      <c r="D130" s="3">
        <v>77</v>
      </c>
      <c r="E130" s="70">
        <f>[1]DETAY!$A$2</f>
        <v>0</v>
      </c>
      <c r="F130" s="71">
        <f t="shared" si="1"/>
        <v>77</v>
      </c>
      <c r="G130" s="72">
        <f t="shared" si="2"/>
        <v>0</v>
      </c>
      <c r="H130" s="73">
        <f t="shared" si="3"/>
        <v>1</v>
      </c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F130" s="1"/>
    </row>
    <row r="131" spans="1:58" s="22" customFormat="1" x14ac:dyDescent="0.25">
      <c r="A131" s="5" t="s">
        <v>10</v>
      </c>
      <c r="B131" s="4">
        <v>46152</v>
      </c>
      <c r="C131" s="2">
        <f t="shared" si="0"/>
        <v>20</v>
      </c>
      <c r="D131" s="3">
        <v>241</v>
      </c>
      <c r="E131" s="70">
        <f>[1]DETAY!$A$2</f>
        <v>0</v>
      </c>
      <c r="F131" s="71">
        <f t="shared" si="1"/>
        <v>240</v>
      </c>
      <c r="G131" s="72">
        <f t="shared" si="2"/>
        <v>1</v>
      </c>
      <c r="H131" s="73">
        <f t="shared" si="3"/>
        <v>0.99585062240663902</v>
      </c>
      <c r="I131" s="2"/>
      <c r="J131" s="2"/>
      <c r="K131" s="2"/>
      <c r="L131" s="2"/>
      <c r="M131" s="2">
        <v>1</v>
      </c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F131" s="1"/>
    </row>
    <row r="132" spans="1:58" s="22" customFormat="1" x14ac:dyDescent="0.25">
      <c r="A132" s="5" t="s">
        <v>9</v>
      </c>
      <c r="B132" s="4">
        <v>46152</v>
      </c>
      <c r="C132" s="2">
        <f t="shared" si="0"/>
        <v>20</v>
      </c>
      <c r="D132" s="3">
        <v>121</v>
      </c>
      <c r="E132" s="70">
        <f>[1]DETAY!$A$2</f>
        <v>0</v>
      </c>
      <c r="F132" s="71">
        <f t="shared" si="1"/>
        <v>120</v>
      </c>
      <c r="G132" s="72">
        <f t="shared" si="2"/>
        <v>1</v>
      </c>
      <c r="H132" s="73">
        <f t="shared" si="3"/>
        <v>0.99173553719008267</v>
      </c>
      <c r="I132" s="2"/>
      <c r="J132" s="2"/>
      <c r="K132" s="2"/>
      <c r="L132" s="2"/>
      <c r="M132" s="2">
        <v>1</v>
      </c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F132" s="1"/>
    </row>
    <row r="133" spans="1:58" s="22" customFormat="1" x14ac:dyDescent="0.25">
      <c r="A133" s="5" t="s">
        <v>1</v>
      </c>
      <c r="B133" s="4">
        <v>46152</v>
      </c>
      <c r="C133" s="2">
        <f t="shared" si="0"/>
        <v>20</v>
      </c>
      <c r="D133" s="3">
        <v>87</v>
      </c>
      <c r="E133" s="70">
        <f>[1]DETAY!$A$2</f>
        <v>0</v>
      </c>
      <c r="F133" s="71">
        <f t="shared" si="1"/>
        <v>75</v>
      </c>
      <c r="G133" s="72">
        <f t="shared" si="2"/>
        <v>12</v>
      </c>
      <c r="H133" s="73">
        <f t="shared" si="3"/>
        <v>0.86206896551724133</v>
      </c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>
        <v>12</v>
      </c>
      <c r="AV133" s="2"/>
      <c r="AW133" s="2"/>
      <c r="AX133" s="2"/>
      <c r="AY133" s="2"/>
      <c r="AZ133" s="2"/>
      <c r="BA133" s="2"/>
      <c r="BB133" s="2"/>
      <c r="BC133" s="2"/>
      <c r="BD133" s="2"/>
      <c r="BF133" s="1"/>
    </row>
    <row r="134" spans="1:58" s="22" customFormat="1" x14ac:dyDescent="0.25">
      <c r="A134" s="5" t="s">
        <v>0</v>
      </c>
      <c r="B134" s="4">
        <v>46152</v>
      </c>
      <c r="C134" s="2">
        <f t="shared" si="0"/>
        <v>20</v>
      </c>
      <c r="D134" s="3">
        <v>116</v>
      </c>
      <c r="E134" s="70">
        <f>[1]DETAY!$A$2</f>
        <v>0</v>
      </c>
      <c r="F134" s="71">
        <f t="shared" si="1"/>
        <v>105</v>
      </c>
      <c r="G134" s="72">
        <f t="shared" si="2"/>
        <v>11</v>
      </c>
      <c r="H134" s="73">
        <f t="shared" si="3"/>
        <v>0.90517241379310343</v>
      </c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>
        <v>11</v>
      </c>
      <c r="AV134" s="2"/>
      <c r="AW134" s="2"/>
      <c r="AX134" s="2"/>
      <c r="AY134" s="2"/>
      <c r="AZ134" s="2"/>
      <c r="BA134" s="2"/>
      <c r="BB134" s="2"/>
      <c r="BC134" s="2"/>
      <c r="BD134" s="2"/>
      <c r="BF134" s="1"/>
    </row>
    <row r="135" spans="1:58" s="22" customFormat="1" x14ac:dyDescent="0.25">
      <c r="A135" s="5" t="s">
        <v>84</v>
      </c>
      <c r="B135" s="4">
        <v>46153</v>
      </c>
      <c r="C135" s="2">
        <f t="shared" si="0"/>
        <v>20</v>
      </c>
      <c r="D135" s="3">
        <v>850</v>
      </c>
      <c r="E135" s="70">
        <f>[1]DETAY!$A$2</f>
        <v>0</v>
      </c>
      <c r="F135" s="71">
        <f t="shared" si="1"/>
        <v>850</v>
      </c>
      <c r="G135" s="72">
        <f t="shared" si="2"/>
        <v>0</v>
      </c>
      <c r="H135" s="73">
        <f t="shared" si="3"/>
        <v>1</v>
      </c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F135" s="1"/>
    </row>
    <row r="136" spans="1:58" s="22" customFormat="1" x14ac:dyDescent="0.25">
      <c r="A136" s="5" t="s">
        <v>82</v>
      </c>
      <c r="B136" s="4">
        <v>46153</v>
      </c>
      <c r="C136" s="2">
        <f t="shared" si="0"/>
        <v>20</v>
      </c>
      <c r="D136" s="3">
        <v>761</v>
      </c>
      <c r="E136" s="70">
        <f>[1]DETAY!$A$2</f>
        <v>0</v>
      </c>
      <c r="F136" s="71">
        <f t="shared" si="1"/>
        <v>760</v>
      </c>
      <c r="G136" s="72">
        <f t="shared" si="2"/>
        <v>1</v>
      </c>
      <c r="H136" s="73">
        <f t="shared" si="3"/>
        <v>0.99868593955321949</v>
      </c>
      <c r="I136" s="2"/>
      <c r="J136" s="2"/>
      <c r="K136" s="2"/>
      <c r="L136" s="2">
        <v>1</v>
      </c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F136" s="1"/>
    </row>
    <row r="137" spans="1:58" s="22" customFormat="1" x14ac:dyDescent="0.25">
      <c r="A137" s="5" t="s">
        <v>20</v>
      </c>
      <c r="B137" s="4">
        <v>46153</v>
      </c>
      <c r="C137" s="2">
        <f t="shared" si="0"/>
        <v>20</v>
      </c>
      <c r="D137" s="3">
        <v>1146</v>
      </c>
      <c r="E137" s="70">
        <f>[1]DETAY!$A$2</f>
        <v>0</v>
      </c>
      <c r="F137" s="71">
        <f t="shared" si="1"/>
        <v>1127</v>
      </c>
      <c r="G137" s="72">
        <f t="shared" si="2"/>
        <v>19</v>
      </c>
      <c r="H137" s="73">
        <f t="shared" si="3"/>
        <v>0.98342059336823739</v>
      </c>
      <c r="I137" s="2"/>
      <c r="J137" s="2">
        <v>18</v>
      </c>
      <c r="K137" s="2"/>
      <c r="L137" s="2">
        <v>1</v>
      </c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F137" s="1"/>
    </row>
    <row r="138" spans="1:58" s="22" customFormat="1" x14ac:dyDescent="0.25">
      <c r="A138" s="5" t="s">
        <v>17</v>
      </c>
      <c r="B138" s="4">
        <v>46153</v>
      </c>
      <c r="C138" s="2">
        <f t="shared" si="0"/>
        <v>20</v>
      </c>
      <c r="D138" s="3">
        <v>706</v>
      </c>
      <c r="E138" s="70">
        <f>[1]DETAY!$A$2</f>
        <v>0</v>
      </c>
      <c r="F138" s="71">
        <f t="shared" si="1"/>
        <v>700</v>
      </c>
      <c r="G138" s="72">
        <f t="shared" si="2"/>
        <v>6</v>
      </c>
      <c r="H138" s="73">
        <f t="shared" si="3"/>
        <v>0.99150141643059486</v>
      </c>
      <c r="I138" s="2"/>
      <c r="J138" s="2">
        <v>5</v>
      </c>
      <c r="K138" s="2"/>
      <c r="L138" s="2">
        <v>1</v>
      </c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F138" s="1"/>
    </row>
    <row r="139" spans="1:58" s="22" customFormat="1" x14ac:dyDescent="0.25">
      <c r="A139" s="5" t="s">
        <v>10</v>
      </c>
      <c r="B139" s="4">
        <v>46153</v>
      </c>
      <c r="C139" s="2">
        <f t="shared" si="0"/>
        <v>20</v>
      </c>
      <c r="D139" s="3">
        <v>1105</v>
      </c>
      <c r="E139" s="70">
        <f>[1]DETAY!$A$2</f>
        <v>0</v>
      </c>
      <c r="F139" s="71">
        <f t="shared" si="1"/>
        <v>1080</v>
      </c>
      <c r="G139" s="72">
        <f t="shared" si="2"/>
        <v>25</v>
      </c>
      <c r="H139" s="73">
        <f t="shared" si="3"/>
        <v>0.9773755656108597</v>
      </c>
      <c r="I139" s="2"/>
      <c r="J139" s="2"/>
      <c r="K139" s="2"/>
      <c r="L139" s="2"/>
      <c r="M139" s="2">
        <v>21</v>
      </c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>
        <v>4</v>
      </c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F139" s="1"/>
    </row>
    <row r="140" spans="1:58" s="22" customFormat="1" x14ac:dyDescent="0.25">
      <c r="A140" s="5" t="s">
        <v>9</v>
      </c>
      <c r="B140" s="4">
        <v>46153</v>
      </c>
      <c r="C140" s="2">
        <f t="shared" si="0"/>
        <v>20</v>
      </c>
      <c r="D140" s="3">
        <v>1321</v>
      </c>
      <c r="E140" s="70">
        <f>[1]DETAY!$A$2</f>
        <v>0</v>
      </c>
      <c r="F140" s="71">
        <f t="shared" si="1"/>
        <v>1280</v>
      </c>
      <c r="G140" s="72">
        <f t="shared" si="2"/>
        <v>41</v>
      </c>
      <c r="H140" s="73">
        <f t="shared" si="3"/>
        <v>0.96896290688872067</v>
      </c>
      <c r="I140" s="2"/>
      <c r="J140" s="2"/>
      <c r="K140" s="2"/>
      <c r="L140" s="2"/>
      <c r="M140" s="2">
        <v>41</v>
      </c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F140" s="1"/>
    </row>
    <row r="141" spans="1:58" s="22" customFormat="1" x14ac:dyDescent="0.25">
      <c r="A141" s="5" t="s">
        <v>1</v>
      </c>
      <c r="B141" s="4">
        <v>46153</v>
      </c>
      <c r="C141" s="2">
        <f t="shared" si="0"/>
        <v>20</v>
      </c>
      <c r="D141" s="3">
        <v>100</v>
      </c>
      <c r="E141" s="70">
        <f>[1]DETAY!$A$2</f>
        <v>0</v>
      </c>
      <c r="F141" s="71">
        <f t="shared" si="1"/>
        <v>80</v>
      </c>
      <c r="G141" s="72">
        <f t="shared" si="2"/>
        <v>20</v>
      </c>
      <c r="H141" s="73">
        <f t="shared" si="3"/>
        <v>0.8</v>
      </c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>
        <v>20</v>
      </c>
      <c r="AV141" s="2"/>
      <c r="AW141" s="2"/>
      <c r="AX141" s="2"/>
      <c r="AY141" s="2"/>
      <c r="AZ141" s="2"/>
      <c r="BA141" s="2"/>
      <c r="BB141" s="2"/>
      <c r="BC141" s="2"/>
      <c r="BD141" s="2"/>
      <c r="BF141" s="1"/>
    </row>
    <row r="142" spans="1:58" s="22" customFormat="1" x14ac:dyDescent="0.25">
      <c r="A142" s="5" t="s">
        <v>0</v>
      </c>
      <c r="B142" s="4">
        <v>46153</v>
      </c>
      <c r="C142" s="2">
        <f t="shared" si="0"/>
        <v>20</v>
      </c>
      <c r="D142" s="3">
        <v>590</v>
      </c>
      <c r="E142" s="70">
        <f>[1]DETAY!$A$2</f>
        <v>0</v>
      </c>
      <c r="F142" s="71">
        <f t="shared" si="1"/>
        <v>540</v>
      </c>
      <c r="G142" s="72">
        <f t="shared" si="2"/>
        <v>50</v>
      </c>
      <c r="H142" s="73">
        <f t="shared" si="3"/>
        <v>0.9152542372881356</v>
      </c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>
        <v>50</v>
      </c>
      <c r="AV142" s="2"/>
      <c r="AW142" s="2"/>
      <c r="AX142" s="2"/>
      <c r="AY142" s="2"/>
      <c r="AZ142" s="2"/>
      <c r="BA142" s="2"/>
      <c r="BB142" s="2"/>
      <c r="BC142" s="2"/>
      <c r="BD142" s="2"/>
      <c r="BF142" s="1"/>
    </row>
    <row r="143" spans="1:58" s="22" customFormat="1" x14ac:dyDescent="0.25">
      <c r="A143" s="5" t="s">
        <v>15</v>
      </c>
      <c r="B143" s="4">
        <v>46153</v>
      </c>
      <c r="C143" s="2">
        <f t="shared" si="0"/>
        <v>20</v>
      </c>
      <c r="D143" s="3">
        <v>880</v>
      </c>
      <c r="E143" s="70">
        <f>[1]DETAY!$A$2</f>
        <v>0</v>
      </c>
      <c r="F143" s="71">
        <f t="shared" si="1"/>
        <v>880</v>
      </c>
      <c r="G143" s="72">
        <f t="shared" si="2"/>
        <v>0</v>
      </c>
      <c r="H143" s="73">
        <f t="shared" si="3"/>
        <v>1</v>
      </c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F143" s="1"/>
    </row>
    <row r="144" spans="1:58" s="22" customFormat="1" x14ac:dyDescent="0.25">
      <c r="A144" s="74" t="s">
        <v>13</v>
      </c>
      <c r="B144" s="4">
        <v>46153</v>
      </c>
      <c r="C144" s="2">
        <f t="shared" si="0"/>
        <v>20</v>
      </c>
      <c r="D144" s="3">
        <v>480</v>
      </c>
      <c r="E144" s="70">
        <f>[1]DETAY!$A$2</f>
        <v>0</v>
      </c>
      <c r="F144" s="71">
        <f t="shared" si="1"/>
        <v>480</v>
      </c>
      <c r="G144" s="72">
        <f t="shared" si="2"/>
        <v>0</v>
      </c>
      <c r="H144" s="73">
        <f t="shared" si="3"/>
        <v>1</v>
      </c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F144" s="1"/>
    </row>
    <row r="145" spans="1:58" s="22" customFormat="1" x14ac:dyDescent="0.25">
      <c r="A145" s="5" t="s">
        <v>12</v>
      </c>
      <c r="B145" s="4">
        <v>46153</v>
      </c>
      <c r="C145" s="2">
        <f t="shared" si="0"/>
        <v>20</v>
      </c>
      <c r="D145" s="3">
        <v>1100</v>
      </c>
      <c r="E145" s="70">
        <f>[1]DETAY!$A$2</f>
        <v>0</v>
      </c>
      <c r="F145" s="71">
        <f t="shared" si="1"/>
        <v>1100</v>
      </c>
      <c r="G145" s="72">
        <f t="shared" si="2"/>
        <v>0</v>
      </c>
      <c r="H145" s="73">
        <f t="shared" si="3"/>
        <v>1</v>
      </c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F145" s="1"/>
    </row>
    <row r="146" spans="1:58" s="22" customFormat="1" x14ac:dyDescent="0.25">
      <c r="A146" s="74" t="s">
        <v>4</v>
      </c>
      <c r="B146" s="4">
        <v>46153</v>
      </c>
      <c r="C146" s="2">
        <f t="shared" si="0"/>
        <v>20</v>
      </c>
      <c r="D146" s="3">
        <v>693</v>
      </c>
      <c r="E146" s="70">
        <f>[1]DETAY!$A$2</f>
        <v>0</v>
      </c>
      <c r="F146" s="71">
        <f t="shared" si="1"/>
        <v>693</v>
      </c>
      <c r="G146" s="72">
        <f t="shared" si="2"/>
        <v>0</v>
      </c>
      <c r="H146" s="73">
        <f t="shared" si="3"/>
        <v>1</v>
      </c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F146" s="1"/>
    </row>
    <row r="147" spans="1:58" s="22" customFormat="1" x14ac:dyDescent="0.25">
      <c r="A147" s="5" t="s">
        <v>84</v>
      </c>
      <c r="B147" s="4">
        <v>46153</v>
      </c>
      <c r="C147" s="2">
        <f t="shared" si="0"/>
        <v>20</v>
      </c>
      <c r="D147" s="3">
        <v>300</v>
      </c>
      <c r="E147" s="70">
        <f>[1]DETAY!$A$2</f>
        <v>0</v>
      </c>
      <c r="F147" s="71">
        <f t="shared" si="1"/>
        <v>300</v>
      </c>
      <c r="G147" s="72">
        <f t="shared" si="2"/>
        <v>0</v>
      </c>
      <c r="H147" s="73">
        <f t="shared" si="3"/>
        <v>1</v>
      </c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F147" s="1"/>
    </row>
    <row r="148" spans="1:58" s="22" customFormat="1" x14ac:dyDescent="0.25">
      <c r="A148" s="5" t="s">
        <v>20</v>
      </c>
      <c r="B148" s="4">
        <v>46153</v>
      </c>
      <c r="C148" s="2">
        <f t="shared" si="0"/>
        <v>20</v>
      </c>
      <c r="D148" s="3">
        <v>736</v>
      </c>
      <c r="E148" s="70">
        <f>[1]DETAY!$A$2</f>
        <v>0</v>
      </c>
      <c r="F148" s="71">
        <f t="shared" si="1"/>
        <v>700</v>
      </c>
      <c r="G148" s="72">
        <f t="shared" si="2"/>
        <v>36</v>
      </c>
      <c r="H148" s="73">
        <f t="shared" si="3"/>
        <v>0.95108695652173914</v>
      </c>
      <c r="I148" s="2"/>
      <c r="J148" s="2">
        <v>31</v>
      </c>
      <c r="K148" s="2"/>
      <c r="L148" s="2">
        <v>5</v>
      </c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F148" s="1"/>
    </row>
    <row r="149" spans="1:58" s="22" customFormat="1" x14ac:dyDescent="0.25">
      <c r="A149" s="5" t="s">
        <v>19</v>
      </c>
      <c r="B149" s="4">
        <v>46153</v>
      </c>
      <c r="C149" s="2">
        <f t="shared" si="0"/>
        <v>20</v>
      </c>
      <c r="D149" s="3">
        <v>811</v>
      </c>
      <c r="E149" s="70">
        <f>[1]DETAY!$A$2</f>
        <v>0</v>
      </c>
      <c r="F149" s="71">
        <f t="shared" si="1"/>
        <v>782</v>
      </c>
      <c r="G149" s="72">
        <f t="shared" si="2"/>
        <v>29</v>
      </c>
      <c r="H149" s="73">
        <f t="shared" si="3"/>
        <v>0.96424167694204688</v>
      </c>
      <c r="I149" s="2"/>
      <c r="J149" s="2">
        <v>19</v>
      </c>
      <c r="K149" s="2"/>
      <c r="L149" s="2">
        <v>10</v>
      </c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F149" s="1"/>
    </row>
    <row r="150" spans="1:58" s="22" customFormat="1" x14ac:dyDescent="0.25">
      <c r="A150" s="5" t="s">
        <v>16</v>
      </c>
      <c r="B150" s="4">
        <v>46153</v>
      </c>
      <c r="C150" s="2">
        <f t="shared" si="0"/>
        <v>20</v>
      </c>
      <c r="D150" s="3">
        <v>857</v>
      </c>
      <c r="E150" s="70">
        <f>[1]DETAY!$A$2</f>
        <v>0</v>
      </c>
      <c r="F150" s="71">
        <f t="shared" si="1"/>
        <v>840</v>
      </c>
      <c r="G150" s="72">
        <f t="shared" si="2"/>
        <v>17</v>
      </c>
      <c r="H150" s="73">
        <f t="shared" si="3"/>
        <v>0.98016336056009334</v>
      </c>
      <c r="I150" s="2"/>
      <c r="J150" s="2"/>
      <c r="K150" s="2"/>
      <c r="L150" s="2"/>
      <c r="M150" s="2">
        <v>1</v>
      </c>
      <c r="N150" s="2"/>
      <c r="O150" s="2"/>
      <c r="P150" s="2">
        <v>4</v>
      </c>
      <c r="Q150" s="2">
        <v>1</v>
      </c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>
        <v>9</v>
      </c>
      <c r="AG150" s="2"/>
      <c r="AH150" s="2">
        <v>2</v>
      </c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F150" s="1"/>
    </row>
    <row r="151" spans="1:58" s="22" customFormat="1" x14ac:dyDescent="0.25">
      <c r="A151" s="5" t="s">
        <v>11</v>
      </c>
      <c r="B151" s="4">
        <v>46153</v>
      </c>
      <c r="C151" s="2">
        <f t="shared" si="0"/>
        <v>20</v>
      </c>
      <c r="D151" s="3">
        <v>713</v>
      </c>
      <c r="E151" s="70">
        <f>[1]DETAY!$A$2</f>
        <v>0</v>
      </c>
      <c r="F151" s="71">
        <f t="shared" si="1"/>
        <v>700</v>
      </c>
      <c r="G151" s="72">
        <f t="shared" si="2"/>
        <v>13</v>
      </c>
      <c r="H151" s="73">
        <f t="shared" si="3"/>
        <v>0.98176718092566617</v>
      </c>
      <c r="I151" s="2"/>
      <c r="J151" s="2"/>
      <c r="K151" s="2"/>
      <c r="L151" s="2">
        <v>8</v>
      </c>
      <c r="M151" s="2">
        <v>1</v>
      </c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>
        <v>4</v>
      </c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F151" s="1"/>
    </row>
    <row r="152" spans="1:58" s="22" customFormat="1" x14ac:dyDescent="0.25">
      <c r="A152" s="5" t="s">
        <v>10</v>
      </c>
      <c r="B152" s="4">
        <v>46153</v>
      </c>
      <c r="C152" s="2">
        <f t="shared" si="0"/>
        <v>20</v>
      </c>
      <c r="D152" s="3">
        <v>206</v>
      </c>
      <c r="E152" s="70">
        <f>[1]DETAY!$A$2</f>
        <v>0</v>
      </c>
      <c r="F152" s="71">
        <f t="shared" si="1"/>
        <v>206</v>
      </c>
      <c r="G152" s="72">
        <f t="shared" si="2"/>
        <v>0</v>
      </c>
      <c r="H152" s="73">
        <f t="shared" si="3"/>
        <v>1</v>
      </c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F152" s="1"/>
    </row>
    <row r="153" spans="1:58" s="22" customFormat="1" x14ac:dyDescent="0.25">
      <c r="A153" s="5" t="s">
        <v>9</v>
      </c>
      <c r="B153" s="4">
        <v>46153</v>
      </c>
      <c r="C153" s="2">
        <f t="shared" si="0"/>
        <v>20</v>
      </c>
      <c r="D153" s="3">
        <v>349</v>
      </c>
      <c r="E153" s="70">
        <f>[1]DETAY!$A$2</f>
        <v>0</v>
      </c>
      <c r="F153" s="71">
        <f t="shared" si="1"/>
        <v>346</v>
      </c>
      <c r="G153" s="72">
        <f t="shared" si="2"/>
        <v>3</v>
      </c>
      <c r="H153" s="73">
        <f t="shared" si="3"/>
        <v>0.99140401146131807</v>
      </c>
      <c r="I153" s="2"/>
      <c r="J153" s="2"/>
      <c r="K153" s="2"/>
      <c r="L153" s="2"/>
      <c r="M153" s="2">
        <v>2</v>
      </c>
      <c r="N153" s="2"/>
      <c r="O153" s="2"/>
      <c r="P153" s="2"/>
      <c r="Q153" s="2"/>
      <c r="R153" s="2"/>
      <c r="S153" s="2"/>
      <c r="T153" s="2">
        <v>1</v>
      </c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F153" s="1"/>
    </row>
    <row r="154" spans="1:58" s="22" customFormat="1" x14ac:dyDescent="0.25">
      <c r="A154" s="5" t="s">
        <v>0</v>
      </c>
      <c r="B154" s="4">
        <v>46153</v>
      </c>
      <c r="C154" s="2">
        <f t="shared" si="0"/>
        <v>20</v>
      </c>
      <c r="D154" s="3">
        <v>215</v>
      </c>
      <c r="E154" s="70">
        <f>[1]DETAY!$A$2</f>
        <v>0</v>
      </c>
      <c r="F154" s="71">
        <f t="shared" si="1"/>
        <v>210</v>
      </c>
      <c r="G154" s="72">
        <f t="shared" si="2"/>
        <v>5</v>
      </c>
      <c r="H154" s="73">
        <f t="shared" si="3"/>
        <v>0.97674418604651159</v>
      </c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>
        <v>5</v>
      </c>
      <c r="AV154" s="2"/>
      <c r="AW154" s="2"/>
      <c r="AX154" s="2"/>
      <c r="AY154" s="2"/>
      <c r="AZ154" s="2"/>
      <c r="BA154" s="2"/>
      <c r="BB154" s="2"/>
      <c r="BC154" s="2"/>
      <c r="BD154" s="2"/>
      <c r="BF154" s="1"/>
    </row>
    <row r="155" spans="1:58" s="22" customFormat="1" x14ac:dyDescent="0.25">
      <c r="A155" s="74" t="s">
        <v>15</v>
      </c>
      <c r="B155" s="4">
        <v>46153</v>
      </c>
      <c r="C155" s="2">
        <f t="shared" si="0"/>
        <v>20</v>
      </c>
      <c r="D155" s="3">
        <v>480</v>
      </c>
      <c r="E155" s="70">
        <f>[1]DETAY!$A$2</f>
        <v>0</v>
      </c>
      <c r="F155" s="71">
        <f t="shared" si="1"/>
        <v>480</v>
      </c>
      <c r="G155" s="72">
        <f t="shared" si="2"/>
        <v>0</v>
      </c>
      <c r="H155" s="73">
        <f t="shared" si="3"/>
        <v>1</v>
      </c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F155" s="1"/>
    </row>
    <row r="156" spans="1:58" s="22" customFormat="1" x14ac:dyDescent="0.25">
      <c r="A156" s="5" t="s">
        <v>5</v>
      </c>
      <c r="B156" s="4">
        <v>46153</v>
      </c>
      <c r="C156" s="2">
        <f t="shared" si="0"/>
        <v>20</v>
      </c>
      <c r="D156" s="3">
        <v>154</v>
      </c>
      <c r="E156" s="70">
        <f>[1]DETAY!$A$2</f>
        <v>0</v>
      </c>
      <c r="F156" s="71">
        <f t="shared" si="1"/>
        <v>154</v>
      </c>
      <c r="G156" s="72">
        <f t="shared" si="2"/>
        <v>0</v>
      </c>
      <c r="H156" s="73">
        <f t="shared" si="3"/>
        <v>1</v>
      </c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F156" s="1"/>
    </row>
    <row r="157" spans="1:58" s="22" customFormat="1" x14ac:dyDescent="0.25">
      <c r="A157" s="74" t="s">
        <v>4</v>
      </c>
      <c r="B157" s="4">
        <v>46153</v>
      </c>
      <c r="C157" s="2">
        <f t="shared" si="0"/>
        <v>20</v>
      </c>
      <c r="D157" s="3">
        <v>77</v>
      </c>
      <c r="E157" s="70">
        <f>[1]DETAY!$A$2</f>
        <v>0</v>
      </c>
      <c r="F157" s="71">
        <f t="shared" si="1"/>
        <v>77</v>
      </c>
      <c r="G157" s="72">
        <f t="shared" si="2"/>
        <v>0</v>
      </c>
      <c r="H157" s="73">
        <f t="shared" si="3"/>
        <v>1</v>
      </c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F157" s="1"/>
    </row>
    <row r="158" spans="1:58" s="22" customFormat="1" x14ac:dyDescent="0.25">
      <c r="A158" s="5" t="s">
        <v>15</v>
      </c>
      <c r="B158" s="4">
        <v>46153</v>
      </c>
      <c r="C158" s="2">
        <f t="shared" si="0"/>
        <v>20</v>
      </c>
      <c r="D158" s="3">
        <v>880</v>
      </c>
      <c r="E158" s="70">
        <f>[1]DETAY!$A$2</f>
        <v>0</v>
      </c>
      <c r="F158" s="71">
        <f t="shared" si="1"/>
        <v>880</v>
      </c>
      <c r="G158" s="72">
        <f t="shared" si="2"/>
        <v>0</v>
      </c>
      <c r="H158" s="73">
        <f t="shared" si="3"/>
        <v>1</v>
      </c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F158" s="1"/>
    </row>
    <row r="159" spans="1:58" s="22" customFormat="1" x14ac:dyDescent="0.25">
      <c r="A159" s="74" t="s">
        <v>13</v>
      </c>
      <c r="B159" s="4">
        <v>46153</v>
      </c>
      <c r="C159" s="2">
        <f t="shared" si="0"/>
        <v>20</v>
      </c>
      <c r="D159" s="3">
        <v>220</v>
      </c>
      <c r="E159" s="70">
        <f>[1]DETAY!$A$2</f>
        <v>0</v>
      </c>
      <c r="F159" s="71">
        <f t="shared" si="1"/>
        <v>220</v>
      </c>
      <c r="G159" s="72">
        <f t="shared" si="2"/>
        <v>0</v>
      </c>
      <c r="H159" s="73">
        <f t="shared" si="3"/>
        <v>1</v>
      </c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F159" s="1"/>
    </row>
    <row r="160" spans="1:58" s="22" customFormat="1" x14ac:dyDescent="0.25">
      <c r="A160" s="5" t="s">
        <v>12</v>
      </c>
      <c r="B160" s="4">
        <v>46153</v>
      </c>
      <c r="C160" s="2">
        <f t="shared" si="0"/>
        <v>20</v>
      </c>
      <c r="D160" s="3">
        <v>880</v>
      </c>
      <c r="E160" s="70">
        <f>[1]DETAY!$A$2</f>
        <v>0</v>
      </c>
      <c r="F160" s="71">
        <f t="shared" si="1"/>
        <v>880</v>
      </c>
      <c r="G160" s="72">
        <f t="shared" si="2"/>
        <v>0</v>
      </c>
      <c r="H160" s="73">
        <f t="shared" si="3"/>
        <v>1</v>
      </c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F160" s="1"/>
    </row>
    <row r="161" spans="1:58" s="22" customFormat="1" x14ac:dyDescent="0.25">
      <c r="A161" s="74" t="s">
        <v>4</v>
      </c>
      <c r="B161" s="4">
        <v>46153</v>
      </c>
      <c r="C161" s="2">
        <f t="shared" si="0"/>
        <v>20</v>
      </c>
      <c r="D161" s="3">
        <v>78</v>
      </c>
      <c r="E161" s="70">
        <f>[1]DETAY!$A$2</f>
        <v>0</v>
      </c>
      <c r="F161" s="71">
        <f t="shared" si="1"/>
        <v>77</v>
      </c>
      <c r="G161" s="72">
        <f t="shared" si="2"/>
        <v>1</v>
      </c>
      <c r="H161" s="73">
        <f t="shared" si="3"/>
        <v>0.98717948717948723</v>
      </c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>
        <v>1</v>
      </c>
      <c r="AZ161" s="2"/>
      <c r="BA161" s="2"/>
      <c r="BB161" s="2"/>
      <c r="BC161" s="2"/>
      <c r="BD161" s="2"/>
      <c r="BF161" s="1"/>
    </row>
    <row r="162" spans="1:58" s="22" customFormat="1" x14ac:dyDescent="0.25">
      <c r="A162" s="5" t="s">
        <v>1</v>
      </c>
      <c r="B162" s="4">
        <v>46153</v>
      </c>
      <c r="C162" s="2">
        <f t="shared" si="0"/>
        <v>20</v>
      </c>
      <c r="D162" s="3">
        <v>335</v>
      </c>
      <c r="E162" s="70">
        <f>[1]DETAY!$A$2</f>
        <v>0</v>
      </c>
      <c r="F162" s="71">
        <f t="shared" si="1"/>
        <v>315</v>
      </c>
      <c r="G162" s="72">
        <f t="shared" si="2"/>
        <v>20</v>
      </c>
      <c r="H162" s="73">
        <f t="shared" si="3"/>
        <v>0.94029850746268662</v>
      </c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>
        <v>20</v>
      </c>
      <c r="AV162" s="2"/>
      <c r="AW162" s="2"/>
      <c r="AX162" s="2"/>
      <c r="AY162" s="2"/>
      <c r="AZ162" s="2"/>
      <c r="BA162" s="2"/>
      <c r="BB162" s="2"/>
      <c r="BC162" s="2"/>
      <c r="BD162" s="2"/>
      <c r="BF162" s="1"/>
    </row>
    <row r="163" spans="1:58" s="22" customFormat="1" x14ac:dyDescent="0.25">
      <c r="A163" s="5">
        <v>56</v>
      </c>
      <c r="B163" s="4">
        <v>46153</v>
      </c>
      <c r="C163" s="2">
        <f t="shared" si="0"/>
        <v>20</v>
      </c>
      <c r="D163" s="3">
        <v>60</v>
      </c>
      <c r="E163" s="70">
        <f>[1]DETAY!$A$2</f>
        <v>0</v>
      </c>
      <c r="F163" s="71">
        <f t="shared" si="1"/>
        <v>39</v>
      </c>
      <c r="G163" s="72">
        <f t="shared" si="2"/>
        <v>21</v>
      </c>
      <c r="H163" s="73">
        <f t="shared" si="3"/>
        <v>0.65</v>
      </c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>
        <v>21</v>
      </c>
      <c r="AV163" s="2"/>
      <c r="AW163" s="2"/>
      <c r="AX163" s="2"/>
      <c r="AY163" s="2"/>
      <c r="AZ163" s="2"/>
      <c r="BA163" s="2"/>
      <c r="BB163" s="2"/>
      <c r="BC163" s="2"/>
      <c r="BD163" s="2"/>
      <c r="BF163" s="1"/>
    </row>
    <row r="164" spans="1:58" s="22" customFormat="1" x14ac:dyDescent="0.25">
      <c r="A164" s="5" t="s">
        <v>84</v>
      </c>
      <c r="B164" s="4">
        <v>46154</v>
      </c>
      <c r="C164" s="2">
        <f t="shared" si="0"/>
        <v>20</v>
      </c>
      <c r="D164" s="3">
        <v>1207</v>
      </c>
      <c r="E164" s="70">
        <f>[1]DETAY!$A$2</f>
        <v>0</v>
      </c>
      <c r="F164" s="71">
        <f t="shared" si="1"/>
        <v>1200</v>
      </c>
      <c r="G164" s="72">
        <f t="shared" si="2"/>
        <v>7</v>
      </c>
      <c r="H164" s="73">
        <f t="shared" si="3"/>
        <v>0.9942004971002486</v>
      </c>
      <c r="I164" s="2"/>
      <c r="J164" s="2"/>
      <c r="K164" s="2"/>
      <c r="L164" s="2">
        <v>7</v>
      </c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F164" s="1"/>
    </row>
    <row r="165" spans="1:58" s="22" customFormat="1" x14ac:dyDescent="0.25">
      <c r="A165" s="5" t="s">
        <v>82</v>
      </c>
      <c r="B165" s="4">
        <v>46154</v>
      </c>
      <c r="C165" s="2">
        <f t="shared" si="0"/>
        <v>20</v>
      </c>
      <c r="D165" s="3">
        <v>300</v>
      </c>
      <c r="E165" s="70">
        <f>[1]DETAY!$A$2</f>
        <v>0</v>
      </c>
      <c r="F165" s="71">
        <f t="shared" si="1"/>
        <v>300</v>
      </c>
      <c r="G165" s="72">
        <f t="shared" si="2"/>
        <v>0</v>
      </c>
      <c r="H165" s="73">
        <f t="shared" si="3"/>
        <v>1</v>
      </c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F165" s="1"/>
    </row>
    <row r="166" spans="1:58" s="22" customFormat="1" x14ac:dyDescent="0.25">
      <c r="A166" s="5" t="s">
        <v>20</v>
      </c>
      <c r="B166" s="4">
        <v>46154</v>
      </c>
      <c r="C166" s="2">
        <f t="shared" si="0"/>
        <v>20</v>
      </c>
      <c r="D166" s="3">
        <v>702</v>
      </c>
      <c r="E166" s="70">
        <f>[1]DETAY!$A$2</f>
        <v>0</v>
      </c>
      <c r="F166" s="71">
        <f t="shared" si="1"/>
        <v>700</v>
      </c>
      <c r="G166" s="72">
        <f t="shared" si="2"/>
        <v>2</v>
      </c>
      <c r="H166" s="73">
        <f t="shared" si="3"/>
        <v>0.9971509971509972</v>
      </c>
      <c r="I166" s="2"/>
      <c r="J166" s="2">
        <v>2</v>
      </c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F166" s="1"/>
    </row>
    <row r="167" spans="1:58" s="22" customFormat="1" x14ac:dyDescent="0.25">
      <c r="A167" s="5" t="s">
        <v>19</v>
      </c>
      <c r="B167" s="4">
        <v>46154</v>
      </c>
      <c r="C167" s="2">
        <f t="shared" si="0"/>
        <v>20</v>
      </c>
      <c r="D167" s="3">
        <v>1078</v>
      </c>
      <c r="E167" s="70">
        <f>[1]DETAY!$A$2</f>
        <v>0</v>
      </c>
      <c r="F167" s="71">
        <f t="shared" si="1"/>
        <v>1050</v>
      </c>
      <c r="G167" s="72">
        <f t="shared" si="2"/>
        <v>28</v>
      </c>
      <c r="H167" s="73">
        <f t="shared" si="3"/>
        <v>0.97402597402597402</v>
      </c>
      <c r="I167" s="2"/>
      <c r="J167" s="2">
        <v>28</v>
      </c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F167" s="1"/>
    </row>
    <row r="168" spans="1:58" s="22" customFormat="1" x14ac:dyDescent="0.25">
      <c r="A168" s="5" t="s">
        <v>16</v>
      </c>
      <c r="B168" s="4">
        <v>46154</v>
      </c>
      <c r="C168" s="2">
        <f t="shared" si="0"/>
        <v>20</v>
      </c>
      <c r="D168" s="3">
        <v>1868</v>
      </c>
      <c r="E168" s="70">
        <f>[1]DETAY!$A$2</f>
        <v>0</v>
      </c>
      <c r="F168" s="71">
        <f t="shared" si="1"/>
        <v>1820</v>
      </c>
      <c r="G168" s="72">
        <f t="shared" si="2"/>
        <v>48</v>
      </c>
      <c r="H168" s="73">
        <f t="shared" si="3"/>
        <v>0.97430406852248397</v>
      </c>
      <c r="I168" s="2"/>
      <c r="J168" s="2"/>
      <c r="K168" s="2"/>
      <c r="L168" s="2"/>
      <c r="M168" s="2">
        <v>26</v>
      </c>
      <c r="N168" s="2"/>
      <c r="O168" s="2"/>
      <c r="P168" s="2">
        <v>13</v>
      </c>
      <c r="Q168" s="2">
        <v>1</v>
      </c>
      <c r="R168" s="2"/>
      <c r="S168" s="2"/>
      <c r="T168" s="2">
        <v>1</v>
      </c>
      <c r="U168" s="2"/>
      <c r="V168" s="2"/>
      <c r="W168" s="2">
        <v>1</v>
      </c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>
        <v>6</v>
      </c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F168" s="1"/>
    </row>
    <row r="169" spans="1:58" s="22" customFormat="1" x14ac:dyDescent="0.25">
      <c r="A169" s="5" t="s">
        <v>10</v>
      </c>
      <c r="B169" s="4">
        <v>46154</v>
      </c>
      <c r="C169" s="2">
        <f t="shared" si="0"/>
        <v>20</v>
      </c>
      <c r="D169" s="3">
        <v>724</v>
      </c>
      <c r="E169" s="70">
        <f>[1]DETAY!$A$2</f>
        <v>0</v>
      </c>
      <c r="F169" s="71">
        <f t="shared" si="1"/>
        <v>720</v>
      </c>
      <c r="G169" s="72">
        <f t="shared" si="2"/>
        <v>4</v>
      </c>
      <c r="H169" s="73">
        <f t="shared" si="3"/>
        <v>0.99447513812154698</v>
      </c>
      <c r="I169" s="2"/>
      <c r="J169" s="2"/>
      <c r="K169" s="2"/>
      <c r="L169" s="2"/>
      <c r="M169" s="2">
        <v>3</v>
      </c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>
        <v>1</v>
      </c>
      <c r="BA169" s="2"/>
      <c r="BB169" s="2"/>
      <c r="BC169" s="2"/>
      <c r="BD169" s="2"/>
      <c r="BF169" s="1"/>
    </row>
    <row r="170" spans="1:58" s="22" customFormat="1" x14ac:dyDescent="0.25">
      <c r="A170" s="5" t="s">
        <v>9</v>
      </c>
      <c r="B170" s="4">
        <v>46154</v>
      </c>
      <c r="C170" s="2">
        <f t="shared" si="0"/>
        <v>20</v>
      </c>
      <c r="D170" s="3">
        <v>743</v>
      </c>
      <c r="E170" s="70">
        <f>[1]DETAY!$A$2</f>
        <v>0</v>
      </c>
      <c r="F170" s="71">
        <f t="shared" si="1"/>
        <v>720</v>
      </c>
      <c r="G170" s="72">
        <f t="shared" si="2"/>
        <v>23</v>
      </c>
      <c r="H170" s="73">
        <f t="shared" si="3"/>
        <v>0.96904441453566625</v>
      </c>
      <c r="I170" s="2"/>
      <c r="J170" s="2"/>
      <c r="K170" s="2"/>
      <c r="L170" s="2"/>
      <c r="M170" s="2">
        <v>14</v>
      </c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>
        <v>8</v>
      </c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>
        <v>1</v>
      </c>
      <c r="BA170" s="2"/>
      <c r="BB170" s="2"/>
      <c r="BC170" s="2"/>
      <c r="BD170" s="2"/>
      <c r="BF170" s="1"/>
    </row>
    <row r="171" spans="1:58" s="22" customFormat="1" x14ac:dyDescent="0.25">
      <c r="A171" s="5" t="s">
        <v>1</v>
      </c>
      <c r="B171" s="4">
        <v>46154</v>
      </c>
      <c r="C171" s="2">
        <f t="shared" si="0"/>
        <v>20</v>
      </c>
      <c r="D171" s="3">
        <v>219</v>
      </c>
      <c r="E171" s="70">
        <f>[1]DETAY!$A$2</f>
        <v>0</v>
      </c>
      <c r="F171" s="71">
        <f t="shared" si="1"/>
        <v>69</v>
      </c>
      <c r="G171" s="72">
        <f t="shared" si="2"/>
        <v>150</v>
      </c>
      <c r="H171" s="73">
        <f t="shared" si="3"/>
        <v>0.31506849315068491</v>
      </c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>
        <v>150</v>
      </c>
      <c r="AV171" s="2"/>
      <c r="AW171" s="2"/>
      <c r="AX171" s="2"/>
      <c r="AY171" s="2"/>
      <c r="AZ171" s="2"/>
      <c r="BA171" s="2"/>
      <c r="BB171" s="2"/>
      <c r="BC171" s="2"/>
      <c r="BD171" s="2"/>
      <c r="BF171" s="1"/>
    </row>
    <row r="172" spans="1:58" s="22" customFormat="1" x14ac:dyDescent="0.25">
      <c r="A172" s="5" t="s">
        <v>0</v>
      </c>
      <c r="B172" s="4">
        <v>46154</v>
      </c>
      <c r="C172" s="2">
        <f t="shared" si="0"/>
        <v>20</v>
      </c>
      <c r="D172" s="3">
        <v>125</v>
      </c>
      <c r="E172" s="70">
        <f>[1]DETAY!$A$2</f>
        <v>0</v>
      </c>
      <c r="F172" s="71">
        <f t="shared" si="1"/>
        <v>120</v>
      </c>
      <c r="G172" s="72">
        <f t="shared" si="2"/>
        <v>5</v>
      </c>
      <c r="H172" s="73">
        <f t="shared" si="3"/>
        <v>0.96</v>
      </c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>
        <v>5</v>
      </c>
      <c r="AV172" s="2"/>
      <c r="AW172" s="2"/>
      <c r="AX172" s="2"/>
      <c r="AY172" s="2"/>
      <c r="AZ172" s="2"/>
      <c r="BA172" s="2"/>
      <c r="BB172" s="2"/>
      <c r="BC172" s="2"/>
      <c r="BD172" s="2"/>
      <c r="BF172" s="1"/>
    </row>
    <row r="173" spans="1:58" s="22" customFormat="1" x14ac:dyDescent="0.25">
      <c r="A173" s="5" t="s">
        <v>15</v>
      </c>
      <c r="B173" s="4">
        <v>46154</v>
      </c>
      <c r="C173" s="2">
        <f t="shared" si="0"/>
        <v>20</v>
      </c>
      <c r="D173" s="3">
        <v>1760</v>
      </c>
      <c r="E173" s="70">
        <f>[1]DETAY!$A$2</f>
        <v>0</v>
      </c>
      <c r="F173" s="71">
        <f t="shared" si="1"/>
        <v>1760</v>
      </c>
      <c r="G173" s="72">
        <f t="shared" si="2"/>
        <v>0</v>
      </c>
      <c r="H173" s="73">
        <f t="shared" si="3"/>
        <v>1</v>
      </c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F173" s="1"/>
    </row>
    <row r="174" spans="1:58" s="22" customFormat="1" x14ac:dyDescent="0.25">
      <c r="A174" s="74" t="s">
        <v>4</v>
      </c>
      <c r="B174" s="4">
        <v>46154</v>
      </c>
      <c r="C174" s="2">
        <f t="shared" si="0"/>
        <v>20</v>
      </c>
      <c r="D174" s="3">
        <v>231</v>
      </c>
      <c r="E174" s="70">
        <f>[1]DETAY!$A$2</f>
        <v>0</v>
      </c>
      <c r="F174" s="71">
        <f t="shared" si="1"/>
        <v>231</v>
      </c>
      <c r="G174" s="72">
        <f t="shared" si="2"/>
        <v>0</v>
      </c>
      <c r="H174" s="73">
        <f t="shared" si="3"/>
        <v>1</v>
      </c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F174" s="1"/>
    </row>
    <row r="175" spans="1:58" s="22" customFormat="1" x14ac:dyDescent="0.25">
      <c r="A175" s="74" t="s">
        <v>6</v>
      </c>
      <c r="B175" s="4">
        <v>46154</v>
      </c>
      <c r="C175" s="2">
        <f t="shared" si="0"/>
        <v>20</v>
      </c>
      <c r="D175" s="3">
        <v>231</v>
      </c>
      <c r="E175" s="70">
        <f>[1]DETAY!$A$2</f>
        <v>0</v>
      </c>
      <c r="F175" s="71">
        <f t="shared" si="1"/>
        <v>231</v>
      </c>
      <c r="G175" s="72">
        <f t="shared" si="2"/>
        <v>0</v>
      </c>
      <c r="H175" s="73">
        <f t="shared" si="3"/>
        <v>1</v>
      </c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F175" s="1"/>
    </row>
    <row r="176" spans="1:58" s="22" customFormat="1" x14ac:dyDescent="0.25">
      <c r="A176" s="74" t="s">
        <v>13</v>
      </c>
      <c r="B176" s="4">
        <v>46154</v>
      </c>
      <c r="C176" s="2">
        <f t="shared" si="0"/>
        <v>20</v>
      </c>
      <c r="D176" s="3">
        <v>2040</v>
      </c>
      <c r="E176" s="70">
        <f>[1]DETAY!$A$2</f>
        <v>0</v>
      </c>
      <c r="F176" s="71">
        <f t="shared" si="1"/>
        <v>2040</v>
      </c>
      <c r="G176" s="72">
        <f t="shared" si="2"/>
        <v>0</v>
      </c>
      <c r="H176" s="73">
        <f t="shared" si="3"/>
        <v>1</v>
      </c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F176" s="1"/>
    </row>
    <row r="177" spans="1:58" s="22" customFormat="1" x14ac:dyDescent="0.25">
      <c r="A177" s="74" t="s">
        <v>5</v>
      </c>
      <c r="B177" s="4">
        <v>46154</v>
      </c>
      <c r="C177" s="2">
        <f t="shared" si="0"/>
        <v>20</v>
      </c>
      <c r="D177" s="3">
        <v>1078</v>
      </c>
      <c r="E177" s="70">
        <f>[1]DETAY!$A$2</f>
        <v>0</v>
      </c>
      <c r="F177" s="71">
        <f t="shared" si="1"/>
        <v>1077</v>
      </c>
      <c r="G177" s="72">
        <f t="shared" si="2"/>
        <v>1</v>
      </c>
      <c r="H177" s="73">
        <f t="shared" si="3"/>
        <v>0.9990723562152134</v>
      </c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>
        <v>1</v>
      </c>
      <c r="AZ177" s="2"/>
      <c r="BA177" s="2"/>
      <c r="BB177" s="2"/>
      <c r="BC177" s="2"/>
      <c r="BD177" s="2"/>
      <c r="BF177" s="1"/>
    </row>
    <row r="178" spans="1:58" s="22" customFormat="1" x14ac:dyDescent="0.25">
      <c r="A178" s="74" t="s">
        <v>4</v>
      </c>
      <c r="B178" s="4">
        <v>46154</v>
      </c>
      <c r="C178" s="2">
        <f t="shared" si="0"/>
        <v>20</v>
      </c>
      <c r="D178" s="3">
        <v>616</v>
      </c>
      <c r="E178" s="70">
        <f>[1]DETAY!$A$2</f>
        <v>0</v>
      </c>
      <c r="F178" s="71">
        <f t="shared" si="1"/>
        <v>616</v>
      </c>
      <c r="G178" s="72">
        <f t="shared" si="2"/>
        <v>0</v>
      </c>
      <c r="H178" s="73">
        <f t="shared" si="3"/>
        <v>1</v>
      </c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F178" s="1"/>
    </row>
    <row r="179" spans="1:58" s="22" customFormat="1" x14ac:dyDescent="0.25">
      <c r="A179" s="74" t="s">
        <v>6</v>
      </c>
      <c r="B179" s="4">
        <v>46154</v>
      </c>
      <c r="C179" s="2">
        <f t="shared" si="0"/>
        <v>20</v>
      </c>
      <c r="D179" s="3">
        <v>231</v>
      </c>
      <c r="E179" s="70">
        <f>[1]DETAY!$A$2</f>
        <v>0</v>
      </c>
      <c r="F179" s="71">
        <f t="shared" si="1"/>
        <v>231</v>
      </c>
      <c r="G179" s="72">
        <f t="shared" si="2"/>
        <v>0</v>
      </c>
      <c r="H179" s="73">
        <f t="shared" si="3"/>
        <v>1</v>
      </c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F179" s="1"/>
    </row>
    <row r="180" spans="1:58" s="22" customFormat="1" x14ac:dyDescent="0.25">
      <c r="A180" s="5" t="s">
        <v>85</v>
      </c>
      <c r="B180" s="4">
        <v>46154</v>
      </c>
      <c r="C180" s="2">
        <f t="shared" si="0"/>
        <v>20</v>
      </c>
      <c r="D180" s="3">
        <v>170</v>
      </c>
      <c r="E180" s="70">
        <f>[1]DETAY!$A$2</f>
        <v>0</v>
      </c>
      <c r="F180" s="71">
        <f t="shared" si="1"/>
        <v>170</v>
      </c>
      <c r="G180" s="72">
        <f t="shared" si="2"/>
        <v>0</v>
      </c>
      <c r="H180" s="73">
        <f t="shared" si="3"/>
        <v>1</v>
      </c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F180" s="1"/>
    </row>
    <row r="181" spans="1:58" s="22" customFormat="1" x14ac:dyDescent="0.25">
      <c r="A181" s="5" t="s">
        <v>84</v>
      </c>
      <c r="B181" s="4">
        <v>46154</v>
      </c>
      <c r="C181" s="2">
        <f t="shared" si="0"/>
        <v>20</v>
      </c>
      <c r="D181" s="3">
        <v>309</v>
      </c>
      <c r="E181" s="70">
        <f>[1]DETAY!$A$2</f>
        <v>0</v>
      </c>
      <c r="F181" s="71">
        <f t="shared" si="1"/>
        <v>300</v>
      </c>
      <c r="G181" s="72">
        <f t="shared" si="2"/>
        <v>9</v>
      </c>
      <c r="H181" s="73">
        <f t="shared" si="3"/>
        <v>0.970873786407767</v>
      </c>
      <c r="I181" s="2"/>
      <c r="J181" s="2"/>
      <c r="K181" s="2"/>
      <c r="L181" s="2">
        <v>9</v>
      </c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F181" s="1"/>
    </row>
    <row r="182" spans="1:58" s="22" customFormat="1" x14ac:dyDescent="0.25">
      <c r="A182" s="5" t="s">
        <v>82</v>
      </c>
      <c r="B182" s="4">
        <v>46154</v>
      </c>
      <c r="C182" s="2">
        <f t="shared" si="0"/>
        <v>20</v>
      </c>
      <c r="D182" s="3">
        <v>1132</v>
      </c>
      <c r="E182" s="70">
        <f>[1]DETAY!$A$2</f>
        <v>0</v>
      </c>
      <c r="F182" s="71">
        <f t="shared" si="1"/>
        <v>1100</v>
      </c>
      <c r="G182" s="72">
        <f t="shared" si="2"/>
        <v>32</v>
      </c>
      <c r="H182" s="73">
        <f t="shared" si="3"/>
        <v>0.9717314487632509</v>
      </c>
      <c r="I182" s="2"/>
      <c r="J182" s="2"/>
      <c r="K182" s="2"/>
      <c r="L182" s="2">
        <v>32</v>
      </c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F182" s="1"/>
    </row>
    <row r="183" spans="1:58" s="22" customFormat="1" x14ac:dyDescent="0.25">
      <c r="A183" s="5" t="s">
        <v>18</v>
      </c>
      <c r="B183" s="4">
        <v>46154</v>
      </c>
      <c r="C183" s="2">
        <f t="shared" si="0"/>
        <v>20</v>
      </c>
      <c r="D183" s="3">
        <v>950</v>
      </c>
      <c r="E183" s="70">
        <f>[1]DETAY!$A$2</f>
        <v>0</v>
      </c>
      <c r="F183" s="71">
        <f t="shared" si="1"/>
        <v>700</v>
      </c>
      <c r="G183" s="72">
        <f t="shared" si="2"/>
        <v>250</v>
      </c>
      <c r="H183" s="73">
        <f t="shared" si="3"/>
        <v>0.73684210526315785</v>
      </c>
      <c r="I183" s="2"/>
      <c r="J183" s="2">
        <v>250</v>
      </c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F183" s="1"/>
    </row>
    <row r="184" spans="1:58" s="22" customFormat="1" x14ac:dyDescent="0.25">
      <c r="A184" s="5" t="s">
        <v>17</v>
      </c>
      <c r="B184" s="4">
        <v>46154</v>
      </c>
      <c r="C184" s="2">
        <f t="shared" si="0"/>
        <v>20</v>
      </c>
      <c r="D184" s="3">
        <v>2250</v>
      </c>
      <c r="E184" s="70">
        <f>[1]DETAY!$A$2</f>
        <v>0</v>
      </c>
      <c r="F184" s="71">
        <f t="shared" si="1"/>
        <v>2100</v>
      </c>
      <c r="G184" s="72">
        <f t="shared" si="2"/>
        <v>150</v>
      </c>
      <c r="H184" s="73">
        <f t="shared" si="3"/>
        <v>0.93333333333333335</v>
      </c>
      <c r="I184" s="2"/>
      <c r="J184" s="2">
        <v>131</v>
      </c>
      <c r="K184" s="2"/>
      <c r="L184" s="2">
        <v>19</v>
      </c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F184" s="1"/>
    </row>
    <row r="185" spans="1:58" s="22" customFormat="1" x14ac:dyDescent="0.25">
      <c r="A185" s="5" t="s">
        <v>16</v>
      </c>
      <c r="B185" s="4">
        <v>46154</v>
      </c>
      <c r="C185" s="2">
        <f t="shared" si="0"/>
        <v>20</v>
      </c>
      <c r="D185" s="3">
        <v>1863</v>
      </c>
      <c r="E185" s="70">
        <f>[1]DETAY!$A$2</f>
        <v>0</v>
      </c>
      <c r="F185" s="71">
        <f t="shared" si="1"/>
        <v>1610</v>
      </c>
      <c r="G185" s="72">
        <f t="shared" si="2"/>
        <v>253</v>
      </c>
      <c r="H185" s="73">
        <f t="shared" si="3"/>
        <v>0.86419753086419748</v>
      </c>
      <c r="I185" s="2"/>
      <c r="J185" s="2"/>
      <c r="K185" s="2">
        <v>1</v>
      </c>
      <c r="L185" s="2">
        <v>4</v>
      </c>
      <c r="M185" s="2"/>
      <c r="N185" s="2"/>
      <c r="O185" s="2">
        <v>225</v>
      </c>
      <c r="P185" s="2">
        <v>3</v>
      </c>
      <c r="Q185" s="2">
        <v>2</v>
      </c>
      <c r="R185" s="2"/>
      <c r="S185" s="2"/>
      <c r="T185" s="2">
        <v>1</v>
      </c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>
        <v>3</v>
      </c>
      <c r="AG185" s="2"/>
      <c r="AH185" s="2">
        <v>8</v>
      </c>
      <c r="AI185" s="2"/>
      <c r="AJ185" s="2">
        <v>6</v>
      </c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F185" s="1"/>
    </row>
    <row r="186" spans="1:58" s="22" customFormat="1" x14ac:dyDescent="0.25">
      <c r="A186" s="5" t="s">
        <v>10</v>
      </c>
      <c r="B186" s="4">
        <v>46154</v>
      </c>
      <c r="C186" s="2">
        <f t="shared" si="0"/>
        <v>20</v>
      </c>
      <c r="D186" s="3">
        <v>673</v>
      </c>
      <c r="E186" s="70">
        <f>[1]DETAY!$A$2</f>
        <v>0</v>
      </c>
      <c r="F186" s="71">
        <f t="shared" si="1"/>
        <v>660</v>
      </c>
      <c r="G186" s="72">
        <f t="shared" si="2"/>
        <v>13</v>
      </c>
      <c r="H186" s="73">
        <f t="shared" si="3"/>
        <v>0.98068350668647841</v>
      </c>
      <c r="I186" s="2"/>
      <c r="J186" s="2"/>
      <c r="K186" s="2"/>
      <c r="L186" s="2"/>
      <c r="M186" s="2">
        <v>6</v>
      </c>
      <c r="N186" s="2"/>
      <c r="O186" s="2"/>
      <c r="P186" s="2"/>
      <c r="Q186" s="2"/>
      <c r="R186" s="2"/>
      <c r="S186" s="2"/>
      <c r="T186" s="2">
        <v>5</v>
      </c>
      <c r="U186" s="2"/>
      <c r="V186" s="2"/>
      <c r="W186" s="2"/>
      <c r="X186" s="2"/>
      <c r="Y186" s="2"/>
      <c r="Z186" s="2">
        <v>1</v>
      </c>
      <c r="AA186" s="2">
        <v>1</v>
      </c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F186" s="1"/>
    </row>
    <row r="187" spans="1:58" s="22" customFormat="1" x14ac:dyDescent="0.25">
      <c r="A187" s="5" t="s">
        <v>9</v>
      </c>
      <c r="B187" s="4">
        <v>46154</v>
      </c>
      <c r="C187" s="2">
        <f t="shared" si="0"/>
        <v>20</v>
      </c>
      <c r="D187" s="3">
        <v>547</v>
      </c>
      <c r="E187" s="70">
        <f>[1]DETAY!$A$2</f>
        <v>0</v>
      </c>
      <c r="F187" s="71">
        <f t="shared" si="1"/>
        <v>540</v>
      </c>
      <c r="G187" s="72">
        <f t="shared" si="2"/>
        <v>7</v>
      </c>
      <c r="H187" s="73">
        <f t="shared" si="3"/>
        <v>0.98720292504570384</v>
      </c>
      <c r="I187" s="2"/>
      <c r="J187" s="2"/>
      <c r="K187" s="2"/>
      <c r="L187" s="2"/>
      <c r="M187" s="2">
        <v>4</v>
      </c>
      <c r="N187" s="2"/>
      <c r="O187" s="2"/>
      <c r="P187" s="2"/>
      <c r="Q187" s="2"/>
      <c r="R187" s="2"/>
      <c r="S187" s="2"/>
      <c r="T187" s="2">
        <v>1</v>
      </c>
      <c r="U187" s="2"/>
      <c r="V187" s="2"/>
      <c r="W187" s="2"/>
      <c r="X187" s="2"/>
      <c r="Y187" s="2"/>
      <c r="Z187" s="2">
        <v>2</v>
      </c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F187" s="1"/>
    </row>
    <row r="188" spans="1:58" s="22" customFormat="1" x14ac:dyDescent="0.25">
      <c r="A188" s="5" t="s">
        <v>0</v>
      </c>
      <c r="B188" s="4">
        <v>46154</v>
      </c>
      <c r="C188" s="2">
        <f t="shared" si="0"/>
        <v>20</v>
      </c>
      <c r="D188" s="3">
        <v>646</v>
      </c>
      <c r="E188" s="70">
        <f>[1]DETAY!$A$2</f>
        <v>0</v>
      </c>
      <c r="F188" s="71">
        <f t="shared" si="1"/>
        <v>515</v>
      </c>
      <c r="G188" s="72">
        <f t="shared" si="2"/>
        <v>131</v>
      </c>
      <c r="H188" s="73">
        <f t="shared" si="3"/>
        <v>0.79721362229102166</v>
      </c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>
        <v>131</v>
      </c>
      <c r="AV188" s="2"/>
      <c r="AW188" s="2"/>
      <c r="AX188" s="2"/>
      <c r="AY188" s="2"/>
      <c r="AZ188" s="2"/>
      <c r="BA188" s="2"/>
      <c r="BB188" s="2"/>
      <c r="BC188" s="2"/>
      <c r="BD188" s="2"/>
      <c r="BF188" s="1"/>
    </row>
    <row r="189" spans="1:58" s="22" customFormat="1" x14ac:dyDescent="0.25">
      <c r="A189" s="74" t="s">
        <v>13</v>
      </c>
      <c r="B189" s="4">
        <v>46155</v>
      </c>
      <c r="C189" s="2">
        <f t="shared" si="0"/>
        <v>20</v>
      </c>
      <c r="D189" s="3">
        <v>1080</v>
      </c>
      <c r="E189" s="70">
        <f>[1]DETAY!$A$2</f>
        <v>0</v>
      </c>
      <c r="F189" s="71">
        <f t="shared" si="1"/>
        <v>960</v>
      </c>
      <c r="G189" s="72">
        <f t="shared" si="2"/>
        <v>120</v>
      </c>
      <c r="H189" s="73">
        <f t="shared" si="3"/>
        <v>0.88888888888888884</v>
      </c>
      <c r="I189" s="2"/>
      <c r="J189" s="2"/>
      <c r="K189" s="2"/>
      <c r="L189" s="2"/>
      <c r="M189" s="2"/>
      <c r="N189" s="2"/>
      <c r="O189" s="2">
        <v>120</v>
      </c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F189" s="1"/>
    </row>
    <row r="190" spans="1:58" s="22" customFormat="1" x14ac:dyDescent="0.25">
      <c r="A190" s="5" t="s">
        <v>12</v>
      </c>
      <c r="B190" s="4">
        <v>46155</v>
      </c>
      <c r="C190" s="2">
        <f t="shared" si="0"/>
        <v>20</v>
      </c>
      <c r="D190" s="3">
        <v>440</v>
      </c>
      <c r="E190" s="70">
        <f>[1]DETAY!$A$2</f>
        <v>0</v>
      </c>
      <c r="F190" s="71">
        <f t="shared" si="1"/>
        <v>440</v>
      </c>
      <c r="G190" s="72">
        <f t="shared" si="2"/>
        <v>0</v>
      </c>
      <c r="H190" s="73">
        <f t="shared" si="3"/>
        <v>1</v>
      </c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F190" s="1"/>
    </row>
    <row r="191" spans="1:58" s="22" customFormat="1" x14ac:dyDescent="0.25">
      <c r="A191" s="74" t="s">
        <v>4</v>
      </c>
      <c r="B191" s="4">
        <v>46155</v>
      </c>
      <c r="C191" s="2">
        <f t="shared" si="0"/>
        <v>20</v>
      </c>
      <c r="D191" s="3">
        <v>233</v>
      </c>
      <c r="E191" s="70">
        <f>[1]DETAY!$A$2</f>
        <v>0</v>
      </c>
      <c r="F191" s="71">
        <f t="shared" si="1"/>
        <v>231</v>
      </c>
      <c r="G191" s="72">
        <f t="shared" si="2"/>
        <v>2</v>
      </c>
      <c r="H191" s="73">
        <f t="shared" si="3"/>
        <v>0.99141630901287559</v>
      </c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>
        <v>2</v>
      </c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F191" s="1"/>
    </row>
    <row r="192" spans="1:58" s="22" customFormat="1" x14ac:dyDescent="0.25">
      <c r="A192" s="5" t="s">
        <v>86</v>
      </c>
      <c r="B192" s="4">
        <v>46155</v>
      </c>
      <c r="C192" s="2">
        <f t="shared" si="0"/>
        <v>20</v>
      </c>
      <c r="D192" s="3">
        <v>200</v>
      </c>
      <c r="E192" s="70">
        <f>[1]DETAY!$A$2</f>
        <v>0</v>
      </c>
      <c r="F192" s="71">
        <f t="shared" si="1"/>
        <v>200</v>
      </c>
      <c r="G192" s="72">
        <f t="shared" si="2"/>
        <v>0</v>
      </c>
      <c r="H192" s="73">
        <f t="shared" si="3"/>
        <v>1</v>
      </c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F192" s="1"/>
    </row>
    <row r="193" spans="1:58" s="22" customFormat="1" x14ac:dyDescent="0.25">
      <c r="A193" s="5" t="s">
        <v>82</v>
      </c>
      <c r="B193" s="4">
        <v>46155</v>
      </c>
      <c r="C193" s="2">
        <f t="shared" si="0"/>
        <v>20</v>
      </c>
      <c r="D193" s="3">
        <v>1002</v>
      </c>
      <c r="E193" s="70">
        <f>[1]DETAY!$A$2</f>
        <v>0</v>
      </c>
      <c r="F193" s="71">
        <f t="shared" si="1"/>
        <v>1000</v>
      </c>
      <c r="G193" s="72">
        <f t="shared" si="2"/>
        <v>2</v>
      </c>
      <c r="H193" s="73">
        <f t="shared" si="3"/>
        <v>0.99800399201596801</v>
      </c>
      <c r="I193" s="2"/>
      <c r="J193" s="2"/>
      <c r="K193" s="2"/>
      <c r="L193" s="2">
        <v>2</v>
      </c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F193" s="1"/>
    </row>
    <row r="194" spans="1:58" s="22" customFormat="1" x14ac:dyDescent="0.25">
      <c r="A194" s="5" t="s">
        <v>20</v>
      </c>
      <c r="B194" s="4">
        <v>46155</v>
      </c>
      <c r="C194" s="2">
        <f t="shared" si="0"/>
        <v>20</v>
      </c>
      <c r="D194" s="3">
        <v>1422</v>
      </c>
      <c r="E194" s="70">
        <f>[1]DETAY!$A$2</f>
        <v>0</v>
      </c>
      <c r="F194" s="71">
        <f t="shared" si="1"/>
        <v>1400</v>
      </c>
      <c r="G194" s="72">
        <f t="shared" si="2"/>
        <v>22</v>
      </c>
      <c r="H194" s="73">
        <f t="shared" si="3"/>
        <v>0.98452883263009849</v>
      </c>
      <c r="I194" s="2"/>
      <c r="J194" s="2">
        <v>22</v>
      </c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F194" s="1"/>
    </row>
    <row r="195" spans="1:58" s="22" customFormat="1" x14ac:dyDescent="0.25">
      <c r="A195" s="5" t="s">
        <v>19</v>
      </c>
      <c r="B195" s="4">
        <v>46155</v>
      </c>
      <c r="C195" s="2">
        <f t="shared" si="0"/>
        <v>20</v>
      </c>
      <c r="D195" s="3">
        <v>1077</v>
      </c>
      <c r="E195" s="70">
        <f>[1]DETAY!$A$2</f>
        <v>0</v>
      </c>
      <c r="F195" s="71">
        <f t="shared" si="1"/>
        <v>1050</v>
      </c>
      <c r="G195" s="72">
        <f t="shared" si="2"/>
        <v>27</v>
      </c>
      <c r="H195" s="73">
        <f t="shared" si="3"/>
        <v>0.97493036211699169</v>
      </c>
      <c r="I195" s="2"/>
      <c r="J195" s="2">
        <v>23</v>
      </c>
      <c r="K195" s="2"/>
      <c r="L195" s="2">
        <v>3</v>
      </c>
      <c r="M195" s="2"/>
      <c r="N195" s="2"/>
      <c r="O195" s="2">
        <v>1</v>
      </c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F195" s="1"/>
    </row>
    <row r="196" spans="1:58" s="22" customFormat="1" x14ac:dyDescent="0.25">
      <c r="A196" s="5" t="s">
        <v>18</v>
      </c>
      <c r="B196" s="4">
        <v>46155</v>
      </c>
      <c r="C196" s="2">
        <f t="shared" si="0"/>
        <v>20</v>
      </c>
      <c r="D196" s="3">
        <v>712</v>
      </c>
      <c r="E196" s="70">
        <f>[1]DETAY!$A$2</f>
        <v>0</v>
      </c>
      <c r="F196" s="71">
        <f t="shared" si="1"/>
        <v>700</v>
      </c>
      <c r="G196" s="72">
        <f t="shared" si="2"/>
        <v>12</v>
      </c>
      <c r="H196" s="73">
        <f t="shared" si="3"/>
        <v>0.9831460674157303</v>
      </c>
      <c r="I196" s="2"/>
      <c r="J196" s="2">
        <v>12</v>
      </c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F196" s="1"/>
    </row>
    <row r="197" spans="1:58" s="22" customFormat="1" x14ac:dyDescent="0.25">
      <c r="A197" s="5" t="s">
        <v>17</v>
      </c>
      <c r="B197" s="4">
        <v>46155</v>
      </c>
      <c r="C197" s="2">
        <f t="shared" si="0"/>
        <v>20</v>
      </c>
      <c r="D197" s="3">
        <v>353</v>
      </c>
      <c r="E197" s="70">
        <f>[1]DETAY!$A$2</f>
        <v>0</v>
      </c>
      <c r="F197" s="71">
        <f t="shared" si="1"/>
        <v>350</v>
      </c>
      <c r="G197" s="72">
        <f t="shared" si="2"/>
        <v>3</v>
      </c>
      <c r="H197" s="73">
        <f t="shared" si="3"/>
        <v>0.99150141643059486</v>
      </c>
      <c r="I197" s="2"/>
      <c r="J197" s="2">
        <v>3</v>
      </c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F197" s="1"/>
    </row>
    <row r="198" spans="1:58" s="22" customFormat="1" x14ac:dyDescent="0.25">
      <c r="A198" s="5" t="s">
        <v>16</v>
      </c>
      <c r="B198" s="4">
        <v>46155</v>
      </c>
      <c r="C198" s="2">
        <f t="shared" si="0"/>
        <v>20</v>
      </c>
      <c r="D198" s="3">
        <v>1434</v>
      </c>
      <c r="E198" s="70">
        <f>[1]DETAY!$A$2</f>
        <v>0</v>
      </c>
      <c r="F198" s="71">
        <f t="shared" si="1"/>
        <v>1365</v>
      </c>
      <c r="G198" s="72">
        <f t="shared" si="2"/>
        <v>69</v>
      </c>
      <c r="H198" s="73">
        <f t="shared" si="3"/>
        <v>0.95188284518828448</v>
      </c>
      <c r="I198" s="2"/>
      <c r="J198" s="2"/>
      <c r="K198" s="2">
        <v>15</v>
      </c>
      <c r="L198" s="2">
        <v>2</v>
      </c>
      <c r="M198" s="2">
        <v>35</v>
      </c>
      <c r="N198" s="2"/>
      <c r="O198" s="2">
        <v>2</v>
      </c>
      <c r="P198" s="2">
        <v>3</v>
      </c>
      <c r="Q198" s="2">
        <v>1</v>
      </c>
      <c r="R198" s="2"/>
      <c r="S198" s="2"/>
      <c r="T198" s="2">
        <v>2</v>
      </c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>
        <v>1</v>
      </c>
      <c r="AG198" s="2"/>
      <c r="AH198" s="2">
        <v>8</v>
      </c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F198" s="1"/>
    </row>
    <row r="199" spans="1:58" s="22" customFormat="1" x14ac:dyDescent="0.25">
      <c r="A199" s="5" t="s">
        <v>11</v>
      </c>
      <c r="B199" s="4">
        <v>46155</v>
      </c>
      <c r="C199" s="2">
        <f t="shared" si="0"/>
        <v>20</v>
      </c>
      <c r="D199" s="3">
        <v>245</v>
      </c>
      <c r="E199" s="70">
        <f>[1]DETAY!$A$2</f>
        <v>0</v>
      </c>
      <c r="F199" s="71">
        <f t="shared" si="1"/>
        <v>245</v>
      </c>
      <c r="G199" s="72">
        <f t="shared" si="2"/>
        <v>0</v>
      </c>
      <c r="H199" s="73">
        <f t="shared" si="3"/>
        <v>1</v>
      </c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F199" s="1"/>
    </row>
    <row r="200" spans="1:58" s="22" customFormat="1" x14ac:dyDescent="0.25">
      <c r="A200" s="5" t="s">
        <v>10</v>
      </c>
      <c r="B200" s="4">
        <v>46155</v>
      </c>
      <c r="C200" s="2">
        <f t="shared" si="0"/>
        <v>20</v>
      </c>
      <c r="D200" s="3">
        <v>131</v>
      </c>
      <c r="E200" s="70">
        <f>[1]DETAY!$A$2</f>
        <v>0</v>
      </c>
      <c r="F200" s="71">
        <f t="shared" si="1"/>
        <v>130</v>
      </c>
      <c r="G200" s="72">
        <f t="shared" si="2"/>
        <v>1</v>
      </c>
      <c r="H200" s="73">
        <f t="shared" si="3"/>
        <v>0.99236641221374045</v>
      </c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>
        <v>1</v>
      </c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F200" s="1"/>
    </row>
    <row r="201" spans="1:58" s="22" customFormat="1" x14ac:dyDescent="0.25">
      <c r="A201" s="5" t="s">
        <v>9</v>
      </c>
      <c r="B201" s="4">
        <v>46155</v>
      </c>
      <c r="C201" s="2">
        <f t="shared" si="0"/>
        <v>20</v>
      </c>
      <c r="D201" s="3">
        <v>611</v>
      </c>
      <c r="E201" s="70">
        <f>[1]DETAY!$A$2</f>
        <v>0</v>
      </c>
      <c r="F201" s="71">
        <f t="shared" si="1"/>
        <v>587</v>
      </c>
      <c r="G201" s="72">
        <f t="shared" si="2"/>
        <v>24</v>
      </c>
      <c r="H201" s="73">
        <f t="shared" si="3"/>
        <v>0.96072013093289688</v>
      </c>
      <c r="I201" s="2"/>
      <c r="J201" s="2"/>
      <c r="K201" s="2"/>
      <c r="L201" s="2"/>
      <c r="M201" s="2">
        <v>7</v>
      </c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>
        <v>2</v>
      </c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>
        <v>14</v>
      </c>
      <c r="AS201" s="2"/>
      <c r="AT201" s="2"/>
      <c r="AU201" s="2"/>
      <c r="AV201" s="2"/>
      <c r="AW201" s="2"/>
      <c r="AX201" s="2"/>
      <c r="AY201" s="2"/>
      <c r="AZ201" s="2">
        <v>1</v>
      </c>
      <c r="BA201" s="2"/>
      <c r="BB201" s="2"/>
      <c r="BC201" s="2"/>
      <c r="BD201" s="2"/>
      <c r="BF201" s="1"/>
    </row>
    <row r="202" spans="1:58" s="22" customFormat="1" x14ac:dyDescent="0.25">
      <c r="A202" s="5" t="s">
        <v>0</v>
      </c>
      <c r="B202" s="4">
        <v>46155</v>
      </c>
      <c r="C202" s="2">
        <f t="shared" si="0"/>
        <v>20</v>
      </c>
      <c r="D202" s="3">
        <v>395</v>
      </c>
      <c r="E202" s="70">
        <f>[1]DETAY!$A$2</f>
        <v>0</v>
      </c>
      <c r="F202" s="71">
        <f t="shared" si="1"/>
        <v>150</v>
      </c>
      <c r="G202" s="72">
        <f t="shared" si="2"/>
        <v>245</v>
      </c>
      <c r="H202" s="73">
        <f t="shared" si="3"/>
        <v>0.379746835443038</v>
      </c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>
        <v>35</v>
      </c>
      <c r="AL202" s="2"/>
      <c r="AM202" s="2"/>
      <c r="AN202" s="2"/>
      <c r="AO202" s="2"/>
      <c r="AP202" s="2"/>
      <c r="AQ202" s="2"/>
      <c r="AR202" s="2"/>
      <c r="AS202" s="2"/>
      <c r="AT202" s="2"/>
      <c r="AU202" s="2">
        <v>210</v>
      </c>
      <c r="AV202" s="2"/>
      <c r="AW202" s="2"/>
      <c r="AX202" s="2"/>
      <c r="AY202" s="2"/>
      <c r="AZ202" s="2"/>
      <c r="BA202" s="2"/>
      <c r="BB202" s="2"/>
      <c r="BC202" s="2"/>
      <c r="BD202" s="2"/>
      <c r="BF202" s="1"/>
    </row>
    <row r="203" spans="1:58" s="22" customFormat="1" x14ac:dyDescent="0.25">
      <c r="A203" s="5" t="s">
        <v>84</v>
      </c>
      <c r="B203" s="4">
        <v>46155</v>
      </c>
      <c r="C203" s="2">
        <f t="shared" si="0"/>
        <v>20</v>
      </c>
      <c r="D203" s="3">
        <v>600</v>
      </c>
      <c r="E203" s="70">
        <f>[1]DETAY!$A$2</f>
        <v>0</v>
      </c>
      <c r="F203" s="71">
        <f t="shared" si="1"/>
        <v>600</v>
      </c>
      <c r="G203" s="72">
        <f t="shared" si="2"/>
        <v>0</v>
      </c>
      <c r="H203" s="73">
        <f t="shared" si="3"/>
        <v>1</v>
      </c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F203" s="1"/>
    </row>
    <row r="204" spans="1:58" s="22" customFormat="1" x14ac:dyDescent="0.25">
      <c r="A204" s="5" t="s">
        <v>82</v>
      </c>
      <c r="B204" s="4">
        <v>46155</v>
      </c>
      <c r="C204" s="2">
        <f t="shared" si="0"/>
        <v>20</v>
      </c>
      <c r="D204" s="3">
        <v>250</v>
      </c>
      <c r="E204" s="70">
        <f>[1]DETAY!$A$2</f>
        <v>0</v>
      </c>
      <c r="F204" s="71">
        <f t="shared" si="1"/>
        <v>250</v>
      </c>
      <c r="G204" s="72">
        <f t="shared" si="2"/>
        <v>0</v>
      </c>
      <c r="H204" s="73">
        <f t="shared" si="3"/>
        <v>1</v>
      </c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F204" s="1"/>
    </row>
    <row r="205" spans="1:58" s="22" customFormat="1" x14ac:dyDescent="0.25">
      <c r="A205" s="5" t="s">
        <v>19</v>
      </c>
      <c r="B205" s="4">
        <v>46155</v>
      </c>
      <c r="C205" s="2">
        <f t="shared" si="0"/>
        <v>20</v>
      </c>
      <c r="D205" s="3">
        <v>754</v>
      </c>
      <c r="E205" s="70">
        <f>[1]DETAY!$A$2</f>
        <v>0</v>
      </c>
      <c r="F205" s="71">
        <f t="shared" si="1"/>
        <v>698</v>
      </c>
      <c r="G205" s="72">
        <f t="shared" si="2"/>
        <v>56</v>
      </c>
      <c r="H205" s="73">
        <f t="shared" si="3"/>
        <v>0.92572944297082227</v>
      </c>
      <c r="I205" s="2"/>
      <c r="J205" s="2">
        <v>38</v>
      </c>
      <c r="K205" s="2"/>
      <c r="L205" s="2">
        <v>18</v>
      </c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F205" s="1"/>
    </row>
    <row r="206" spans="1:58" s="22" customFormat="1" x14ac:dyDescent="0.25">
      <c r="A206" s="5" t="s">
        <v>17</v>
      </c>
      <c r="B206" s="4">
        <v>46155</v>
      </c>
      <c r="C206" s="2">
        <f t="shared" si="0"/>
        <v>20</v>
      </c>
      <c r="D206" s="3">
        <v>350</v>
      </c>
      <c r="E206" s="70">
        <f>[1]DETAY!$A$2</f>
        <v>0</v>
      </c>
      <c r="F206" s="71">
        <f t="shared" si="1"/>
        <v>322</v>
      </c>
      <c r="G206" s="72">
        <f t="shared" si="2"/>
        <v>28</v>
      </c>
      <c r="H206" s="73">
        <f t="shared" si="3"/>
        <v>0.92</v>
      </c>
      <c r="I206" s="2"/>
      <c r="J206" s="2">
        <v>12</v>
      </c>
      <c r="K206" s="2"/>
      <c r="L206" s="2">
        <v>15</v>
      </c>
      <c r="M206" s="2">
        <v>1</v>
      </c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F206" s="1"/>
    </row>
    <row r="207" spans="1:58" s="22" customFormat="1" x14ac:dyDescent="0.25">
      <c r="A207" s="5" t="s">
        <v>16</v>
      </c>
      <c r="B207" s="4">
        <v>46155</v>
      </c>
      <c r="C207" s="2">
        <f t="shared" si="0"/>
        <v>20</v>
      </c>
      <c r="D207" s="3">
        <v>874</v>
      </c>
      <c r="E207" s="70">
        <f>[1]DETAY!$A$2</f>
        <v>0</v>
      </c>
      <c r="F207" s="71">
        <f t="shared" si="1"/>
        <v>840</v>
      </c>
      <c r="G207" s="72">
        <f t="shared" si="2"/>
        <v>34</v>
      </c>
      <c r="H207" s="73">
        <f t="shared" si="3"/>
        <v>0.9610983981693364</v>
      </c>
      <c r="I207" s="2"/>
      <c r="J207" s="2"/>
      <c r="K207" s="2">
        <v>18</v>
      </c>
      <c r="L207" s="2">
        <v>4</v>
      </c>
      <c r="M207" s="2"/>
      <c r="N207" s="2"/>
      <c r="O207" s="2">
        <v>1</v>
      </c>
      <c r="P207" s="2">
        <v>4</v>
      </c>
      <c r="Q207" s="2"/>
      <c r="R207" s="2"/>
      <c r="S207" s="2"/>
      <c r="T207" s="2"/>
      <c r="U207" s="2"/>
      <c r="V207" s="2"/>
      <c r="W207" s="2"/>
      <c r="X207" s="2"/>
      <c r="Y207" s="2">
        <v>1</v>
      </c>
      <c r="Z207" s="2"/>
      <c r="AA207" s="2"/>
      <c r="AB207" s="2"/>
      <c r="AC207" s="2"/>
      <c r="AD207" s="2"/>
      <c r="AE207" s="2"/>
      <c r="AF207" s="2">
        <v>4</v>
      </c>
      <c r="AG207" s="2"/>
      <c r="AH207" s="2">
        <v>2</v>
      </c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F207" s="1"/>
    </row>
    <row r="208" spans="1:58" s="22" customFormat="1" x14ac:dyDescent="0.25">
      <c r="A208" s="5" t="s">
        <v>10</v>
      </c>
      <c r="B208" s="4">
        <v>46155</v>
      </c>
      <c r="C208" s="2">
        <f t="shared" si="0"/>
        <v>20</v>
      </c>
      <c r="D208" s="3">
        <v>316</v>
      </c>
      <c r="E208" s="70">
        <f>[1]DETAY!$A$2</f>
        <v>0</v>
      </c>
      <c r="F208" s="71">
        <f t="shared" si="1"/>
        <v>300</v>
      </c>
      <c r="G208" s="72">
        <f t="shared" si="2"/>
        <v>16</v>
      </c>
      <c r="H208" s="73">
        <f t="shared" si="3"/>
        <v>0.94936708860759489</v>
      </c>
      <c r="I208" s="2"/>
      <c r="J208" s="2"/>
      <c r="K208" s="2"/>
      <c r="L208" s="2"/>
      <c r="M208" s="2">
        <v>6</v>
      </c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>
        <v>2</v>
      </c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>
        <v>8</v>
      </c>
      <c r="BA208" s="2"/>
      <c r="BB208" s="2"/>
      <c r="BC208" s="2"/>
      <c r="BD208" s="2"/>
      <c r="BF208" s="1"/>
    </row>
    <row r="209" spans="1:58" s="22" customFormat="1" x14ac:dyDescent="0.25">
      <c r="A209" s="5" t="s">
        <v>9</v>
      </c>
      <c r="B209" s="4">
        <v>46155</v>
      </c>
      <c r="C209" s="2">
        <f t="shared" si="0"/>
        <v>20</v>
      </c>
      <c r="D209" s="3">
        <v>123</v>
      </c>
      <c r="E209" s="70">
        <f>[1]DETAY!$A$2</f>
        <v>0</v>
      </c>
      <c r="F209" s="71">
        <f t="shared" si="1"/>
        <v>120</v>
      </c>
      <c r="G209" s="72">
        <f t="shared" si="2"/>
        <v>3</v>
      </c>
      <c r="H209" s="73">
        <f t="shared" si="3"/>
        <v>0.97560975609756095</v>
      </c>
      <c r="I209" s="2"/>
      <c r="J209" s="2"/>
      <c r="K209" s="2"/>
      <c r="L209" s="2"/>
      <c r="M209" s="2">
        <v>3</v>
      </c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F209" s="1"/>
    </row>
    <row r="210" spans="1:58" s="22" customFormat="1" x14ac:dyDescent="0.25">
      <c r="A210" s="5" t="s">
        <v>0</v>
      </c>
      <c r="B210" s="4">
        <v>46155</v>
      </c>
      <c r="C210" s="2">
        <f t="shared" si="0"/>
        <v>20</v>
      </c>
      <c r="D210" s="3">
        <v>251</v>
      </c>
      <c r="E210" s="70">
        <f>[1]DETAY!$A$2</f>
        <v>0</v>
      </c>
      <c r="F210" s="71">
        <f t="shared" si="1"/>
        <v>173</v>
      </c>
      <c r="G210" s="72">
        <f t="shared" si="2"/>
        <v>78</v>
      </c>
      <c r="H210" s="73">
        <f t="shared" si="3"/>
        <v>0.68924302788844627</v>
      </c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>
        <v>78</v>
      </c>
      <c r="AV210" s="2"/>
      <c r="AW210" s="2"/>
      <c r="AX210" s="2"/>
      <c r="AY210" s="2"/>
      <c r="AZ210" s="2"/>
      <c r="BA210" s="2"/>
      <c r="BB210" s="2"/>
      <c r="BC210" s="2"/>
      <c r="BD210" s="2"/>
      <c r="BF210" s="1"/>
    </row>
    <row r="211" spans="1:58" s="22" customFormat="1" x14ac:dyDescent="0.25">
      <c r="A211" s="5" t="s">
        <v>8</v>
      </c>
      <c r="B211" s="4">
        <v>46155</v>
      </c>
      <c r="C211" s="2">
        <f t="shared" si="0"/>
        <v>20</v>
      </c>
      <c r="D211" s="3">
        <v>251</v>
      </c>
      <c r="E211" s="70">
        <f>[1]DETAY!$A$2</f>
        <v>0</v>
      </c>
      <c r="F211" s="71">
        <f t="shared" si="1"/>
        <v>250</v>
      </c>
      <c r="G211" s="72">
        <f t="shared" si="2"/>
        <v>1</v>
      </c>
      <c r="H211" s="73">
        <f t="shared" si="3"/>
        <v>0.99601593625498008</v>
      </c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>
        <v>1</v>
      </c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F211" s="1"/>
    </row>
    <row r="212" spans="1:58" s="22" customFormat="1" x14ac:dyDescent="0.25">
      <c r="A212" s="74" t="s">
        <v>13</v>
      </c>
      <c r="B212" s="4">
        <v>46155</v>
      </c>
      <c r="C212" s="2">
        <f t="shared" si="0"/>
        <v>20</v>
      </c>
      <c r="D212" s="3">
        <v>360</v>
      </c>
      <c r="E212" s="70">
        <f>[1]DETAY!$A$2</f>
        <v>0</v>
      </c>
      <c r="F212" s="71">
        <f t="shared" si="1"/>
        <v>360</v>
      </c>
      <c r="G212" s="72">
        <f t="shared" si="2"/>
        <v>0</v>
      </c>
      <c r="H212" s="73">
        <f t="shared" si="3"/>
        <v>1</v>
      </c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F212" s="1"/>
    </row>
    <row r="213" spans="1:58" s="22" customFormat="1" x14ac:dyDescent="0.25">
      <c r="A213" s="74" t="s">
        <v>4</v>
      </c>
      <c r="B213" s="4">
        <v>46155</v>
      </c>
      <c r="C213" s="2">
        <f t="shared" si="0"/>
        <v>20</v>
      </c>
      <c r="D213" s="3">
        <v>386</v>
      </c>
      <c r="E213" s="70">
        <f>[1]DETAY!$A$2</f>
        <v>0</v>
      </c>
      <c r="F213" s="71">
        <f t="shared" si="1"/>
        <v>385</v>
      </c>
      <c r="G213" s="72">
        <f t="shared" si="2"/>
        <v>1</v>
      </c>
      <c r="H213" s="73">
        <f t="shared" si="3"/>
        <v>0.99740932642487046</v>
      </c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>
        <v>1</v>
      </c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F213" s="1"/>
    </row>
    <row r="214" spans="1:58" s="22" customFormat="1" x14ac:dyDescent="0.25">
      <c r="A214" s="5" t="s">
        <v>15</v>
      </c>
      <c r="B214" s="4">
        <v>46155</v>
      </c>
      <c r="C214" s="2">
        <f t="shared" si="0"/>
        <v>20</v>
      </c>
      <c r="D214" s="3">
        <v>220</v>
      </c>
      <c r="E214" s="70">
        <f>[1]DETAY!$A$2</f>
        <v>0</v>
      </c>
      <c r="F214" s="71">
        <f t="shared" si="1"/>
        <v>220</v>
      </c>
      <c r="G214" s="72">
        <f t="shared" si="2"/>
        <v>0</v>
      </c>
      <c r="H214" s="73">
        <f t="shared" si="3"/>
        <v>1</v>
      </c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F214" s="1"/>
    </row>
    <row r="215" spans="1:58" s="22" customFormat="1" x14ac:dyDescent="0.25">
      <c r="A215" s="5" t="s">
        <v>81</v>
      </c>
      <c r="B215" s="4">
        <v>46155</v>
      </c>
      <c r="C215" s="2">
        <f t="shared" si="0"/>
        <v>20</v>
      </c>
      <c r="D215" s="3">
        <v>220</v>
      </c>
      <c r="E215" s="70">
        <f>[1]DETAY!$A$2</f>
        <v>0</v>
      </c>
      <c r="F215" s="71">
        <f t="shared" si="1"/>
        <v>220</v>
      </c>
      <c r="G215" s="72">
        <f t="shared" si="2"/>
        <v>0</v>
      </c>
      <c r="H215" s="73">
        <f t="shared" si="3"/>
        <v>1</v>
      </c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F215" s="1"/>
    </row>
    <row r="216" spans="1:58" s="22" customFormat="1" x14ac:dyDescent="0.25">
      <c r="A216" s="74" t="s">
        <v>7</v>
      </c>
      <c r="B216" s="4">
        <v>46155</v>
      </c>
      <c r="C216" s="2">
        <f t="shared" si="0"/>
        <v>20</v>
      </c>
      <c r="D216" s="3">
        <v>192</v>
      </c>
      <c r="E216" s="70">
        <f>[1]DETAY!$A$2</f>
        <v>0</v>
      </c>
      <c r="F216" s="71">
        <f t="shared" si="1"/>
        <v>192</v>
      </c>
      <c r="G216" s="72">
        <f t="shared" si="2"/>
        <v>0</v>
      </c>
      <c r="H216" s="73">
        <f t="shared" si="3"/>
        <v>1</v>
      </c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F216" s="1"/>
    </row>
    <row r="217" spans="1:58" s="22" customFormat="1" x14ac:dyDescent="0.25">
      <c r="A217" s="74" t="s">
        <v>13</v>
      </c>
      <c r="B217" s="4">
        <v>46155</v>
      </c>
      <c r="C217" s="2">
        <f t="shared" si="0"/>
        <v>20</v>
      </c>
      <c r="D217" s="3">
        <v>480</v>
      </c>
      <c r="E217" s="70">
        <f>[1]DETAY!$A$2</f>
        <v>0</v>
      </c>
      <c r="F217" s="71">
        <f t="shared" si="1"/>
        <v>480</v>
      </c>
      <c r="G217" s="72">
        <f t="shared" si="2"/>
        <v>0</v>
      </c>
      <c r="H217" s="73">
        <f t="shared" si="3"/>
        <v>1</v>
      </c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F217" s="1"/>
    </row>
    <row r="218" spans="1:58" s="22" customFormat="1" x14ac:dyDescent="0.25">
      <c r="A218" s="5" t="s">
        <v>12</v>
      </c>
      <c r="B218" s="4">
        <v>46155</v>
      </c>
      <c r="C218" s="2">
        <f t="shared" si="0"/>
        <v>20</v>
      </c>
      <c r="D218" s="3">
        <v>220</v>
      </c>
      <c r="E218" s="70">
        <f>[1]DETAY!$A$2</f>
        <v>0</v>
      </c>
      <c r="F218" s="71">
        <f t="shared" si="1"/>
        <v>220</v>
      </c>
      <c r="G218" s="72">
        <f t="shared" si="2"/>
        <v>0</v>
      </c>
      <c r="H218" s="73">
        <f t="shared" si="3"/>
        <v>1</v>
      </c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F218" s="1"/>
    </row>
    <row r="219" spans="1:58" s="22" customFormat="1" x14ac:dyDescent="0.25">
      <c r="A219" s="74" t="s">
        <v>5</v>
      </c>
      <c r="B219" s="4">
        <v>46155</v>
      </c>
      <c r="C219" s="2">
        <f t="shared" si="0"/>
        <v>20</v>
      </c>
      <c r="D219" s="3">
        <v>231</v>
      </c>
      <c r="E219" s="70">
        <f>[1]DETAY!$A$2</f>
        <v>0</v>
      </c>
      <c r="F219" s="71">
        <f t="shared" si="1"/>
        <v>231</v>
      </c>
      <c r="G219" s="72">
        <f t="shared" si="2"/>
        <v>0</v>
      </c>
      <c r="H219" s="73">
        <f t="shared" si="3"/>
        <v>1</v>
      </c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F219" s="1"/>
    </row>
    <row r="220" spans="1:58" s="22" customFormat="1" x14ac:dyDescent="0.25">
      <c r="A220" s="74" t="s">
        <v>4</v>
      </c>
      <c r="B220" s="4">
        <v>46155</v>
      </c>
      <c r="C220" s="2">
        <f t="shared" si="0"/>
        <v>20</v>
      </c>
      <c r="D220" s="3">
        <v>385</v>
      </c>
      <c r="E220" s="70">
        <f>[1]DETAY!$A$2</f>
        <v>0</v>
      </c>
      <c r="F220" s="71">
        <f t="shared" si="1"/>
        <v>385</v>
      </c>
      <c r="G220" s="72">
        <f t="shared" si="2"/>
        <v>0</v>
      </c>
      <c r="H220" s="73">
        <f t="shared" si="3"/>
        <v>1</v>
      </c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F220" s="1"/>
    </row>
    <row r="221" spans="1:58" s="22" customFormat="1" x14ac:dyDescent="0.25">
      <c r="A221" s="74" t="s">
        <v>6</v>
      </c>
      <c r="B221" s="4">
        <v>46155</v>
      </c>
      <c r="C221" s="2">
        <f t="shared" si="0"/>
        <v>20</v>
      </c>
      <c r="D221" s="3">
        <v>308</v>
      </c>
      <c r="E221" s="70">
        <f>[1]DETAY!$A$2</f>
        <v>0</v>
      </c>
      <c r="F221" s="71">
        <f t="shared" si="1"/>
        <v>308</v>
      </c>
      <c r="G221" s="72">
        <f t="shared" si="2"/>
        <v>0</v>
      </c>
      <c r="H221" s="73">
        <f t="shared" si="3"/>
        <v>1</v>
      </c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F221" s="1"/>
    </row>
    <row r="222" spans="1:58" s="22" customFormat="1" x14ac:dyDescent="0.25">
      <c r="A222" s="5" t="s">
        <v>10</v>
      </c>
      <c r="B222" s="4">
        <v>46155</v>
      </c>
      <c r="C222" s="2">
        <f t="shared" si="0"/>
        <v>20</v>
      </c>
      <c r="D222" s="3">
        <v>244</v>
      </c>
      <c r="E222" s="70">
        <f>[1]DETAY!$A$2</f>
        <v>0</v>
      </c>
      <c r="F222" s="71">
        <f t="shared" si="1"/>
        <v>240</v>
      </c>
      <c r="G222" s="72">
        <f t="shared" si="2"/>
        <v>4</v>
      </c>
      <c r="H222" s="73">
        <f t="shared" si="3"/>
        <v>0.98360655737704916</v>
      </c>
      <c r="I222" s="2"/>
      <c r="J222" s="2"/>
      <c r="K222" s="2"/>
      <c r="L222" s="2"/>
      <c r="M222" s="2">
        <v>2</v>
      </c>
      <c r="N222" s="2"/>
      <c r="O222" s="2">
        <v>2</v>
      </c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F222" s="1"/>
    </row>
    <row r="223" spans="1:58" s="22" customFormat="1" x14ac:dyDescent="0.25">
      <c r="A223" s="5" t="s">
        <v>9</v>
      </c>
      <c r="B223" s="4">
        <v>46155</v>
      </c>
      <c r="C223" s="2">
        <f t="shared" si="0"/>
        <v>20</v>
      </c>
      <c r="D223" s="3">
        <v>182</v>
      </c>
      <c r="E223" s="70">
        <f>[1]DETAY!$A$2</f>
        <v>0</v>
      </c>
      <c r="F223" s="71">
        <f t="shared" si="1"/>
        <v>180</v>
      </c>
      <c r="G223" s="72">
        <f t="shared" si="2"/>
        <v>2</v>
      </c>
      <c r="H223" s="73">
        <f t="shared" si="3"/>
        <v>0.98901098901098905</v>
      </c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>
        <v>2</v>
      </c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F223" s="1"/>
    </row>
    <row r="224" spans="1:58" s="22" customFormat="1" x14ac:dyDescent="0.25">
      <c r="A224" s="5" t="s">
        <v>1</v>
      </c>
      <c r="B224" s="4">
        <v>46155</v>
      </c>
      <c r="C224" s="2">
        <f t="shared" si="0"/>
        <v>20</v>
      </c>
      <c r="D224" s="3">
        <v>365</v>
      </c>
      <c r="E224" s="70">
        <f>[1]DETAY!$A$2</f>
        <v>0</v>
      </c>
      <c r="F224" s="71">
        <f t="shared" si="1"/>
        <v>315</v>
      </c>
      <c r="G224" s="72">
        <f t="shared" si="2"/>
        <v>50</v>
      </c>
      <c r="H224" s="73">
        <f t="shared" si="3"/>
        <v>0.86301369863013699</v>
      </c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>
        <v>50</v>
      </c>
      <c r="AV224" s="2"/>
      <c r="AW224" s="2"/>
      <c r="AX224" s="2"/>
      <c r="AY224" s="2"/>
      <c r="AZ224" s="2"/>
      <c r="BA224" s="2"/>
      <c r="BB224" s="2"/>
      <c r="BC224" s="2"/>
      <c r="BD224" s="2"/>
      <c r="BF224" s="1"/>
    </row>
    <row r="225" spans="1:58" s="22" customFormat="1" x14ac:dyDescent="0.25">
      <c r="A225" s="5" t="s">
        <v>0</v>
      </c>
      <c r="B225" s="4">
        <v>46155</v>
      </c>
      <c r="C225" s="2">
        <f t="shared" si="0"/>
        <v>20</v>
      </c>
      <c r="D225" s="3">
        <v>161</v>
      </c>
      <c r="E225" s="70">
        <f>[1]DETAY!$A$2</f>
        <v>0</v>
      </c>
      <c r="F225" s="71">
        <f t="shared" si="1"/>
        <v>161</v>
      </c>
      <c r="G225" s="72">
        <f t="shared" si="2"/>
        <v>0</v>
      </c>
      <c r="H225" s="73">
        <f t="shared" si="3"/>
        <v>1</v>
      </c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F225" s="1"/>
    </row>
    <row r="226" spans="1:58" s="22" customFormat="1" x14ac:dyDescent="0.25">
      <c r="A226" s="5" t="s">
        <v>84</v>
      </c>
      <c r="B226" s="4">
        <v>46156</v>
      </c>
      <c r="C226" s="2">
        <f t="shared" si="0"/>
        <v>20</v>
      </c>
      <c r="D226" s="3">
        <v>604</v>
      </c>
      <c r="E226" s="70">
        <f>[1]DETAY!$A$2</f>
        <v>0</v>
      </c>
      <c r="F226" s="71">
        <f t="shared" si="1"/>
        <v>600</v>
      </c>
      <c r="G226" s="72">
        <f t="shared" si="2"/>
        <v>4</v>
      </c>
      <c r="H226" s="73">
        <f t="shared" si="3"/>
        <v>0.99337748344370858</v>
      </c>
      <c r="I226" s="2"/>
      <c r="J226" s="2"/>
      <c r="K226" s="2"/>
      <c r="L226" s="2">
        <v>4</v>
      </c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F226" s="1"/>
    </row>
    <row r="227" spans="1:58" s="22" customFormat="1" x14ac:dyDescent="0.25">
      <c r="A227" s="5" t="s">
        <v>20</v>
      </c>
      <c r="B227" s="4">
        <v>46156</v>
      </c>
      <c r="C227" s="2">
        <f t="shared" si="0"/>
        <v>20</v>
      </c>
      <c r="D227" s="3">
        <v>721</v>
      </c>
      <c r="E227" s="70">
        <f>[1]DETAY!$A$2</f>
        <v>0</v>
      </c>
      <c r="F227" s="71">
        <f t="shared" si="1"/>
        <v>700</v>
      </c>
      <c r="G227" s="72">
        <f t="shared" si="2"/>
        <v>21</v>
      </c>
      <c r="H227" s="73">
        <f t="shared" si="3"/>
        <v>0.970873786407767</v>
      </c>
      <c r="I227" s="2"/>
      <c r="J227" s="2">
        <v>21</v>
      </c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F227" s="1"/>
    </row>
    <row r="228" spans="1:58" s="22" customFormat="1" x14ac:dyDescent="0.25">
      <c r="A228" s="5" t="s">
        <v>17</v>
      </c>
      <c r="B228" s="4">
        <v>46156</v>
      </c>
      <c r="C228" s="2">
        <f t="shared" si="0"/>
        <v>20</v>
      </c>
      <c r="D228" s="3">
        <v>1821</v>
      </c>
      <c r="E228" s="70">
        <f>[1]DETAY!$A$2</f>
        <v>0</v>
      </c>
      <c r="F228" s="71">
        <f t="shared" si="1"/>
        <v>1750</v>
      </c>
      <c r="G228" s="72">
        <f t="shared" si="2"/>
        <v>71</v>
      </c>
      <c r="H228" s="73">
        <f t="shared" si="3"/>
        <v>0.96101043382756723</v>
      </c>
      <c r="I228" s="2"/>
      <c r="J228" s="2">
        <v>46</v>
      </c>
      <c r="K228" s="2"/>
      <c r="L228" s="2">
        <v>24</v>
      </c>
      <c r="M228" s="2"/>
      <c r="N228" s="2"/>
      <c r="O228" s="2">
        <v>1</v>
      </c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F228" s="1"/>
    </row>
    <row r="229" spans="1:58" s="22" customFormat="1" x14ac:dyDescent="0.25">
      <c r="A229" s="5" t="s">
        <v>16</v>
      </c>
      <c r="B229" s="4">
        <v>46156</v>
      </c>
      <c r="C229" s="2">
        <f t="shared" si="0"/>
        <v>20</v>
      </c>
      <c r="D229" s="3">
        <v>1031</v>
      </c>
      <c r="E229" s="70">
        <f>[1]DETAY!$A$2</f>
        <v>0</v>
      </c>
      <c r="F229" s="71">
        <f t="shared" si="1"/>
        <v>1003</v>
      </c>
      <c r="G229" s="72">
        <f t="shared" si="2"/>
        <v>28</v>
      </c>
      <c r="H229" s="73">
        <f t="shared" si="3"/>
        <v>0.97284190106692536</v>
      </c>
      <c r="I229" s="2"/>
      <c r="J229" s="2"/>
      <c r="K229" s="2">
        <v>3</v>
      </c>
      <c r="L229" s="2">
        <v>5</v>
      </c>
      <c r="M229" s="2">
        <v>12</v>
      </c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>
        <v>2</v>
      </c>
      <c r="Y229" s="2">
        <v>4</v>
      </c>
      <c r="Z229" s="2"/>
      <c r="AA229" s="2"/>
      <c r="AB229" s="2"/>
      <c r="AC229" s="2"/>
      <c r="AD229" s="2"/>
      <c r="AE229" s="2"/>
      <c r="AF229" s="2"/>
      <c r="AG229" s="2"/>
      <c r="AH229" s="2">
        <v>2</v>
      </c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F229" s="1"/>
    </row>
    <row r="230" spans="1:58" s="22" customFormat="1" x14ac:dyDescent="0.25">
      <c r="A230" s="5" t="s">
        <v>9</v>
      </c>
      <c r="B230" s="4">
        <v>46156</v>
      </c>
      <c r="C230" s="2">
        <f t="shared" si="0"/>
        <v>20</v>
      </c>
      <c r="D230" s="3">
        <v>672</v>
      </c>
      <c r="E230" s="70">
        <f>[1]DETAY!$A$2</f>
        <v>0</v>
      </c>
      <c r="F230" s="71">
        <f t="shared" si="1"/>
        <v>660</v>
      </c>
      <c r="G230" s="72">
        <f t="shared" si="2"/>
        <v>12</v>
      </c>
      <c r="H230" s="73">
        <f t="shared" si="3"/>
        <v>0.9821428571428571</v>
      </c>
      <c r="I230" s="2"/>
      <c r="J230" s="2"/>
      <c r="K230" s="2"/>
      <c r="L230" s="2"/>
      <c r="M230" s="2">
        <v>11</v>
      </c>
      <c r="N230" s="2">
        <v>1</v>
      </c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F230" s="1"/>
    </row>
    <row r="231" spans="1:58" s="22" customFormat="1" x14ac:dyDescent="0.25">
      <c r="A231" s="5" t="s">
        <v>1</v>
      </c>
      <c r="B231" s="4">
        <v>46156</v>
      </c>
      <c r="C231" s="2">
        <f t="shared" si="0"/>
        <v>20</v>
      </c>
      <c r="D231" s="3">
        <v>245</v>
      </c>
      <c r="E231" s="70">
        <f>[1]DETAY!$A$2</f>
        <v>0</v>
      </c>
      <c r="F231" s="71">
        <f t="shared" si="1"/>
        <v>200</v>
      </c>
      <c r="G231" s="72">
        <f t="shared" si="2"/>
        <v>45</v>
      </c>
      <c r="H231" s="73">
        <f t="shared" si="3"/>
        <v>0.81632653061224492</v>
      </c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>
        <v>45</v>
      </c>
      <c r="AV231" s="2"/>
      <c r="AW231" s="2"/>
      <c r="AX231" s="2"/>
      <c r="AY231" s="2"/>
      <c r="AZ231" s="2"/>
      <c r="BA231" s="2"/>
      <c r="BB231" s="2"/>
      <c r="BC231" s="2"/>
      <c r="BD231" s="2"/>
      <c r="BF231" s="1"/>
    </row>
    <row r="232" spans="1:58" s="22" customFormat="1" x14ac:dyDescent="0.25">
      <c r="A232" s="5" t="s">
        <v>8</v>
      </c>
      <c r="B232" s="4">
        <v>46156</v>
      </c>
      <c r="C232" s="2">
        <f t="shared" si="0"/>
        <v>20</v>
      </c>
      <c r="D232" s="3">
        <v>900</v>
      </c>
      <c r="E232" s="70">
        <f>[1]DETAY!$A$2</f>
        <v>0</v>
      </c>
      <c r="F232" s="71">
        <f t="shared" si="1"/>
        <v>900</v>
      </c>
      <c r="G232" s="72">
        <f t="shared" si="2"/>
        <v>0</v>
      </c>
      <c r="H232" s="73">
        <f t="shared" si="3"/>
        <v>1</v>
      </c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F232" s="1"/>
    </row>
    <row r="233" spans="1:58" s="22" customFormat="1" x14ac:dyDescent="0.25">
      <c r="A233" s="5" t="s">
        <v>14</v>
      </c>
      <c r="B233" s="4">
        <v>46156</v>
      </c>
      <c r="C233" s="2">
        <f t="shared" si="0"/>
        <v>20</v>
      </c>
      <c r="D233" s="3">
        <v>220</v>
      </c>
      <c r="E233" s="70">
        <f>[1]DETAY!$A$2</f>
        <v>0</v>
      </c>
      <c r="F233" s="71">
        <f t="shared" si="1"/>
        <v>220</v>
      </c>
      <c r="G233" s="72">
        <f t="shared" si="2"/>
        <v>0</v>
      </c>
      <c r="H233" s="73">
        <f t="shared" si="3"/>
        <v>1</v>
      </c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F233" s="1"/>
    </row>
    <row r="234" spans="1:58" s="22" customFormat="1" x14ac:dyDescent="0.25">
      <c r="A234" s="74" t="s">
        <v>7</v>
      </c>
      <c r="B234" s="4">
        <v>46156</v>
      </c>
      <c r="C234" s="2">
        <f t="shared" si="0"/>
        <v>20</v>
      </c>
      <c r="D234" s="3">
        <v>64</v>
      </c>
      <c r="E234" s="70">
        <f>[1]DETAY!$A$2</f>
        <v>0</v>
      </c>
      <c r="F234" s="71">
        <f t="shared" si="1"/>
        <v>64</v>
      </c>
      <c r="G234" s="72">
        <f t="shared" si="2"/>
        <v>0</v>
      </c>
      <c r="H234" s="73">
        <f t="shared" si="3"/>
        <v>1</v>
      </c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F234" s="1"/>
    </row>
    <row r="235" spans="1:58" s="22" customFormat="1" x14ac:dyDescent="0.25">
      <c r="A235" s="5" t="s">
        <v>12</v>
      </c>
      <c r="B235" s="4">
        <v>46156</v>
      </c>
      <c r="C235" s="2">
        <f t="shared" si="0"/>
        <v>20</v>
      </c>
      <c r="D235" s="3">
        <v>220</v>
      </c>
      <c r="E235" s="70">
        <f>[1]DETAY!$A$2</f>
        <v>0</v>
      </c>
      <c r="F235" s="71">
        <f t="shared" si="1"/>
        <v>220</v>
      </c>
      <c r="G235" s="72">
        <f t="shared" si="2"/>
        <v>0</v>
      </c>
      <c r="H235" s="73">
        <f t="shared" si="3"/>
        <v>1</v>
      </c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F235" s="1"/>
    </row>
    <row r="236" spans="1:58" s="22" customFormat="1" x14ac:dyDescent="0.25">
      <c r="A236" s="74" t="s">
        <v>6</v>
      </c>
      <c r="B236" s="4">
        <v>46156</v>
      </c>
      <c r="C236" s="2">
        <f t="shared" si="0"/>
        <v>20</v>
      </c>
      <c r="D236" s="3">
        <v>385</v>
      </c>
      <c r="E236" s="70">
        <f>[1]DETAY!$A$2</f>
        <v>0</v>
      </c>
      <c r="F236" s="71">
        <f t="shared" si="1"/>
        <v>385</v>
      </c>
      <c r="G236" s="72">
        <f t="shared" si="2"/>
        <v>0</v>
      </c>
      <c r="H236" s="73">
        <f t="shared" si="3"/>
        <v>1</v>
      </c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F236" s="1"/>
    </row>
    <row r="237" spans="1:58" s="22" customFormat="1" x14ac:dyDescent="0.25">
      <c r="A237" s="5" t="s">
        <v>8</v>
      </c>
      <c r="B237" s="4">
        <v>46156</v>
      </c>
      <c r="C237" s="2">
        <f t="shared" ref="C237:C300" si="4">WEEKNUM(B237)</f>
        <v>20</v>
      </c>
      <c r="D237" s="3">
        <v>400</v>
      </c>
      <c r="E237" s="70">
        <f>[1]DETAY!$A$2</f>
        <v>0</v>
      </c>
      <c r="F237" s="71">
        <f t="shared" ref="F237:F300" si="5">D237-G237</f>
        <v>400</v>
      </c>
      <c r="G237" s="72">
        <f t="shared" ref="G237:G300" si="6">SUBTOTAL(9,I237:BD237)</f>
        <v>0</v>
      </c>
      <c r="H237" s="73">
        <f t="shared" ref="H237:H300" si="7">F237/D237</f>
        <v>1</v>
      </c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F237" s="1"/>
    </row>
    <row r="238" spans="1:58" s="22" customFormat="1" x14ac:dyDescent="0.25">
      <c r="A238" s="5" t="s">
        <v>81</v>
      </c>
      <c r="B238" s="4">
        <v>46156</v>
      </c>
      <c r="C238" s="2">
        <f t="shared" si="4"/>
        <v>20</v>
      </c>
      <c r="D238" s="3">
        <v>881</v>
      </c>
      <c r="E238" s="70">
        <f>[1]DETAY!$A$2</f>
        <v>0</v>
      </c>
      <c r="F238" s="71">
        <f t="shared" si="5"/>
        <v>878</v>
      </c>
      <c r="G238" s="72">
        <f t="shared" si="6"/>
        <v>3</v>
      </c>
      <c r="H238" s="73">
        <f t="shared" si="7"/>
        <v>0.99659477866061297</v>
      </c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>
        <v>3</v>
      </c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F238" s="1"/>
    </row>
    <row r="239" spans="1:58" s="22" customFormat="1" x14ac:dyDescent="0.25">
      <c r="A239" s="5" t="s">
        <v>14</v>
      </c>
      <c r="B239" s="4">
        <v>46156</v>
      </c>
      <c r="C239" s="2">
        <f t="shared" si="4"/>
        <v>20</v>
      </c>
      <c r="D239" s="3">
        <v>220</v>
      </c>
      <c r="E239" s="70">
        <f>[1]DETAY!$A$2</f>
        <v>0</v>
      </c>
      <c r="F239" s="71">
        <f t="shared" si="5"/>
        <v>220</v>
      </c>
      <c r="G239" s="72">
        <f t="shared" si="6"/>
        <v>0</v>
      </c>
      <c r="H239" s="73">
        <f t="shared" si="7"/>
        <v>1</v>
      </c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F239" s="1"/>
    </row>
    <row r="240" spans="1:58" s="22" customFormat="1" x14ac:dyDescent="0.25">
      <c r="A240" s="5" t="s">
        <v>7</v>
      </c>
      <c r="B240" s="4">
        <v>46156</v>
      </c>
      <c r="C240" s="2">
        <f t="shared" si="4"/>
        <v>20</v>
      </c>
      <c r="D240" s="3">
        <v>576</v>
      </c>
      <c r="E240" s="70">
        <f>[1]DETAY!$A$2</f>
        <v>0</v>
      </c>
      <c r="F240" s="71">
        <f t="shared" si="5"/>
        <v>576</v>
      </c>
      <c r="G240" s="72">
        <f t="shared" si="6"/>
        <v>0</v>
      </c>
      <c r="H240" s="73">
        <f t="shared" si="7"/>
        <v>1</v>
      </c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F240" s="1"/>
    </row>
    <row r="241" spans="1:58" s="22" customFormat="1" x14ac:dyDescent="0.25">
      <c r="A241" s="5" t="s">
        <v>12</v>
      </c>
      <c r="B241" s="4">
        <v>46156</v>
      </c>
      <c r="C241" s="2">
        <f t="shared" si="4"/>
        <v>20</v>
      </c>
      <c r="D241" s="3">
        <v>660</v>
      </c>
      <c r="E241" s="70">
        <f>[1]DETAY!$A$2</f>
        <v>0</v>
      </c>
      <c r="F241" s="71">
        <f t="shared" si="5"/>
        <v>660</v>
      </c>
      <c r="G241" s="72">
        <f t="shared" si="6"/>
        <v>0</v>
      </c>
      <c r="H241" s="73">
        <f t="shared" si="7"/>
        <v>1</v>
      </c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F241" s="1"/>
    </row>
    <row r="242" spans="1:58" s="22" customFormat="1" x14ac:dyDescent="0.25">
      <c r="A242" s="74" t="s">
        <v>5</v>
      </c>
      <c r="B242" s="4">
        <v>46156</v>
      </c>
      <c r="C242" s="2">
        <f t="shared" si="4"/>
        <v>20</v>
      </c>
      <c r="D242" s="3">
        <v>847</v>
      </c>
      <c r="E242" s="70">
        <f>[1]DETAY!$A$2</f>
        <v>0</v>
      </c>
      <c r="F242" s="71">
        <f t="shared" si="5"/>
        <v>847</v>
      </c>
      <c r="G242" s="72">
        <f t="shared" si="6"/>
        <v>0</v>
      </c>
      <c r="H242" s="73">
        <f t="shared" si="7"/>
        <v>1</v>
      </c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F242" s="1"/>
    </row>
    <row r="243" spans="1:58" s="22" customFormat="1" x14ac:dyDescent="0.25">
      <c r="A243" s="5" t="s">
        <v>87</v>
      </c>
      <c r="B243" s="4">
        <v>46156</v>
      </c>
      <c r="C243" s="2">
        <f t="shared" si="4"/>
        <v>20</v>
      </c>
      <c r="D243" s="3">
        <v>30</v>
      </c>
      <c r="E243" s="70">
        <f>[1]DETAY!$A$2</f>
        <v>0</v>
      </c>
      <c r="F243" s="71">
        <f t="shared" si="5"/>
        <v>30</v>
      </c>
      <c r="G243" s="72">
        <f t="shared" si="6"/>
        <v>0</v>
      </c>
      <c r="H243" s="73">
        <f t="shared" si="7"/>
        <v>1</v>
      </c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F243" s="1"/>
    </row>
    <row r="244" spans="1:58" s="22" customFormat="1" x14ac:dyDescent="0.25">
      <c r="A244" s="74" t="s">
        <v>6</v>
      </c>
      <c r="B244" s="4">
        <v>46156</v>
      </c>
      <c r="C244" s="2">
        <f t="shared" si="4"/>
        <v>20</v>
      </c>
      <c r="D244" s="3">
        <v>231</v>
      </c>
      <c r="E244" s="70">
        <f>[1]DETAY!$A$2</f>
        <v>0</v>
      </c>
      <c r="F244" s="71">
        <f t="shared" si="5"/>
        <v>231</v>
      </c>
      <c r="G244" s="72">
        <f t="shared" si="6"/>
        <v>0</v>
      </c>
      <c r="H244" s="73">
        <f t="shared" si="7"/>
        <v>1</v>
      </c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F244" s="1"/>
    </row>
    <row r="245" spans="1:58" s="22" customFormat="1" x14ac:dyDescent="0.25">
      <c r="A245" s="5" t="s">
        <v>83</v>
      </c>
      <c r="B245" s="4">
        <v>46156</v>
      </c>
      <c r="C245" s="2">
        <f t="shared" si="4"/>
        <v>20</v>
      </c>
      <c r="D245" s="3">
        <v>14</v>
      </c>
      <c r="E245" s="70">
        <f>[1]DETAY!$A$2</f>
        <v>0</v>
      </c>
      <c r="F245" s="71">
        <f t="shared" si="5"/>
        <v>14</v>
      </c>
      <c r="G245" s="72">
        <f t="shared" si="6"/>
        <v>0</v>
      </c>
      <c r="H245" s="73">
        <f t="shared" si="7"/>
        <v>1</v>
      </c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F245" s="1"/>
    </row>
    <row r="246" spans="1:58" s="22" customFormat="1" x14ac:dyDescent="0.25">
      <c r="A246" s="5" t="s">
        <v>82</v>
      </c>
      <c r="B246" s="4">
        <v>46156</v>
      </c>
      <c r="C246" s="2">
        <f t="shared" si="4"/>
        <v>20</v>
      </c>
      <c r="D246" s="3">
        <v>609</v>
      </c>
      <c r="E246" s="70">
        <f>[1]DETAY!$A$2</f>
        <v>0</v>
      </c>
      <c r="F246" s="71">
        <f t="shared" si="5"/>
        <v>600</v>
      </c>
      <c r="G246" s="72">
        <f t="shared" si="6"/>
        <v>9</v>
      </c>
      <c r="H246" s="73">
        <f t="shared" si="7"/>
        <v>0.98522167487684731</v>
      </c>
      <c r="I246" s="2"/>
      <c r="J246" s="2"/>
      <c r="K246" s="2"/>
      <c r="L246" s="2">
        <v>8</v>
      </c>
      <c r="M246" s="2">
        <v>1</v>
      </c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F246" s="1"/>
    </row>
    <row r="247" spans="1:58" s="22" customFormat="1" x14ac:dyDescent="0.25">
      <c r="A247" s="5" t="s">
        <v>17</v>
      </c>
      <c r="B247" s="4">
        <v>46156</v>
      </c>
      <c r="C247" s="2">
        <f t="shared" si="4"/>
        <v>20</v>
      </c>
      <c r="D247" s="3">
        <v>369</v>
      </c>
      <c r="E247" s="70">
        <f>[1]DETAY!$A$2</f>
        <v>0</v>
      </c>
      <c r="F247" s="71">
        <f t="shared" si="5"/>
        <v>347</v>
      </c>
      <c r="G247" s="72">
        <f t="shared" si="6"/>
        <v>22</v>
      </c>
      <c r="H247" s="73">
        <f t="shared" si="7"/>
        <v>0.94037940379403795</v>
      </c>
      <c r="I247" s="2"/>
      <c r="J247" s="2">
        <v>10</v>
      </c>
      <c r="K247" s="2">
        <v>3</v>
      </c>
      <c r="L247" s="2"/>
      <c r="M247" s="2">
        <v>9</v>
      </c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F247" s="1"/>
    </row>
    <row r="248" spans="1:58" s="22" customFormat="1" x14ac:dyDescent="0.25">
      <c r="A248" s="5" t="s">
        <v>16</v>
      </c>
      <c r="B248" s="4">
        <v>46156</v>
      </c>
      <c r="C248" s="2">
        <f t="shared" si="4"/>
        <v>20</v>
      </c>
      <c r="D248" s="3">
        <v>1131</v>
      </c>
      <c r="E248" s="70">
        <f>[1]DETAY!$A$2</f>
        <v>0</v>
      </c>
      <c r="F248" s="71">
        <f t="shared" si="5"/>
        <v>1106</v>
      </c>
      <c r="G248" s="72">
        <f t="shared" si="6"/>
        <v>25</v>
      </c>
      <c r="H248" s="73">
        <f t="shared" si="7"/>
        <v>0.97789566755084001</v>
      </c>
      <c r="I248" s="2"/>
      <c r="J248" s="2"/>
      <c r="K248" s="2"/>
      <c r="L248" s="2">
        <v>5</v>
      </c>
      <c r="M248" s="2">
        <v>12</v>
      </c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>
        <v>2</v>
      </c>
      <c r="Y248" s="2"/>
      <c r="Z248" s="2"/>
      <c r="AA248" s="2"/>
      <c r="AB248" s="2"/>
      <c r="AC248" s="2"/>
      <c r="AD248" s="2"/>
      <c r="AE248" s="2"/>
      <c r="AF248" s="2"/>
      <c r="AG248" s="2"/>
      <c r="AH248" s="2">
        <v>2</v>
      </c>
      <c r="AI248" s="2"/>
      <c r="AJ248" s="2">
        <v>4</v>
      </c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F248" s="1"/>
    </row>
    <row r="249" spans="1:58" s="22" customFormat="1" x14ac:dyDescent="0.25">
      <c r="A249" s="5" t="s">
        <v>11</v>
      </c>
      <c r="B249" s="4">
        <v>46156</v>
      </c>
      <c r="C249" s="2">
        <f t="shared" si="4"/>
        <v>20</v>
      </c>
      <c r="D249" s="3">
        <v>560</v>
      </c>
      <c r="E249" s="70">
        <f>[1]DETAY!$A$2</f>
        <v>0</v>
      </c>
      <c r="F249" s="71">
        <f t="shared" si="5"/>
        <v>560</v>
      </c>
      <c r="G249" s="72">
        <f t="shared" si="6"/>
        <v>0</v>
      </c>
      <c r="H249" s="73">
        <f t="shared" si="7"/>
        <v>1</v>
      </c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F249" s="1"/>
    </row>
    <row r="250" spans="1:58" s="22" customFormat="1" x14ac:dyDescent="0.25">
      <c r="A250" s="5" t="s">
        <v>10</v>
      </c>
      <c r="B250" s="4">
        <v>46156</v>
      </c>
      <c r="C250" s="2">
        <f t="shared" si="4"/>
        <v>20</v>
      </c>
      <c r="D250" s="3">
        <v>308</v>
      </c>
      <c r="E250" s="70">
        <f>[1]DETAY!$A$2</f>
        <v>0</v>
      </c>
      <c r="F250" s="71">
        <f t="shared" si="5"/>
        <v>300</v>
      </c>
      <c r="G250" s="72">
        <f t="shared" si="6"/>
        <v>8</v>
      </c>
      <c r="H250" s="73">
        <f t="shared" si="7"/>
        <v>0.97402597402597402</v>
      </c>
      <c r="I250" s="2"/>
      <c r="J250" s="2"/>
      <c r="K250" s="2"/>
      <c r="L250" s="2"/>
      <c r="M250" s="2">
        <v>8</v>
      </c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F250" s="1"/>
    </row>
    <row r="251" spans="1:58" s="22" customFormat="1" x14ac:dyDescent="0.25">
      <c r="A251" s="5" t="s">
        <v>9</v>
      </c>
      <c r="B251" s="4">
        <v>46156</v>
      </c>
      <c r="C251" s="2">
        <f t="shared" si="4"/>
        <v>20</v>
      </c>
      <c r="D251" s="3">
        <v>486</v>
      </c>
      <c r="E251" s="70">
        <f>[1]DETAY!$A$2</f>
        <v>0</v>
      </c>
      <c r="F251" s="71">
        <f t="shared" si="5"/>
        <v>360</v>
      </c>
      <c r="G251" s="72">
        <f t="shared" si="6"/>
        <v>126</v>
      </c>
      <c r="H251" s="73">
        <f t="shared" si="7"/>
        <v>0.7407407407407407</v>
      </c>
      <c r="I251" s="2"/>
      <c r="J251" s="2"/>
      <c r="K251" s="2"/>
      <c r="L251" s="2"/>
      <c r="M251" s="2">
        <v>5</v>
      </c>
      <c r="N251" s="2"/>
      <c r="O251" s="2">
        <v>120</v>
      </c>
      <c r="P251" s="2"/>
      <c r="Q251" s="2"/>
      <c r="R251" s="2"/>
      <c r="S251" s="2"/>
      <c r="T251" s="2">
        <v>1</v>
      </c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F251" s="1"/>
    </row>
    <row r="252" spans="1:58" s="22" customFormat="1" x14ac:dyDescent="0.25">
      <c r="A252" s="5" t="s">
        <v>1</v>
      </c>
      <c r="B252" s="4">
        <v>46156</v>
      </c>
      <c r="C252" s="2">
        <f t="shared" si="4"/>
        <v>20</v>
      </c>
      <c r="D252" s="3">
        <v>244</v>
      </c>
      <c r="E252" s="70">
        <f>[1]DETAY!$A$2</f>
        <v>0</v>
      </c>
      <c r="F252" s="71">
        <f t="shared" si="5"/>
        <v>231</v>
      </c>
      <c r="G252" s="72">
        <f t="shared" si="6"/>
        <v>13</v>
      </c>
      <c r="H252" s="73">
        <f t="shared" si="7"/>
        <v>0.94672131147540983</v>
      </c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>
        <v>13</v>
      </c>
      <c r="AV252" s="2"/>
      <c r="AW252" s="2"/>
      <c r="AX252" s="2"/>
      <c r="AY252" s="2"/>
      <c r="AZ252" s="2"/>
      <c r="BA252" s="2"/>
      <c r="BB252" s="2"/>
      <c r="BC252" s="2"/>
      <c r="BD252" s="2"/>
      <c r="BF252" s="1"/>
    </row>
    <row r="253" spans="1:58" s="22" customFormat="1" x14ac:dyDescent="0.25">
      <c r="A253" s="74" t="s">
        <v>7</v>
      </c>
      <c r="B253" s="4">
        <v>46156</v>
      </c>
      <c r="C253" s="2">
        <f t="shared" si="4"/>
        <v>20</v>
      </c>
      <c r="D253" s="3">
        <v>1024</v>
      </c>
      <c r="E253" s="70">
        <f>[1]DETAY!$A$2</f>
        <v>0</v>
      </c>
      <c r="F253" s="71">
        <f t="shared" si="5"/>
        <v>1024</v>
      </c>
      <c r="G253" s="72">
        <f t="shared" si="6"/>
        <v>0</v>
      </c>
      <c r="H253" s="73">
        <f t="shared" si="7"/>
        <v>1</v>
      </c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F253" s="1"/>
    </row>
    <row r="254" spans="1:58" s="22" customFormat="1" x14ac:dyDescent="0.25">
      <c r="A254" s="5" t="s">
        <v>3</v>
      </c>
      <c r="B254" s="4">
        <v>46156</v>
      </c>
      <c r="C254" s="2">
        <f t="shared" si="4"/>
        <v>20</v>
      </c>
      <c r="D254" s="3">
        <v>220</v>
      </c>
      <c r="E254" s="70">
        <f>[1]DETAY!$A$2</f>
        <v>0</v>
      </c>
      <c r="F254" s="71">
        <f t="shared" si="5"/>
        <v>220</v>
      </c>
      <c r="G254" s="72">
        <f t="shared" si="6"/>
        <v>0</v>
      </c>
      <c r="H254" s="73">
        <f t="shared" si="7"/>
        <v>1</v>
      </c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F254" s="1"/>
    </row>
    <row r="255" spans="1:58" s="22" customFormat="1" x14ac:dyDescent="0.25">
      <c r="A255" s="74" t="s">
        <v>13</v>
      </c>
      <c r="B255" s="4">
        <v>46156</v>
      </c>
      <c r="C255" s="2">
        <f t="shared" si="4"/>
        <v>20</v>
      </c>
      <c r="D255" s="3">
        <v>1320</v>
      </c>
      <c r="E255" s="70">
        <f>[1]DETAY!$A$2</f>
        <v>0</v>
      </c>
      <c r="F255" s="71">
        <f t="shared" si="5"/>
        <v>1320</v>
      </c>
      <c r="G255" s="72">
        <f t="shared" si="6"/>
        <v>0</v>
      </c>
      <c r="H255" s="73">
        <f t="shared" si="7"/>
        <v>1</v>
      </c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F255" s="1"/>
    </row>
    <row r="256" spans="1:58" s="22" customFormat="1" x14ac:dyDescent="0.25">
      <c r="A256" s="74" t="s">
        <v>5</v>
      </c>
      <c r="B256" s="4">
        <v>46156</v>
      </c>
      <c r="C256" s="2">
        <f t="shared" si="4"/>
        <v>20</v>
      </c>
      <c r="D256" s="3">
        <v>231</v>
      </c>
      <c r="E256" s="70">
        <f>[1]DETAY!$A$2</f>
        <v>0</v>
      </c>
      <c r="F256" s="71">
        <f t="shared" si="5"/>
        <v>231</v>
      </c>
      <c r="G256" s="72">
        <f t="shared" si="6"/>
        <v>0</v>
      </c>
      <c r="H256" s="73">
        <f t="shared" si="7"/>
        <v>1</v>
      </c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F256" s="1"/>
    </row>
    <row r="257" spans="1:58" s="22" customFormat="1" x14ac:dyDescent="0.25">
      <c r="A257" s="74" t="s">
        <v>4</v>
      </c>
      <c r="B257" s="4">
        <v>46156</v>
      </c>
      <c r="C257" s="2">
        <f t="shared" si="4"/>
        <v>20</v>
      </c>
      <c r="D257" s="3">
        <v>77</v>
      </c>
      <c r="E257" s="70">
        <f>[1]DETAY!$A$2</f>
        <v>0</v>
      </c>
      <c r="F257" s="71">
        <f t="shared" si="5"/>
        <v>77</v>
      </c>
      <c r="G257" s="72">
        <f t="shared" si="6"/>
        <v>0</v>
      </c>
      <c r="H257" s="73">
        <f t="shared" si="7"/>
        <v>1</v>
      </c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F257" s="1"/>
    </row>
    <row r="258" spans="1:58" s="22" customFormat="1" x14ac:dyDescent="0.25">
      <c r="A258" s="74" t="s">
        <v>6</v>
      </c>
      <c r="B258" s="4">
        <v>46156</v>
      </c>
      <c r="C258" s="2">
        <f t="shared" si="4"/>
        <v>20</v>
      </c>
      <c r="D258" s="3">
        <v>231</v>
      </c>
      <c r="E258" s="70">
        <f>[1]DETAY!$A$2</f>
        <v>0</v>
      </c>
      <c r="F258" s="71">
        <f t="shared" si="5"/>
        <v>231</v>
      </c>
      <c r="G258" s="72">
        <f t="shared" si="6"/>
        <v>0</v>
      </c>
      <c r="H258" s="73">
        <f t="shared" si="7"/>
        <v>1</v>
      </c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F258" s="1"/>
    </row>
    <row r="259" spans="1:58" s="22" customFormat="1" x14ac:dyDescent="0.25">
      <c r="A259" s="5" t="s">
        <v>82</v>
      </c>
      <c r="B259" s="4">
        <v>46156</v>
      </c>
      <c r="C259" s="2">
        <f t="shared" si="4"/>
        <v>20</v>
      </c>
      <c r="D259" s="3">
        <v>610</v>
      </c>
      <c r="E259" s="70">
        <f>[1]DETAY!$A$2</f>
        <v>0</v>
      </c>
      <c r="F259" s="71">
        <f t="shared" si="5"/>
        <v>600</v>
      </c>
      <c r="G259" s="72">
        <f t="shared" si="6"/>
        <v>10</v>
      </c>
      <c r="H259" s="73">
        <f t="shared" si="7"/>
        <v>0.98360655737704916</v>
      </c>
      <c r="I259" s="2"/>
      <c r="J259" s="2"/>
      <c r="K259" s="2"/>
      <c r="L259" s="2">
        <v>10</v>
      </c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F259" s="1"/>
    </row>
    <row r="260" spans="1:58" s="22" customFormat="1" x14ac:dyDescent="0.25">
      <c r="A260" s="5" t="s">
        <v>17</v>
      </c>
      <c r="B260" s="4">
        <v>46156</v>
      </c>
      <c r="C260" s="2">
        <f t="shared" si="4"/>
        <v>20</v>
      </c>
      <c r="D260" s="3">
        <v>1085</v>
      </c>
      <c r="E260" s="70">
        <f>[1]DETAY!$A$2</f>
        <v>0</v>
      </c>
      <c r="F260" s="71">
        <f t="shared" si="5"/>
        <v>1050</v>
      </c>
      <c r="G260" s="72">
        <f t="shared" si="6"/>
        <v>35</v>
      </c>
      <c r="H260" s="73">
        <f t="shared" si="7"/>
        <v>0.967741935483871</v>
      </c>
      <c r="I260" s="2"/>
      <c r="J260" s="2">
        <v>31</v>
      </c>
      <c r="K260" s="2"/>
      <c r="L260" s="2">
        <v>4</v>
      </c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F260" s="1"/>
    </row>
    <row r="261" spans="1:58" s="22" customFormat="1" x14ac:dyDescent="0.25">
      <c r="A261" s="5" t="s">
        <v>10</v>
      </c>
      <c r="B261" s="4">
        <v>46156</v>
      </c>
      <c r="C261" s="2">
        <f t="shared" si="4"/>
        <v>20</v>
      </c>
      <c r="D261" s="3">
        <v>63</v>
      </c>
      <c r="E261" s="70">
        <f>[1]DETAY!$A$2</f>
        <v>0</v>
      </c>
      <c r="F261" s="71">
        <f t="shared" si="5"/>
        <v>60</v>
      </c>
      <c r="G261" s="72">
        <f t="shared" si="6"/>
        <v>3</v>
      </c>
      <c r="H261" s="73">
        <f t="shared" si="7"/>
        <v>0.95238095238095233</v>
      </c>
      <c r="I261" s="2"/>
      <c r="J261" s="2"/>
      <c r="K261" s="2"/>
      <c r="L261" s="2"/>
      <c r="M261" s="2">
        <v>1</v>
      </c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>
        <v>2</v>
      </c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F261" s="1"/>
    </row>
    <row r="262" spans="1:58" s="22" customFormat="1" x14ac:dyDescent="0.25">
      <c r="A262" s="5" t="s">
        <v>9</v>
      </c>
      <c r="B262" s="4">
        <v>46156</v>
      </c>
      <c r="C262" s="2">
        <f t="shared" si="4"/>
        <v>20</v>
      </c>
      <c r="D262" s="3">
        <v>123</v>
      </c>
      <c r="E262" s="70">
        <f>[1]DETAY!$A$2</f>
        <v>0</v>
      </c>
      <c r="F262" s="71">
        <f t="shared" si="5"/>
        <v>120</v>
      </c>
      <c r="G262" s="72">
        <f t="shared" si="6"/>
        <v>3</v>
      </c>
      <c r="H262" s="73">
        <f t="shared" si="7"/>
        <v>0.97560975609756095</v>
      </c>
      <c r="I262" s="2"/>
      <c r="J262" s="2"/>
      <c r="K262" s="2"/>
      <c r="L262" s="2"/>
      <c r="M262" s="2">
        <v>3</v>
      </c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F262" s="1"/>
    </row>
    <row r="263" spans="1:58" s="22" customFormat="1" x14ac:dyDescent="0.25">
      <c r="A263" s="5" t="s">
        <v>1</v>
      </c>
      <c r="B263" s="4">
        <v>46156</v>
      </c>
      <c r="C263" s="2">
        <f t="shared" si="4"/>
        <v>20</v>
      </c>
      <c r="D263" s="3">
        <v>191</v>
      </c>
      <c r="E263" s="70">
        <f>[1]DETAY!$A$2</f>
        <v>0</v>
      </c>
      <c r="F263" s="71">
        <f t="shared" si="5"/>
        <v>175</v>
      </c>
      <c r="G263" s="72">
        <f t="shared" si="6"/>
        <v>16</v>
      </c>
      <c r="H263" s="73">
        <f t="shared" si="7"/>
        <v>0.91623036649214662</v>
      </c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>
        <v>16</v>
      </c>
      <c r="AV263" s="2"/>
      <c r="AW263" s="2"/>
      <c r="AX263" s="2"/>
      <c r="AY263" s="2"/>
      <c r="AZ263" s="2"/>
      <c r="BA263" s="2"/>
      <c r="BB263" s="2"/>
      <c r="BC263" s="2"/>
      <c r="BD263" s="2"/>
      <c r="BF263" s="1"/>
    </row>
    <row r="264" spans="1:58" s="22" customFormat="1" x14ac:dyDescent="0.25">
      <c r="A264" s="5" t="s">
        <v>0</v>
      </c>
      <c r="B264" s="4">
        <v>46156</v>
      </c>
      <c r="C264" s="2">
        <f t="shared" si="4"/>
        <v>20</v>
      </c>
      <c r="D264" s="3">
        <v>217</v>
      </c>
      <c r="E264" s="70">
        <f>[1]DETAY!$A$2</f>
        <v>0</v>
      </c>
      <c r="F264" s="71">
        <f t="shared" si="5"/>
        <v>192</v>
      </c>
      <c r="G264" s="72">
        <f t="shared" si="6"/>
        <v>25</v>
      </c>
      <c r="H264" s="73">
        <f t="shared" si="7"/>
        <v>0.88479262672811065</v>
      </c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>
        <v>25</v>
      </c>
      <c r="AV264" s="2"/>
      <c r="AW264" s="2"/>
      <c r="AX264" s="2"/>
      <c r="AY264" s="2"/>
      <c r="AZ264" s="2"/>
      <c r="BA264" s="2"/>
      <c r="BB264" s="2"/>
      <c r="BC264" s="2"/>
      <c r="BD264" s="2"/>
      <c r="BF264" s="1"/>
    </row>
    <row r="265" spans="1:58" s="22" customFormat="1" x14ac:dyDescent="0.25">
      <c r="A265" s="5" t="s">
        <v>84</v>
      </c>
      <c r="B265" s="4">
        <v>46157</v>
      </c>
      <c r="C265" s="2">
        <f t="shared" si="4"/>
        <v>20</v>
      </c>
      <c r="D265" s="3">
        <v>600</v>
      </c>
      <c r="E265" s="70">
        <f>[1]DETAY!$A$2</f>
        <v>0</v>
      </c>
      <c r="F265" s="71">
        <f t="shared" si="5"/>
        <v>600</v>
      </c>
      <c r="G265" s="72">
        <f t="shared" si="6"/>
        <v>0</v>
      </c>
      <c r="H265" s="73">
        <f t="shared" si="7"/>
        <v>1</v>
      </c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F265" s="1"/>
    </row>
    <row r="266" spans="1:58" s="22" customFormat="1" x14ac:dyDescent="0.25">
      <c r="A266" s="5" t="s">
        <v>82</v>
      </c>
      <c r="B266" s="4">
        <v>46157</v>
      </c>
      <c r="C266" s="2">
        <f t="shared" si="4"/>
        <v>20</v>
      </c>
      <c r="D266" s="3">
        <v>1203</v>
      </c>
      <c r="E266" s="70">
        <f>[1]DETAY!$A$2</f>
        <v>0</v>
      </c>
      <c r="F266" s="71">
        <f t="shared" si="5"/>
        <v>1200</v>
      </c>
      <c r="G266" s="72">
        <f t="shared" si="6"/>
        <v>3</v>
      </c>
      <c r="H266" s="73">
        <f t="shared" si="7"/>
        <v>0.99750623441396513</v>
      </c>
      <c r="I266" s="2"/>
      <c r="J266" s="2"/>
      <c r="K266" s="2"/>
      <c r="L266" s="2">
        <v>3</v>
      </c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F266" s="1"/>
    </row>
    <row r="267" spans="1:58" s="22" customFormat="1" x14ac:dyDescent="0.25">
      <c r="A267" s="5" t="s">
        <v>20</v>
      </c>
      <c r="B267" s="4">
        <v>46157</v>
      </c>
      <c r="C267" s="2">
        <f t="shared" si="4"/>
        <v>20</v>
      </c>
      <c r="D267" s="3">
        <v>1061</v>
      </c>
      <c r="E267" s="70">
        <f>[1]DETAY!$A$2</f>
        <v>0</v>
      </c>
      <c r="F267" s="71">
        <f t="shared" si="5"/>
        <v>1050</v>
      </c>
      <c r="G267" s="72">
        <f t="shared" si="6"/>
        <v>11</v>
      </c>
      <c r="H267" s="73">
        <f t="shared" si="7"/>
        <v>0.98963242224316683</v>
      </c>
      <c r="I267" s="2"/>
      <c r="J267" s="2">
        <v>11</v>
      </c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F267" s="1"/>
    </row>
    <row r="268" spans="1:58" s="22" customFormat="1" x14ac:dyDescent="0.25">
      <c r="A268" s="5" t="s">
        <v>18</v>
      </c>
      <c r="B268" s="4">
        <v>46157</v>
      </c>
      <c r="C268" s="2">
        <f t="shared" si="4"/>
        <v>20</v>
      </c>
      <c r="D268" s="3">
        <v>368</v>
      </c>
      <c r="E268" s="70">
        <f>[1]DETAY!$A$2</f>
        <v>0</v>
      </c>
      <c r="F268" s="71">
        <f t="shared" si="5"/>
        <v>350</v>
      </c>
      <c r="G268" s="72">
        <f t="shared" si="6"/>
        <v>18</v>
      </c>
      <c r="H268" s="73">
        <f t="shared" si="7"/>
        <v>0.95108695652173914</v>
      </c>
      <c r="I268" s="2"/>
      <c r="J268" s="2"/>
      <c r="K268" s="2"/>
      <c r="L268" s="2">
        <v>18</v>
      </c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F268" s="1"/>
    </row>
    <row r="269" spans="1:58" s="22" customFormat="1" x14ac:dyDescent="0.25">
      <c r="A269" s="5" t="s">
        <v>17</v>
      </c>
      <c r="B269" s="4">
        <v>46157</v>
      </c>
      <c r="C269" s="2">
        <f t="shared" si="4"/>
        <v>20</v>
      </c>
      <c r="D269" s="3">
        <v>350</v>
      </c>
      <c r="E269" s="70">
        <f>[1]DETAY!$A$2</f>
        <v>0</v>
      </c>
      <c r="F269" s="71">
        <f t="shared" si="5"/>
        <v>350</v>
      </c>
      <c r="G269" s="72">
        <f t="shared" si="6"/>
        <v>0</v>
      </c>
      <c r="H269" s="73">
        <f t="shared" si="7"/>
        <v>1</v>
      </c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F269" s="1"/>
    </row>
    <row r="270" spans="1:58" s="22" customFormat="1" x14ac:dyDescent="0.25">
      <c r="A270" s="5" t="s">
        <v>16</v>
      </c>
      <c r="B270" s="4">
        <v>46157</v>
      </c>
      <c r="C270" s="2">
        <f t="shared" si="4"/>
        <v>20</v>
      </c>
      <c r="D270" s="3">
        <v>1071</v>
      </c>
      <c r="E270" s="70">
        <f>[1]DETAY!$A$2</f>
        <v>0</v>
      </c>
      <c r="F270" s="71">
        <f t="shared" si="5"/>
        <v>1050</v>
      </c>
      <c r="G270" s="72">
        <f t="shared" si="6"/>
        <v>21</v>
      </c>
      <c r="H270" s="73">
        <f t="shared" si="7"/>
        <v>0.98039215686274506</v>
      </c>
      <c r="I270" s="2"/>
      <c r="J270" s="2"/>
      <c r="K270" s="2"/>
      <c r="L270" s="2"/>
      <c r="M270" s="2">
        <v>14</v>
      </c>
      <c r="N270" s="2"/>
      <c r="O270" s="2"/>
      <c r="P270" s="2">
        <v>4</v>
      </c>
      <c r="Q270" s="2"/>
      <c r="R270" s="2"/>
      <c r="S270" s="2"/>
      <c r="T270" s="2"/>
      <c r="U270" s="2"/>
      <c r="V270" s="2"/>
      <c r="W270" s="2"/>
      <c r="X270" s="2"/>
      <c r="Y270" s="2">
        <v>1</v>
      </c>
      <c r="Z270" s="2"/>
      <c r="AA270" s="2"/>
      <c r="AB270" s="2"/>
      <c r="AC270" s="2"/>
      <c r="AD270" s="2"/>
      <c r="AE270" s="2"/>
      <c r="AF270" s="2"/>
      <c r="AG270" s="2"/>
      <c r="AH270" s="2">
        <v>2</v>
      </c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F270" s="1"/>
    </row>
    <row r="271" spans="1:58" s="22" customFormat="1" x14ac:dyDescent="0.25">
      <c r="A271" s="5" t="s">
        <v>11</v>
      </c>
      <c r="B271" s="4">
        <v>46157</v>
      </c>
      <c r="C271" s="2">
        <f t="shared" si="4"/>
        <v>20</v>
      </c>
      <c r="D271" s="3">
        <v>739</v>
      </c>
      <c r="E271" s="70">
        <f>[1]DETAY!$A$2</f>
        <v>0</v>
      </c>
      <c r="F271" s="71">
        <f t="shared" si="5"/>
        <v>735</v>
      </c>
      <c r="G271" s="72">
        <f t="shared" si="6"/>
        <v>4</v>
      </c>
      <c r="H271" s="73">
        <f t="shared" si="7"/>
        <v>0.99458728010825437</v>
      </c>
      <c r="I271" s="2"/>
      <c r="J271" s="2"/>
      <c r="K271" s="2"/>
      <c r="L271" s="2">
        <v>2</v>
      </c>
      <c r="M271" s="2"/>
      <c r="N271" s="2"/>
      <c r="O271" s="2"/>
      <c r="P271" s="2"/>
      <c r="Q271" s="2"/>
      <c r="R271" s="2"/>
      <c r="S271" s="2"/>
      <c r="T271" s="2"/>
      <c r="U271" s="2"/>
      <c r="V271" s="2">
        <v>2</v>
      </c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F271" s="1"/>
    </row>
    <row r="272" spans="1:58" s="22" customFormat="1" x14ac:dyDescent="0.25">
      <c r="A272" s="5" t="s">
        <v>10</v>
      </c>
      <c r="B272" s="4">
        <v>46157</v>
      </c>
      <c r="C272" s="2">
        <f t="shared" si="4"/>
        <v>20</v>
      </c>
      <c r="D272" s="3">
        <v>364</v>
      </c>
      <c r="E272" s="70">
        <f>[1]DETAY!$A$2</f>
        <v>0</v>
      </c>
      <c r="F272" s="71">
        <f t="shared" si="5"/>
        <v>360</v>
      </c>
      <c r="G272" s="72">
        <f t="shared" si="6"/>
        <v>4</v>
      </c>
      <c r="H272" s="73">
        <f t="shared" si="7"/>
        <v>0.98901098901098905</v>
      </c>
      <c r="I272" s="2"/>
      <c r="J272" s="2"/>
      <c r="K272" s="2"/>
      <c r="L272" s="2"/>
      <c r="M272" s="2">
        <v>3</v>
      </c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>
        <v>1</v>
      </c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F272" s="1"/>
    </row>
    <row r="273" spans="1:58" s="22" customFormat="1" x14ac:dyDescent="0.25">
      <c r="A273" s="5" t="s">
        <v>9</v>
      </c>
      <c r="B273" s="4">
        <v>46157</v>
      </c>
      <c r="C273" s="2">
        <f t="shared" si="4"/>
        <v>20</v>
      </c>
      <c r="D273" s="3">
        <v>362</v>
      </c>
      <c r="E273" s="70">
        <f>[1]DETAY!$A$2</f>
        <v>0</v>
      </c>
      <c r="F273" s="71">
        <f t="shared" si="5"/>
        <v>360</v>
      </c>
      <c r="G273" s="72">
        <f t="shared" si="6"/>
        <v>2</v>
      </c>
      <c r="H273" s="73">
        <f t="shared" si="7"/>
        <v>0.99447513812154698</v>
      </c>
      <c r="I273" s="2"/>
      <c r="J273" s="2"/>
      <c r="K273" s="2"/>
      <c r="L273" s="2"/>
      <c r="M273" s="2">
        <v>1</v>
      </c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>
        <v>1</v>
      </c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F273" s="1"/>
    </row>
    <row r="274" spans="1:58" s="22" customFormat="1" x14ac:dyDescent="0.25">
      <c r="A274" s="5" t="s">
        <v>1</v>
      </c>
      <c r="B274" s="4">
        <v>46157</v>
      </c>
      <c r="C274" s="2">
        <f t="shared" si="4"/>
        <v>20</v>
      </c>
      <c r="D274" s="3">
        <v>320</v>
      </c>
      <c r="E274" s="70">
        <f>[1]DETAY!$A$2</f>
        <v>0</v>
      </c>
      <c r="F274" s="71">
        <f t="shared" si="5"/>
        <v>170</v>
      </c>
      <c r="G274" s="72">
        <f t="shared" si="6"/>
        <v>150</v>
      </c>
      <c r="H274" s="73">
        <f t="shared" si="7"/>
        <v>0.53125</v>
      </c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>
        <v>150</v>
      </c>
      <c r="AV274" s="2"/>
      <c r="AW274" s="2"/>
      <c r="AX274" s="2"/>
      <c r="AY274" s="2"/>
      <c r="AZ274" s="2"/>
      <c r="BA274" s="2"/>
      <c r="BB274" s="2"/>
      <c r="BC274" s="2"/>
      <c r="BD274" s="2"/>
      <c r="BF274" s="1"/>
    </row>
    <row r="275" spans="1:58" s="22" customFormat="1" x14ac:dyDescent="0.25">
      <c r="A275" s="5" t="s">
        <v>0</v>
      </c>
      <c r="B275" s="4">
        <v>46157</v>
      </c>
      <c r="C275" s="2">
        <f t="shared" si="4"/>
        <v>20</v>
      </c>
      <c r="D275" s="3">
        <v>257</v>
      </c>
      <c r="E275" s="70">
        <f>[1]DETAY!$A$2</f>
        <v>0</v>
      </c>
      <c r="F275" s="71">
        <f t="shared" si="5"/>
        <v>245</v>
      </c>
      <c r="G275" s="72">
        <f t="shared" si="6"/>
        <v>12</v>
      </c>
      <c r="H275" s="73">
        <f t="shared" si="7"/>
        <v>0.953307392996109</v>
      </c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>
        <v>12</v>
      </c>
      <c r="AV275" s="2"/>
      <c r="AW275" s="2"/>
      <c r="AX275" s="2"/>
      <c r="AY275" s="2"/>
      <c r="AZ275" s="2"/>
      <c r="BA275" s="2"/>
      <c r="BB275" s="2"/>
      <c r="BC275" s="2"/>
      <c r="BD275" s="2"/>
      <c r="BF275" s="1"/>
    </row>
    <row r="276" spans="1:58" s="22" customFormat="1" x14ac:dyDescent="0.25">
      <c r="A276" s="74" t="s">
        <v>7</v>
      </c>
      <c r="B276" s="4">
        <v>46157</v>
      </c>
      <c r="C276" s="2">
        <f t="shared" si="4"/>
        <v>20</v>
      </c>
      <c r="D276" s="3">
        <v>75</v>
      </c>
      <c r="E276" s="70">
        <f>[1]DETAY!$A$2</f>
        <v>0</v>
      </c>
      <c r="F276" s="71">
        <f t="shared" si="5"/>
        <v>43</v>
      </c>
      <c r="G276" s="72">
        <f t="shared" si="6"/>
        <v>32</v>
      </c>
      <c r="H276" s="73">
        <f t="shared" si="7"/>
        <v>0.57333333333333336</v>
      </c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>
        <v>1</v>
      </c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>
        <v>31</v>
      </c>
      <c r="AV276" s="2"/>
      <c r="AW276" s="2"/>
      <c r="AX276" s="2"/>
      <c r="AY276" s="2"/>
      <c r="AZ276" s="2"/>
      <c r="BA276" s="2"/>
      <c r="BB276" s="2"/>
      <c r="BC276" s="2"/>
      <c r="BD276" s="2"/>
      <c r="BF276" s="1"/>
    </row>
    <row r="277" spans="1:58" s="22" customFormat="1" x14ac:dyDescent="0.25">
      <c r="A277" s="74" t="s">
        <v>13</v>
      </c>
      <c r="B277" s="4">
        <v>46157</v>
      </c>
      <c r="C277" s="2">
        <f t="shared" si="4"/>
        <v>20</v>
      </c>
      <c r="D277" s="3">
        <v>1320</v>
      </c>
      <c r="E277" s="70">
        <f>[1]DETAY!$A$2</f>
        <v>0</v>
      </c>
      <c r="F277" s="71">
        <f t="shared" si="5"/>
        <v>1320</v>
      </c>
      <c r="G277" s="72">
        <f t="shared" si="6"/>
        <v>0</v>
      </c>
      <c r="H277" s="73">
        <f t="shared" si="7"/>
        <v>1</v>
      </c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F277" s="1"/>
    </row>
    <row r="278" spans="1:58" s="22" customFormat="1" x14ac:dyDescent="0.25">
      <c r="A278" s="74" t="s">
        <v>4</v>
      </c>
      <c r="B278" s="4">
        <v>46157</v>
      </c>
      <c r="C278" s="2">
        <f t="shared" si="4"/>
        <v>20</v>
      </c>
      <c r="D278" s="3">
        <v>318</v>
      </c>
      <c r="E278" s="70">
        <f>[1]DETAY!$A$2</f>
        <v>0</v>
      </c>
      <c r="F278" s="71">
        <f t="shared" si="5"/>
        <v>308</v>
      </c>
      <c r="G278" s="72">
        <f t="shared" si="6"/>
        <v>10</v>
      </c>
      <c r="H278" s="73">
        <f t="shared" si="7"/>
        <v>0.96855345911949686</v>
      </c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>
        <v>10</v>
      </c>
      <c r="AV278" s="2"/>
      <c r="AW278" s="2"/>
      <c r="AX278" s="2"/>
      <c r="AY278" s="2"/>
      <c r="AZ278" s="2"/>
      <c r="BA278" s="2"/>
      <c r="BB278" s="2"/>
      <c r="BC278" s="2"/>
      <c r="BD278" s="2"/>
      <c r="BF278" s="1"/>
    </row>
    <row r="279" spans="1:58" s="22" customFormat="1" x14ac:dyDescent="0.25">
      <c r="A279" s="5" t="s">
        <v>86</v>
      </c>
      <c r="B279" s="4">
        <v>46157</v>
      </c>
      <c r="C279" s="2">
        <f t="shared" si="4"/>
        <v>20</v>
      </c>
      <c r="D279" s="3">
        <v>100</v>
      </c>
      <c r="E279" s="70">
        <f>[1]DETAY!$A$2</f>
        <v>0</v>
      </c>
      <c r="F279" s="71">
        <f t="shared" si="5"/>
        <v>100</v>
      </c>
      <c r="G279" s="72">
        <f t="shared" si="6"/>
        <v>0</v>
      </c>
      <c r="H279" s="73">
        <f t="shared" si="7"/>
        <v>1</v>
      </c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F279" s="1"/>
    </row>
    <row r="280" spans="1:58" s="22" customFormat="1" x14ac:dyDescent="0.25">
      <c r="A280" s="5" t="s">
        <v>15</v>
      </c>
      <c r="B280" s="4">
        <v>46157</v>
      </c>
      <c r="C280" s="2">
        <f t="shared" si="4"/>
        <v>20</v>
      </c>
      <c r="D280" s="3">
        <v>220</v>
      </c>
      <c r="E280" s="70">
        <f>[1]DETAY!$A$2</f>
        <v>0</v>
      </c>
      <c r="F280" s="71">
        <f t="shared" si="5"/>
        <v>220</v>
      </c>
      <c r="G280" s="72">
        <f t="shared" si="6"/>
        <v>0</v>
      </c>
      <c r="H280" s="73">
        <f t="shared" si="7"/>
        <v>1</v>
      </c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F280" s="1"/>
    </row>
    <row r="281" spans="1:58" s="22" customFormat="1" x14ac:dyDescent="0.25">
      <c r="A281" s="74" t="s">
        <v>13</v>
      </c>
      <c r="B281" s="4">
        <v>46157</v>
      </c>
      <c r="C281" s="2">
        <f t="shared" si="4"/>
        <v>20</v>
      </c>
      <c r="D281" s="3">
        <v>1080</v>
      </c>
      <c r="E281" s="70">
        <f>[1]DETAY!$A$2</f>
        <v>0</v>
      </c>
      <c r="F281" s="71">
        <f t="shared" si="5"/>
        <v>1080</v>
      </c>
      <c r="G281" s="72">
        <f t="shared" si="6"/>
        <v>0</v>
      </c>
      <c r="H281" s="73">
        <f t="shared" si="7"/>
        <v>1</v>
      </c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F281" s="1"/>
    </row>
    <row r="282" spans="1:58" s="22" customFormat="1" x14ac:dyDescent="0.25">
      <c r="A282" s="74" t="s">
        <v>5</v>
      </c>
      <c r="B282" s="4">
        <v>46157</v>
      </c>
      <c r="C282" s="2">
        <f t="shared" si="4"/>
        <v>20</v>
      </c>
      <c r="D282" s="3">
        <v>77</v>
      </c>
      <c r="E282" s="70">
        <f>[1]DETAY!$A$2</f>
        <v>0</v>
      </c>
      <c r="F282" s="71">
        <f t="shared" si="5"/>
        <v>77</v>
      </c>
      <c r="G282" s="72">
        <f t="shared" si="6"/>
        <v>0</v>
      </c>
      <c r="H282" s="73">
        <f t="shared" si="7"/>
        <v>1</v>
      </c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F282" s="1"/>
    </row>
    <row r="283" spans="1:58" s="22" customFormat="1" x14ac:dyDescent="0.25">
      <c r="A283" s="74" t="s">
        <v>4</v>
      </c>
      <c r="B283" s="4">
        <v>46157</v>
      </c>
      <c r="C283" s="2">
        <f t="shared" si="4"/>
        <v>20</v>
      </c>
      <c r="D283" s="3">
        <v>322</v>
      </c>
      <c r="E283" s="70">
        <f>[1]DETAY!$A$2</f>
        <v>0</v>
      </c>
      <c r="F283" s="71">
        <f t="shared" si="5"/>
        <v>308</v>
      </c>
      <c r="G283" s="72">
        <f t="shared" si="6"/>
        <v>14</v>
      </c>
      <c r="H283" s="73">
        <f t="shared" si="7"/>
        <v>0.95652173913043481</v>
      </c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>
        <v>14</v>
      </c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F283" s="1"/>
    </row>
    <row r="284" spans="1:58" s="22" customFormat="1" x14ac:dyDescent="0.25">
      <c r="A284" s="74" t="s">
        <v>6</v>
      </c>
      <c r="B284" s="4">
        <v>46157</v>
      </c>
      <c r="C284" s="2">
        <f t="shared" si="4"/>
        <v>20</v>
      </c>
      <c r="D284" s="3">
        <v>385</v>
      </c>
      <c r="E284" s="70">
        <f>[1]DETAY!$A$2</f>
        <v>0</v>
      </c>
      <c r="F284" s="71">
        <f t="shared" si="5"/>
        <v>385</v>
      </c>
      <c r="G284" s="72">
        <f t="shared" si="6"/>
        <v>0</v>
      </c>
      <c r="H284" s="73">
        <f t="shared" si="7"/>
        <v>1</v>
      </c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F284" s="1"/>
    </row>
    <row r="285" spans="1:58" s="22" customFormat="1" x14ac:dyDescent="0.25">
      <c r="A285" s="5" t="s">
        <v>2</v>
      </c>
      <c r="B285" s="4">
        <v>46157</v>
      </c>
      <c r="C285" s="2">
        <f t="shared" si="4"/>
        <v>20</v>
      </c>
      <c r="D285" s="3">
        <v>67</v>
      </c>
      <c r="E285" s="70">
        <f>[1]DETAY!$A$2</f>
        <v>0</v>
      </c>
      <c r="F285" s="71">
        <f t="shared" si="5"/>
        <v>65</v>
      </c>
      <c r="G285" s="72">
        <f t="shared" si="6"/>
        <v>2</v>
      </c>
      <c r="H285" s="73">
        <f t="shared" si="7"/>
        <v>0.97014925373134331</v>
      </c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>
        <v>2</v>
      </c>
      <c r="AV285" s="2"/>
      <c r="AW285" s="2"/>
      <c r="AX285" s="2"/>
      <c r="AY285" s="2"/>
      <c r="AZ285" s="2"/>
      <c r="BA285" s="2"/>
      <c r="BB285" s="2"/>
      <c r="BC285" s="2"/>
      <c r="BD285" s="2"/>
      <c r="BF285" s="1"/>
    </row>
    <row r="286" spans="1:58" s="22" customFormat="1" x14ac:dyDescent="0.25">
      <c r="A286" s="5" t="s">
        <v>84</v>
      </c>
      <c r="B286" s="4">
        <v>46157</v>
      </c>
      <c r="C286" s="2">
        <f t="shared" si="4"/>
        <v>20</v>
      </c>
      <c r="D286" s="3">
        <v>624</v>
      </c>
      <c r="E286" s="70">
        <f>[1]DETAY!$A$2</f>
        <v>0</v>
      </c>
      <c r="F286" s="71">
        <f t="shared" si="5"/>
        <v>600</v>
      </c>
      <c r="G286" s="72">
        <f t="shared" si="6"/>
        <v>24</v>
      </c>
      <c r="H286" s="73">
        <f t="shared" si="7"/>
        <v>0.96153846153846156</v>
      </c>
      <c r="I286" s="2"/>
      <c r="J286" s="2"/>
      <c r="K286" s="2"/>
      <c r="L286" s="2">
        <v>16</v>
      </c>
      <c r="M286" s="2">
        <v>8</v>
      </c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F286" s="1"/>
    </row>
    <row r="287" spans="1:58" s="22" customFormat="1" x14ac:dyDescent="0.25">
      <c r="A287" s="5" t="s">
        <v>20</v>
      </c>
      <c r="B287" s="4">
        <v>46157</v>
      </c>
      <c r="C287" s="2">
        <f t="shared" si="4"/>
        <v>20</v>
      </c>
      <c r="D287" s="3">
        <v>363</v>
      </c>
      <c r="E287" s="70">
        <f>[1]DETAY!$A$2</f>
        <v>0</v>
      </c>
      <c r="F287" s="71">
        <f t="shared" si="5"/>
        <v>350</v>
      </c>
      <c r="G287" s="72">
        <f t="shared" si="6"/>
        <v>13</v>
      </c>
      <c r="H287" s="73">
        <f t="shared" si="7"/>
        <v>0.96418732782369143</v>
      </c>
      <c r="I287" s="2"/>
      <c r="J287" s="2">
        <v>11</v>
      </c>
      <c r="K287" s="2"/>
      <c r="L287" s="2">
        <v>2</v>
      </c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F287" s="1"/>
    </row>
    <row r="288" spans="1:58" s="22" customFormat="1" x14ac:dyDescent="0.25">
      <c r="A288" s="5" t="s">
        <v>18</v>
      </c>
      <c r="B288" s="4">
        <v>46157</v>
      </c>
      <c r="C288" s="2">
        <f t="shared" si="4"/>
        <v>20</v>
      </c>
      <c r="D288" s="3">
        <v>1444</v>
      </c>
      <c r="E288" s="70">
        <f>[1]DETAY!$A$2</f>
        <v>0</v>
      </c>
      <c r="F288" s="71">
        <f t="shared" si="5"/>
        <v>1400</v>
      </c>
      <c r="G288" s="72">
        <f t="shared" si="6"/>
        <v>44</v>
      </c>
      <c r="H288" s="73">
        <f t="shared" si="7"/>
        <v>0.96952908587257614</v>
      </c>
      <c r="I288" s="2"/>
      <c r="J288" s="2">
        <v>33</v>
      </c>
      <c r="K288" s="2"/>
      <c r="L288" s="2">
        <v>11</v>
      </c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F288" s="1"/>
    </row>
    <row r="289" spans="1:58" s="22" customFormat="1" x14ac:dyDescent="0.25">
      <c r="A289" s="5" t="s">
        <v>16</v>
      </c>
      <c r="B289" s="4">
        <v>46157</v>
      </c>
      <c r="C289" s="2">
        <f t="shared" si="4"/>
        <v>20</v>
      </c>
      <c r="D289" s="3">
        <v>852</v>
      </c>
      <c r="E289" s="70">
        <f>[1]DETAY!$A$2</f>
        <v>0</v>
      </c>
      <c r="F289" s="71">
        <f t="shared" si="5"/>
        <v>840</v>
      </c>
      <c r="G289" s="72">
        <f t="shared" si="6"/>
        <v>12</v>
      </c>
      <c r="H289" s="73">
        <f t="shared" si="7"/>
        <v>0.9859154929577465</v>
      </c>
      <c r="I289" s="2"/>
      <c r="J289" s="2"/>
      <c r="K289" s="2"/>
      <c r="L289" s="2"/>
      <c r="M289" s="2">
        <v>3</v>
      </c>
      <c r="N289" s="2"/>
      <c r="O289" s="2"/>
      <c r="P289" s="2">
        <v>1</v>
      </c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>
        <v>4</v>
      </c>
      <c r="AG289" s="2"/>
      <c r="AH289" s="2">
        <v>3</v>
      </c>
      <c r="AI289" s="2"/>
      <c r="AJ289" s="2">
        <v>1</v>
      </c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F289" s="1"/>
    </row>
    <row r="290" spans="1:58" s="22" customFormat="1" x14ac:dyDescent="0.25">
      <c r="A290" s="5" t="s">
        <v>10</v>
      </c>
      <c r="B290" s="4">
        <v>46157</v>
      </c>
      <c r="C290" s="2">
        <f t="shared" si="4"/>
        <v>20</v>
      </c>
      <c r="D290" s="3">
        <v>126</v>
      </c>
      <c r="E290" s="70">
        <f>[1]DETAY!$A$2</f>
        <v>0</v>
      </c>
      <c r="F290" s="71">
        <f t="shared" si="5"/>
        <v>120</v>
      </c>
      <c r="G290" s="72">
        <f t="shared" si="6"/>
        <v>6</v>
      </c>
      <c r="H290" s="73">
        <f t="shared" si="7"/>
        <v>0.95238095238095233</v>
      </c>
      <c r="I290" s="2"/>
      <c r="J290" s="2"/>
      <c r="K290" s="2"/>
      <c r="L290" s="2"/>
      <c r="M290" s="2">
        <v>6</v>
      </c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F290" s="1"/>
    </row>
    <row r="291" spans="1:58" s="22" customFormat="1" x14ac:dyDescent="0.25">
      <c r="A291" s="5" t="s">
        <v>9</v>
      </c>
      <c r="B291" s="4">
        <v>46157</v>
      </c>
      <c r="C291" s="2">
        <f t="shared" si="4"/>
        <v>20</v>
      </c>
      <c r="D291" s="3">
        <v>272</v>
      </c>
      <c r="E291" s="70">
        <f>[1]DETAY!$A$2</f>
        <v>0</v>
      </c>
      <c r="F291" s="71">
        <f t="shared" si="5"/>
        <v>240</v>
      </c>
      <c r="G291" s="72">
        <f t="shared" si="6"/>
        <v>32</v>
      </c>
      <c r="H291" s="73">
        <f t="shared" si="7"/>
        <v>0.88235294117647056</v>
      </c>
      <c r="I291" s="2"/>
      <c r="J291" s="2"/>
      <c r="K291" s="2"/>
      <c r="L291" s="2"/>
      <c r="M291" s="2">
        <v>3</v>
      </c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>
        <v>29</v>
      </c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F291" s="1"/>
    </row>
    <row r="292" spans="1:58" s="22" customFormat="1" x14ac:dyDescent="0.25">
      <c r="A292" s="5" t="s">
        <v>0</v>
      </c>
      <c r="B292" s="4">
        <v>46157</v>
      </c>
      <c r="C292" s="2">
        <f t="shared" si="4"/>
        <v>20</v>
      </c>
      <c r="D292" s="3">
        <v>240</v>
      </c>
      <c r="E292" s="70">
        <f>[1]DETAY!$A$2</f>
        <v>0</v>
      </c>
      <c r="F292" s="71">
        <f t="shared" si="5"/>
        <v>210</v>
      </c>
      <c r="G292" s="72">
        <f t="shared" si="6"/>
        <v>30</v>
      </c>
      <c r="H292" s="73">
        <f t="shared" si="7"/>
        <v>0.875</v>
      </c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>
        <v>30</v>
      </c>
      <c r="AV292" s="2"/>
      <c r="AW292" s="2"/>
      <c r="AX292" s="2"/>
      <c r="AY292" s="2"/>
      <c r="AZ292" s="2"/>
      <c r="BA292" s="2"/>
      <c r="BB292" s="2"/>
      <c r="BC292" s="2"/>
      <c r="BD292" s="2"/>
      <c r="BF292" s="1"/>
    </row>
    <row r="293" spans="1:58" s="22" customFormat="1" x14ac:dyDescent="0.25">
      <c r="A293" s="5" t="s">
        <v>16</v>
      </c>
      <c r="B293" s="4">
        <v>46157</v>
      </c>
      <c r="C293" s="2">
        <f t="shared" si="4"/>
        <v>20</v>
      </c>
      <c r="D293" s="3">
        <v>853</v>
      </c>
      <c r="E293" s="70">
        <f>[1]DETAY!$A$2</f>
        <v>0</v>
      </c>
      <c r="F293" s="71">
        <f t="shared" si="5"/>
        <v>840</v>
      </c>
      <c r="G293" s="72">
        <f t="shared" si="6"/>
        <v>13</v>
      </c>
      <c r="H293" s="73">
        <f t="shared" si="7"/>
        <v>0.98475967174677603</v>
      </c>
      <c r="I293" s="2"/>
      <c r="J293" s="2"/>
      <c r="K293" s="2">
        <v>1</v>
      </c>
      <c r="L293" s="2">
        <v>2</v>
      </c>
      <c r="M293" s="2">
        <v>1</v>
      </c>
      <c r="N293" s="2"/>
      <c r="O293" s="2"/>
      <c r="P293" s="2">
        <v>1</v>
      </c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>
        <v>5</v>
      </c>
      <c r="AI293" s="2"/>
      <c r="AJ293" s="2">
        <v>3</v>
      </c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F293" s="1"/>
    </row>
    <row r="294" spans="1:58" s="22" customFormat="1" x14ac:dyDescent="0.25">
      <c r="A294" s="5" t="s">
        <v>10</v>
      </c>
      <c r="B294" s="4">
        <v>46157</v>
      </c>
      <c r="C294" s="2">
        <f t="shared" si="4"/>
        <v>20</v>
      </c>
      <c r="D294" s="3">
        <v>241</v>
      </c>
      <c r="E294" s="70">
        <f>[1]DETAY!$A$2</f>
        <v>0</v>
      </c>
      <c r="F294" s="71">
        <f t="shared" si="5"/>
        <v>240</v>
      </c>
      <c r="G294" s="72">
        <f t="shared" si="6"/>
        <v>1</v>
      </c>
      <c r="H294" s="73">
        <f t="shared" si="7"/>
        <v>0.99585062240663902</v>
      </c>
      <c r="I294" s="2"/>
      <c r="J294" s="2"/>
      <c r="K294" s="2"/>
      <c r="L294" s="2"/>
      <c r="M294" s="2">
        <v>1</v>
      </c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F294" s="1"/>
    </row>
    <row r="295" spans="1:58" s="22" customFormat="1" x14ac:dyDescent="0.25">
      <c r="A295" s="5" t="s">
        <v>9</v>
      </c>
      <c r="B295" s="4">
        <v>46157</v>
      </c>
      <c r="C295" s="2">
        <f t="shared" si="4"/>
        <v>20</v>
      </c>
      <c r="D295" s="3">
        <v>301</v>
      </c>
      <c r="E295" s="70">
        <f>[1]DETAY!$A$2</f>
        <v>0</v>
      </c>
      <c r="F295" s="71">
        <f t="shared" si="5"/>
        <v>300</v>
      </c>
      <c r="G295" s="72">
        <f t="shared" si="6"/>
        <v>1</v>
      </c>
      <c r="H295" s="73">
        <f t="shared" si="7"/>
        <v>0.99667774086378735</v>
      </c>
      <c r="I295" s="2"/>
      <c r="J295" s="2"/>
      <c r="K295" s="2"/>
      <c r="L295" s="2"/>
      <c r="M295" s="2">
        <v>1</v>
      </c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F295" s="1"/>
    </row>
    <row r="296" spans="1:58" s="22" customFormat="1" x14ac:dyDescent="0.25">
      <c r="A296" s="5" t="s">
        <v>0</v>
      </c>
      <c r="B296" s="4">
        <v>46157</v>
      </c>
      <c r="C296" s="2">
        <f t="shared" si="4"/>
        <v>20</v>
      </c>
      <c r="D296" s="3">
        <v>535</v>
      </c>
      <c r="E296" s="70">
        <f>[1]DETAY!$A$2</f>
        <v>0</v>
      </c>
      <c r="F296" s="71">
        <f t="shared" si="5"/>
        <v>490</v>
      </c>
      <c r="G296" s="72">
        <f t="shared" si="6"/>
        <v>45</v>
      </c>
      <c r="H296" s="73">
        <f t="shared" si="7"/>
        <v>0.91588785046728971</v>
      </c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>
        <v>45</v>
      </c>
      <c r="AV296" s="2"/>
      <c r="AW296" s="2"/>
      <c r="AX296" s="2"/>
      <c r="AY296" s="2"/>
      <c r="AZ296" s="2"/>
      <c r="BA296" s="2"/>
      <c r="BB296" s="2"/>
      <c r="BC296" s="2"/>
      <c r="BD296" s="2"/>
      <c r="BF296" s="1"/>
    </row>
    <row r="297" spans="1:58" s="22" customFormat="1" x14ac:dyDescent="0.25">
      <c r="A297" s="5" t="s">
        <v>8</v>
      </c>
      <c r="B297" s="4">
        <v>46157</v>
      </c>
      <c r="C297" s="2">
        <f t="shared" si="4"/>
        <v>20</v>
      </c>
      <c r="D297" s="3">
        <v>170</v>
      </c>
      <c r="E297" s="70">
        <f>[1]DETAY!$A$2</f>
        <v>0</v>
      </c>
      <c r="F297" s="71">
        <f t="shared" si="5"/>
        <v>170</v>
      </c>
      <c r="G297" s="72">
        <f t="shared" si="6"/>
        <v>0</v>
      </c>
      <c r="H297" s="73">
        <f t="shared" si="7"/>
        <v>1</v>
      </c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F297" s="1"/>
    </row>
    <row r="298" spans="1:58" s="22" customFormat="1" x14ac:dyDescent="0.25">
      <c r="A298" s="5" t="s">
        <v>15</v>
      </c>
      <c r="B298" s="4">
        <v>46157</v>
      </c>
      <c r="C298" s="2">
        <f t="shared" si="4"/>
        <v>20</v>
      </c>
      <c r="D298" s="3">
        <v>220</v>
      </c>
      <c r="E298" s="70">
        <f>[1]DETAY!$A$2</f>
        <v>0</v>
      </c>
      <c r="F298" s="71">
        <f t="shared" si="5"/>
        <v>220</v>
      </c>
      <c r="G298" s="72">
        <f t="shared" si="6"/>
        <v>0</v>
      </c>
      <c r="H298" s="73">
        <f t="shared" si="7"/>
        <v>1</v>
      </c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F298" s="1"/>
    </row>
    <row r="299" spans="1:58" s="22" customFormat="1" x14ac:dyDescent="0.25">
      <c r="A299" s="74" t="s">
        <v>7</v>
      </c>
      <c r="B299" s="4">
        <v>46157</v>
      </c>
      <c r="C299" s="2">
        <f t="shared" si="4"/>
        <v>20</v>
      </c>
      <c r="D299" s="3">
        <v>192</v>
      </c>
      <c r="E299" s="70">
        <f>[1]DETAY!$A$2</f>
        <v>0</v>
      </c>
      <c r="F299" s="71">
        <f t="shared" si="5"/>
        <v>192</v>
      </c>
      <c r="G299" s="72">
        <f t="shared" si="6"/>
        <v>0</v>
      </c>
      <c r="H299" s="73">
        <f t="shared" si="7"/>
        <v>1</v>
      </c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F299" s="1"/>
    </row>
    <row r="300" spans="1:58" s="22" customFormat="1" x14ac:dyDescent="0.25">
      <c r="A300" s="74" t="s">
        <v>13</v>
      </c>
      <c r="B300" s="4">
        <v>46157</v>
      </c>
      <c r="C300" s="2">
        <f t="shared" si="4"/>
        <v>20</v>
      </c>
      <c r="D300" s="3">
        <v>1200</v>
      </c>
      <c r="E300" s="70">
        <f>[1]DETAY!$A$2</f>
        <v>0</v>
      </c>
      <c r="F300" s="71">
        <f t="shared" si="5"/>
        <v>1200</v>
      </c>
      <c r="G300" s="72">
        <f t="shared" si="6"/>
        <v>0</v>
      </c>
      <c r="H300" s="73">
        <f t="shared" si="7"/>
        <v>1</v>
      </c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F300" s="1"/>
    </row>
    <row r="301" spans="1:58" s="22" customFormat="1" x14ac:dyDescent="0.25">
      <c r="A301" s="74" t="s">
        <v>5</v>
      </c>
      <c r="B301" s="4">
        <v>46157</v>
      </c>
      <c r="C301" s="2">
        <f t="shared" ref="C301:C364" si="8">WEEKNUM(B301)</f>
        <v>20</v>
      </c>
      <c r="D301" s="3">
        <v>77</v>
      </c>
      <c r="E301" s="70">
        <f>[1]DETAY!$A$2</f>
        <v>0</v>
      </c>
      <c r="F301" s="71">
        <f t="shared" ref="F301:F364" si="9">D301-G301</f>
        <v>77</v>
      </c>
      <c r="G301" s="72">
        <f t="shared" ref="G301:G364" si="10">SUBTOTAL(9,I301:BD301)</f>
        <v>0</v>
      </c>
      <c r="H301" s="73">
        <f t="shared" ref="H301:H364" si="11">F301/D301</f>
        <v>1</v>
      </c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F301" s="1"/>
    </row>
    <row r="302" spans="1:58" s="22" customFormat="1" x14ac:dyDescent="0.25">
      <c r="A302" s="74" t="s">
        <v>4</v>
      </c>
      <c r="B302" s="4">
        <v>46157</v>
      </c>
      <c r="C302" s="2">
        <f t="shared" si="8"/>
        <v>20</v>
      </c>
      <c r="D302" s="3">
        <v>231</v>
      </c>
      <c r="E302" s="70">
        <f>[1]DETAY!$A$2</f>
        <v>0</v>
      </c>
      <c r="F302" s="71">
        <f t="shared" si="9"/>
        <v>231</v>
      </c>
      <c r="G302" s="72">
        <f t="shared" si="10"/>
        <v>0</v>
      </c>
      <c r="H302" s="73">
        <f t="shared" si="11"/>
        <v>1</v>
      </c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F302" s="1"/>
    </row>
    <row r="303" spans="1:58" s="22" customFormat="1" x14ac:dyDescent="0.25">
      <c r="A303" s="5" t="s">
        <v>2</v>
      </c>
      <c r="B303" s="4">
        <v>46157</v>
      </c>
      <c r="C303" s="2">
        <f t="shared" si="8"/>
        <v>20</v>
      </c>
      <c r="D303" s="3">
        <v>134</v>
      </c>
      <c r="E303" s="70">
        <f>[1]DETAY!$A$2</f>
        <v>0</v>
      </c>
      <c r="F303" s="71">
        <f t="shared" si="9"/>
        <v>69</v>
      </c>
      <c r="G303" s="72">
        <f t="shared" si="10"/>
        <v>65</v>
      </c>
      <c r="H303" s="73">
        <f t="shared" si="11"/>
        <v>0.5149253731343284</v>
      </c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>
        <v>65</v>
      </c>
      <c r="AV303" s="2"/>
      <c r="AW303" s="2"/>
      <c r="AX303" s="2"/>
      <c r="AY303" s="2"/>
      <c r="AZ303" s="2"/>
      <c r="BA303" s="2"/>
      <c r="BB303" s="2"/>
      <c r="BC303" s="2"/>
      <c r="BD303" s="2"/>
      <c r="BF303" s="1"/>
    </row>
    <row r="304" spans="1:58" s="22" customFormat="1" x14ac:dyDescent="0.25">
      <c r="A304" s="5" t="s">
        <v>84</v>
      </c>
      <c r="B304" s="4">
        <v>46158</v>
      </c>
      <c r="C304" s="2">
        <f t="shared" si="8"/>
        <v>20</v>
      </c>
      <c r="D304" s="3">
        <v>913</v>
      </c>
      <c r="E304" s="70">
        <f>[1]DETAY!$A$2</f>
        <v>0</v>
      </c>
      <c r="F304" s="71">
        <f t="shared" si="9"/>
        <v>900</v>
      </c>
      <c r="G304" s="72">
        <f t="shared" si="10"/>
        <v>13</v>
      </c>
      <c r="H304" s="73">
        <f t="shared" si="11"/>
        <v>0.98576122672508215</v>
      </c>
      <c r="I304" s="2"/>
      <c r="J304" s="2"/>
      <c r="K304" s="2"/>
      <c r="L304" s="2">
        <v>13</v>
      </c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F304" s="1"/>
    </row>
    <row r="305" spans="1:58" s="22" customFormat="1" x14ac:dyDescent="0.25">
      <c r="A305" s="5" t="s">
        <v>20</v>
      </c>
      <c r="B305" s="4">
        <v>46158</v>
      </c>
      <c r="C305" s="2">
        <f t="shared" si="8"/>
        <v>20</v>
      </c>
      <c r="D305" s="3">
        <v>920</v>
      </c>
      <c r="E305" s="70">
        <f>[1]DETAY!$A$2</f>
        <v>0</v>
      </c>
      <c r="F305" s="71">
        <f t="shared" si="9"/>
        <v>900</v>
      </c>
      <c r="G305" s="72">
        <f t="shared" si="10"/>
        <v>20</v>
      </c>
      <c r="H305" s="73">
        <f t="shared" si="11"/>
        <v>0.97826086956521741</v>
      </c>
      <c r="I305" s="2"/>
      <c r="J305" s="2">
        <v>20</v>
      </c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F305" s="1"/>
    </row>
    <row r="306" spans="1:58" s="22" customFormat="1" x14ac:dyDescent="0.25">
      <c r="A306" s="5" t="s">
        <v>18</v>
      </c>
      <c r="B306" s="4">
        <v>46158</v>
      </c>
      <c r="C306" s="2">
        <f t="shared" si="8"/>
        <v>20</v>
      </c>
      <c r="D306" s="3">
        <v>350</v>
      </c>
      <c r="E306" s="70">
        <f>[1]DETAY!$A$2</f>
        <v>0</v>
      </c>
      <c r="F306" s="71">
        <f t="shared" si="9"/>
        <v>350</v>
      </c>
      <c r="G306" s="72">
        <f t="shared" si="10"/>
        <v>0</v>
      </c>
      <c r="H306" s="73">
        <f t="shared" si="11"/>
        <v>1</v>
      </c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F306" s="1"/>
    </row>
    <row r="307" spans="1:58" s="22" customFormat="1" x14ac:dyDescent="0.25">
      <c r="A307" s="5" t="s">
        <v>16</v>
      </c>
      <c r="B307" s="4">
        <v>46158</v>
      </c>
      <c r="C307" s="2">
        <f t="shared" si="8"/>
        <v>20</v>
      </c>
      <c r="D307" s="3">
        <v>1244</v>
      </c>
      <c r="E307" s="70">
        <f>[1]DETAY!$A$2</f>
        <v>0</v>
      </c>
      <c r="F307" s="71">
        <f t="shared" si="9"/>
        <v>1225</v>
      </c>
      <c r="G307" s="72">
        <f t="shared" si="10"/>
        <v>19</v>
      </c>
      <c r="H307" s="73">
        <f t="shared" si="11"/>
        <v>0.98472668810289388</v>
      </c>
      <c r="I307" s="2"/>
      <c r="J307" s="2"/>
      <c r="K307" s="2">
        <v>3</v>
      </c>
      <c r="L307" s="2"/>
      <c r="M307" s="2">
        <v>4</v>
      </c>
      <c r="N307" s="2"/>
      <c r="O307" s="2"/>
      <c r="P307" s="2">
        <v>8</v>
      </c>
      <c r="Q307" s="2"/>
      <c r="R307" s="2"/>
      <c r="S307" s="2"/>
      <c r="T307" s="2"/>
      <c r="U307" s="2"/>
      <c r="V307" s="2"/>
      <c r="W307" s="2"/>
      <c r="X307" s="2"/>
      <c r="Y307" s="2">
        <v>2</v>
      </c>
      <c r="Z307" s="2"/>
      <c r="AA307" s="2"/>
      <c r="AB307" s="2"/>
      <c r="AC307" s="2"/>
      <c r="AD307" s="2"/>
      <c r="AE307" s="2"/>
      <c r="AF307" s="2"/>
      <c r="AG307" s="2"/>
      <c r="AH307" s="2">
        <v>2</v>
      </c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F307" s="1"/>
    </row>
    <row r="308" spans="1:58" s="22" customFormat="1" x14ac:dyDescent="0.25">
      <c r="A308" s="5" t="s">
        <v>10</v>
      </c>
      <c r="B308" s="4">
        <v>46158</v>
      </c>
      <c r="C308" s="2">
        <f t="shared" si="8"/>
        <v>20</v>
      </c>
      <c r="D308" s="3">
        <v>307</v>
      </c>
      <c r="E308" s="70">
        <f>[1]DETAY!$A$2</f>
        <v>0</v>
      </c>
      <c r="F308" s="71">
        <f t="shared" si="9"/>
        <v>300</v>
      </c>
      <c r="G308" s="72">
        <f t="shared" si="10"/>
        <v>7</v>
      </c>
      <c r="H308" s="73">
        <f t="shared" si="11"/>
        <v>0.9771986970684039</v>
      </c>
      <c r="I308" s="2"/>
      <c r="J308" s="2"/>
      <c r="K308" s="2"/>
      <c r="L308" s="2"/>
      <c r="M308" s="2">
        <v>4</v>
      </c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>
        <v>1</v>
      </c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>
        <v>2</v>
      </c>
      <c r="BA308" s="2"/>
      <c r="BB308" s="2"/>
      <c r="BC308" s="2"/>
      <c r="BD308" s="2"/>
      <c r="BF308" s="1"/>
    </row>
    <row r="309" spans="1:58" s="22" customFormat="1" x14ac:dyDescent="0.25">
      <c r="A309" s="5" t="s">
        <v>9</v>
      </c>
      <c r="B309" s="4">
        <v>46158</v>
      </c>
      <c r="C309" s="2">
        <f t="shared" si="8"/>
        <v>20</v>
      </c>
      <c r="D309" s="3">
        <v>310</v>
      </c>
      <c r="E309" s="70">
        <f>[1]DETAY!$A$2</f>
        <v>0</v>
      </c>
      <c r="F309" s="71">
        <f t="shared" si="9"/>
        <v>300</v>
      </c>
      <c r="G309" s="72">
        <f t="shared" si="10"/>
        <v>10</v>
      </c>
      <c r="H309" s="73">
        <f t="shared" si="11"/>
        <v>0.967741935483871</v>
      </c>
      <c r="I309" s="2"/>
      <c r="J309" s="2"/>
      <c r="K309" s="2"/>
      <c r="L309" s="2"/>
      <c r="M309" s="2"/>
      <c r="N309" s="2">
        <v>1</v>
      </c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>
        <v>9</v>
      </c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F309" s="1"/>
    </row>
    <row r="310" spans="1:58" s="22" customFormat="1" x14ac:dyDescent="0.25">
      <c r="A310" s="5" t="s">
        <v>1</v>
      </c>
      <c r="B310" s="4">
        <v>46158</v>
      </c>
      <c r="C310" s="2">
        <f t="shared" si="8"/>
        <v>20</v>
      </c>
      <c r="D310" s="3">
        <v>119</v>
      </c>
      <c r="E310" s="70">
        <f>[1]DETAY!$A$2</f>
        <v>0</v>
      </c>
      <c r="F310" s="71">
        <f t="shared" si="9"/>
        <v>105</v>
      </c>
      <c r="G310" s="72">
        <f t="shared" si="10"/>
        <v>14</v>
      </c>
      <c r="H310" s="73">
        <f t="shared" si="11"/>
        <v>0.88235294117647056</v>
      </c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>
        <v>14</v>
      </c>
      <c r="AV310" s="2"/>
      <c r="AW310" s="2"/>
      <c r="AX310" s="2"/>
      <c r="AY310" s="2"/>
      <c r="AZ310" s="2"/>
      <c r="BA310" s="2"/>
      <c r="BB310" s="2"/>
      <c r="BC310" s="2"/>
      <c r="BD310" s="2"/>
      <c r="BF310" s="1"/>
    </row>
    <row r="311" spans="1:58" s="22" customFormat="1" x14ac:dyDescent="0.25">
      <c r="A311" s="5" t="s">
        <v>0</v>
      </c>
      <c r="B311" s="4">
        <v>46158</v>
      </c>
      <c r="C311" s="2">
        <f t="shared" si="8"/>
        <v>20</v>
      </c>
      <c r="D311" s="3">
        <v>222</v>
      </c>
      <c r="E311" s="70">
        <f>[1]DETAY!$A$2</f>
        <v>0</v>
      </c>
      <c r="F311" s="71">
        <f t="shared" si="9"/>
        <v>210</v>
      </c>
      <c r="G311" s="72">
        <f t="shared" si="10"/>
        <v>12</v>
      </c>
      <c r="H311" s="73">
        <f t="shared" si="11"/>
        <v>0.94594594594594594</v>
      </c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>
        <v>12</v>
      </c>
      <c r="AV311" s="2"/>
      <c r="AW311" s="2"/>
      <c r="AX311" s="2"/>
      <c r="AY311" s="2"/>
      <c r="AZ311" s="2"/>
      <c r="BA311" s="2"/>
      <c r="BB311" s="2"/>
      <c r="BC311" s="2"/>
      <c r="BD311" s="2"/>
      <c r="BF311" s="1"/>
    </row>
    <row r="312" spans="1:58" s="22" customFormat="1" x14ac:dyDescent="0.25">
      <c r="A312" s="5" t="s">
        <v>15</v>
      </c>
      <c r="B312" s="4">
        <v>46158</v>
      </c>
      <c r="C312" s="2">
        <f t="shared" si="8"/>
        <v>20</v>
      </c>
      <c r="D312" s="3">
        <v>1100</v>
      </c>
      <c r="E312" s="70">
        <f>[1]DETAY!$A$2</f>
        <v>0</v>
      </c>
      <c r="F312" s="71">
        <f t="shared" si="9"/>
        <v>1100</v>
      </c>
      <c r="G312" s="72">
        <f t="shared" si="10"/>
        <v>0</v>
      </c>
      <c r="H312" s="73">
        <f t="shared" si="11"/>
        <v>1</v>
      </c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F312" s="1"/>
    </row>
    <row r="313" spans="1:58" s="22" customFormat="1" x14ac:dyDescent="0.25">
      <c r="A313" s="74" t="s">
        <v>13</v>
      </c>
      <c r="B313" s="4">
        <v>46158</v>
      </c>
      <c r="C313" s="2">
        <f t="shared" si="8"/>
        <v>20</v>
      </c>
      <c r="D313" s="3">
        <v>120</v>
      </c>
      <c r="E313" s="70">
        <f>[1]DETAY!$A$2</f>
        <v>0</v>
      </c>
      <c r="F313" s="71">
        <f t="shared" si="9"/>
        <v>120</v>
      </c>
      <c r="G313" s="72">
        <f t="shared" si="10"/>
        <v>0</v>
      </c>
      <c r="H313" s="73">
        <f t="shared" si="11"/>
        <v>1</v>
      </c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F313" s="1"/>
    </row>
    <row r="314" spans="1:58" s="22" customFormat="1" x14ac:dyDescent="0.25">
      <c r="A314" s="74" t="s">
        <v>4</v>
      </c>
      <c r="B314" s="4">
        <v>46158</v>
      </c>
      <c r="C314" s="2">
        <f t="shared" si="8"/>
        <v>20</v>
      </c>
      <c r="D314" s="3">
        <v>462</v>
      </c>
      <c r="E314" s="70">
        <f>[1]DETAY!$A$2</f>
        <v>0</v>
      </c>
      <c r="F314" s="71">
        <f t="shared" si="9"/>
        <v>462</v>
      </c>
      <c r="G314" s="72">
        <f t="shared" si="10"/>
        <v>0</v>
      </c>
      <c r="H314" s="73">
        <f t="shared" si="11"/>
        <v>1</v>
      </c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F314" s="1"/>
    </row>
    <row r="315" spans="1:58" s="22" customFormat="1" x14ac:dyDescent="0.25">
      <c r="A315" s="5" t="s">
        <v>82</v>
      </c>
      <c r="B315" s="4">
        <v>46158</v>
      </c>
      <c r="C315" s="2">
        <f t="shared" si="8"/>
        <v>20</v>
      </c>
      <c r="D315" s="3">
        <v>1208</v>
      </c>
      <c r="E315" s="70">
        <f>[1]DETAY!$A$2</f>
        <v>0</v>
      </c>
      <c r="F315" s="71">
        <f t="shared" si="9"/>
        <v>1200</v>
      </c>
      <c r="G315" s="72">
        <f t="shared" si="10"/>
        <v>8</v>
      </c>
      <c r="H315" s="73">
        <f t="shared" si="11"/>
        <v>0.99337748344370858</v>
      </c>
      <c r="I315" s="2"/>
      <c r="J315" s="2"/>
      <c r="K315" s="2"/>
      <c r="L315" s="2">
        <v>8</v>
      </c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F315" s="1"/>
    </row>
    <row r="316" spans="1:58" s="22" customFormat="1" x14ac:dyDescent="0.25">
      <c r="A316" s="5" t="s">
        <v>20</v>
      </c>
      <c r="B316" s="4">
        <v>46158</v>
      </c>
      <c r="C316" s="2">
        <f t="shared" si="8"/>
        <v>20</v>
      </c>
      <c r="D316" s="3">
        <v>61</v>
      </c>
      <c r="E316" s="70">
        <f>[1]DETAY!$A$2</f>
        <v>0</v>
      </c>
      <c r="F316" s="71">
        <f t="shared" si="9"/>
        <v>60</v>
      </c>
      <c r="G316" s="72">
        <f t="shared" si="10"/>
        <v>1</v>
      </c>
      <c r="H316" s="73">
        <f t="shared" si="11"/>
        <v>0.98360655737704916</v>
      </c>
      <c r="I316" s="2"/>
      <c r="J316" s="2">
        <v>1</v>
      </c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F316" s="1"/>
    </row>
    <row r="317" spans="1:58" s="22" customFormat="1" x14ac:dyDescent="0.25">
      <c r="A317" s="5" t="s">
        <v>19</v>
      </c>
      <c r="B317" s="4">
        <v>46158</v>
      </c>
      <c r="C317" s="2">
        <f t="shared" si="8"/>
        <v>20</v>
      </c>
      <c r="D317" s="3">
        <v>1654</v>
      </c>
      <c r="E317" s="70">
        <f>[1]DETAY!$A$2</f>
        <v>0</v>
      </c>
      <c r="F317" s="71">
        <f t="shared" si="9"/>
        <v>1550</v>
      </c>
      <c r="G317" s="72">
        <f t="shared" si="10"/>
        <v>104</v>
      </c>
      <c r="H317" s="73">
        <f t="shared" si="11"/>
        <v>0.93712212817412333</v>
      </c>
      <c r="I317" s="2"/>
      <c r="J317" s="2">
        <v>100</v>
      </c>
      <c r="K317" s="2"/>
      <c r="L317" s="2">
        <v>4</v>
      </c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F317" s="1"/>
    </row>
    <row r="318" spans="1:58" s="22" customFormat="1" x14ac:dyDescent="0.25">
      <c r="A318" s="5" t="s">
        <v>16</v>
      </c>
      <c r="B318" s="4">
        <v>46158</v>
      </c>
      <c r="C318" s="2">
        <f t="shared" si="8"/>
        <v>20</v>
      </c>
      <c r="D318" s="3">
        <v>352</v>
      </c>
      <c r="E318" s="70">
        <f>[1]DETAY!$A$2</f>
        <v>0</v>
      </c>
      <c r="F318" s="71">
        <f t="shared" si="9"/>
        <v>350</v>
      </c>
      <c r="G318" s="72">
        <f t="shared" si="10"/>
        <v>2</v>
      </c>
      <c r="H318" s="73">
        <f t="shared" si="11"/>
        <v>0.99431818181818177</v>
      </c>
      <c r="I318" s="2"/>
      <c r="J318" s="2"/>
      <c r="K318" s="2"/>
      <c r="L318" s="2">
        <v>1</v>
      </c>
      <c r="M318" s="2"/>
      <c r="N318" s="2"/>
      <c r="O318" s="2"/>
      <c r="P318" s="2"/>
      <c r="Q318" s="2">
        <v>1</v>
      </c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F318" s="1"/>
    </row>
    <row r="319" spans="1:58" s="22" customFormat="1" x14ac:dyDescent="0.25">
      <c r="A319" s="5" t="s">
        <v>10</v>
      </c>
      <c r="B319" s="4">
        <v>46158</v>
      </c>
      <c r="C319" s="2">
        <f t="shared" si="8"/>
        <v>20</v>
      </c>
      <c r="D319" s="3">
        <v>232</v>
      </c>
      <c r="E319" s="70">
        <f>[1]DETAY!$A$2</f>
        <v>0</v>
      </c>
      <c r="F319" s="71">
        <f t="shared" si="9"/>
        <v>180</v>
      </c>
      <c r="G319" s="72">
        <f t="shared" si="10"/>
        <v>52</v>
      </c>
      <c r="H319" s="73">
        <f t="shared" si="11"/>
        <v>0.77586206896551724</v>
      </c>
      <c r="I319" s="2"/>
      <c r="J319" s="2"/>
      <c r="K319" s="2"/>
      <c r="L319" s="2"/>
      <c r="M319" s="2">
        <v>3</v>
      </c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>
        <v>49</v>
      </c>
      <c r="BA319" s="2"/>
      <c r="BB319" s="2"/>
      <c r="BC319" s="2"/>
      <c r="BD319" s="2"/>
      <c r="BF319" s="1"/>
    </row>
    <row r="320" spans="1:58" s="22" customFormat="1" x14ac:dyDescent="0.25">
      <c r="A320" s="5" t="s">
        <v>9</v>
      </c>
      <c r="B320" s="4">
        <v>46158</v>
      </c>
      <c r="C320" s="2">
        <f t="shared" si="8"/>
        <v>20</v>
      </c>
      <c r="D320" s="3">
        <v>247</v>
      </c>
      <c r="E320" s="70">
        <f>[1]DETAY!$A$2</f>
        <v>0</v>
      </c>
      <c r="F320" s="71">
        <f t="shared" si="9"/>
        <v>240</v>
      </c>
      <c r="G320" s="72">
        <f t="shared" si="10"/>
        <v>7</v>
      </c>
      <c r="H320" s="73">
        <f t="shared" si="11"/>
        <v>0.97165991902834004</v>
      </c>
      <c r="I320" s="2"/>
      <c r="J320" s="2"/>
      <c r="K320" s="2"/>
      <c r="L320" s="2"/>
      <c r="M320" s="2">
        <v>7</v>
      </c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F320" s="1"/>
    </row>
    <row r="321" spans="1:58" s="22" customFormat="1" x14ac:dyDescent="0.25">
      <c r="A321" s="5" t="s">
        <v>1</v>
      </c>
      <c r="B321" s="4">
        <v>46158</v>
      </c>
      <c r="C321" s="2">
        <f t="shared" si="8"/>
        <v>20</v>
      </c>
      <c r="D321" s="3">
        <v>327</v>
      </c>
      <c r="E321" s="70">
        <f>[1]DETAY!$A$2</f>
        <v>0</v>
      </c>
      <c r="F321" s="71">
        <f t="shared" si="9"/>
        <v>195</v>
      </c>
      <c r="G321" s="72">
        <f t="shared" si="10"/>
        <v>132</v>
      </c>
      <c r="H321" s="73">
        <f t="shared" si="11"/>
        <v>0.59633027522935778</v>
      </c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>
        <v>132</v>
      </c>
      <c r="AV321" s="2"/>
      <c r="AW321" s="2"/>
      <c r="AX321" s="2"/>
      <c r="AY321" s="2"/>
      <c r="AZ321" s="2"/>
      <c r="BA321" s="2"/>
      <c r="BB321" s="2"/>
      <c r="BC321" s="2"/>
      <c r="BD321" s="2"/>
      <c r="BF321" s="1"/>
    </row>
    <row r="322" spans="1:58" s="22" customFormat="1" x14ac:dyDescent="0.25">
      <c r="A322" s="5" t="s">
        <v>8</v>
      </c>
      <c r="B322" s="4">
        <v>46158</v>
      </c>
      <c r="C322" s="2">
        <f t="shared" si="8"/>
        <v>20</v>
      </c>
      <c r="D322" s="3">
        <v>251</v>
      </c>
      <c r="E322" s="70">
        <f>[1]DETAY!$A$2</f>
        <v>0</v>
      </c>
      <c r="F322" s="71">
        <f t="shared" si="9"/>
        <v>250</v>
      </c>
      <c r="G322" s="72">
        <f t="shared" si="10"/>
        <v>1</v>
      </c>
      <c r="H322" s="73">
        <f t="shared" si="11"/>
        <v>0.99601593625498008</v>
      </c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>
        <v>1</v>
      </c>
      <c r="AZ322" s="2"/>
      <c r="BA322" s="2"/>
      <c r="BB322" s="2"/>
      <c r="BC322" s="2"/>
      <c r="BD322" s="2"/>
      <c r="BF322" s="1"/>
    </row>
    <row r="323" spans="1:58" s="22" customFormat="1" x14ac:dyDescent="0.25">
      <c r="A323" s="5" t="s">
        <v>15</v>
      </c>
      <c r="B323" s="4">
        <v>46158</v>
      </c>
      <c r="C323" s="2">
        <f t="shared" si="8"/>
        <v>20</v>
      </c>
      <c r="D323" s="3">
        <v>1320</v>
      </c>
      <c r="E323" s="70">
        <f>[1]DETAY!$A$2</f>
        <v>0</v>
      </c>
      <c r="F323" s="71">
        <f t="shared" si="9"/>
        <v>1320</v>
      </c>
      <c r="G323" s="72">
        <f t="shared" si="10"/>
        <v>0</v>
      </c>
      <c r="H323" s="73">
        <f t="shared" si="11"/>
        <v>1</v>
      </c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F323" s="1"/>
    </row>
    <row r="324" spans="1:58" s="22" customFormat="1" x14ac:dyDescent="0.25">
      <c r="A324" s="5" t="s">
        <v>83</v>
      </c>
      <c r="B324" s="4">
        <v>46158</v>
      </c>
      <c r="C324" s="2">
        <f t="shared" si="8"/>
        <v>20</v>
      </c>
      <c r="D324" s="3">
        <v>101</v>
      </c>
      <c r="E324" s="70">
        <f>[1]DETAY!$A$2</f>
        <v>0</v>
      </c>
      <c r="F324" s="71">
        <f t="shared" si="9"/>
        <v>100</v>
      </c>
      <c r="G324" s="72">
        <f t="shared" si="10"/>
        <v>1</v>
      </c>
      <c r="H324" s="73">
        <f t="shared" si="11"/>
        <v>0.99009900990099009</v>
      </c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>
        <v>1</v>
      </c>
      <c r="AV324" s="2"/>
      <c r="AW324" s="2"/>
      <c r="AX324" s="2"/>
      <c r="AY324" s="2"/>
      <c r="AZ324" s="2"/>
      <c r="BA324" s="2"/>
      <c r="BB324" s="2"/>
      <c r="BC324" s="2"/>
      <c r="BD324" s="2"/>
      <c r="BF324" s="1"/>
    </row>
    <row r="325" spans="1:58" s="22" customFormat="1" x14ac:dyDescent="0.25">
      <c r="A325" s="74" t="s">
        <v>4</v>
      </c>
      <c r="B325" s="4">
        <v>46158</v>
      </c>
      <c r="C325" s="2">
        <f t="shared" si="8"/>
        <v>20</v>
      </c>
      <c r="D325" s="3">
        <v>776</v>
      </c>
      <c r="E325" s="70">
        <f>[1]DETAY!$A$2</f>
        <v>0</v>
      </c>
      <c r="F325" s="71">
        <f t="shared" si="9"/>
        <v>770</v>
      </c>
      <c r="G325" s="72">
        <f t="shared" si="10"/>
        <v>6</v>
      </c>
      <c r="H325" s="73">
        <f t="shared" si="11"/>
        <v>0.99226804123711343</v>
      </c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>
        <v>2</v>
      </c>
      <c r="AB325" s="2"/>
      <c r="AC325" s="2"/>
      <c r="AD325" s="2">
        <v>4</v>
      </c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F325" s="1"/>
    </row>
    <row r="326" spans="1:58" s="22" customFormat="1" x14ac:dyDescent="0.25">
      <c r="A326" s="74" t="s">
        <v>6</v>
      </c>
      <c r="B326" s="4">
        <v>46158</v>
      </c>
      <c r="C326" s="2">
        <f t="shared" si="8"/>
        <v>20</v>
      </c>
      <c r="D326" s="3">
        <v>77</v>
      </c>
      <c r="E326" s="70">
        <f>[1]DETAY!$A$2</f>
        <v>0</v>
      </c>
      <c r="F326" s="71">
        <f t="shared" si="9"/>
        <v>77</v>
      </c>
      <c r="G326" s="72">
        <f t="shared" si="10"/>
        <v>0</v>
      </c>
      <c r="H326" s="73">
        <f t="shared" si="11"/>
        <v>1</v>
      </c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F326" s="1"/>
    </row>
    <row r="327" spans="1:58" s="22" customFormat="1" x14ac:dyDescent="0.25">
      <c r="A327" s="5" t="s">
        <v>82</v>
      </c>
      <c r="B327" s="4">
        <v>46158</v>
      </c>
      <c r="C327" s="2">
        <f t="shared" si="8"/>
        <v>20</v>
      </c>
      <c r="D327" s="3">
        <v>200</v>
      </c>
      <c r="E327" s="70">
        <f>[1]DETAY!$A$2</f>
        <v>0</v>
      </c>
      <c r="F327" s="71">
        <f t="shared" si="9"/>
        <v>200</v>
      </c>
      <c r="G327" s="72">
        <f t="shared" si="10"/>
        <v>0</v>
      </c>
      <c r="H327" s="73">
        <f t="shared" si="11"/>
        <v>1</v>
      </c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F327" s="1"/>
    </row>
    <row r="328" spans="1:58" s="22" customFormat="1" x14ac:dyDescent="0.25">
      <c r="A328" s="5" t="s">
        <v>19</v>
      </c>
      <c r="B328" s="4">
        <v>46158</v>
      </c>
      <c r="C328" s="2">
        <f t="shared" si="8"/>
        <v>20</v>
      </c>
      <c r="D328" s="3">
        <v>250</v>
      </c>
      <c r="E328" s="70">
        <f>[1]DETAY!$A$2</f>
        <v>0</v>
      </c>
      <c r="F328" s="71">
        <f t="shared" si="9"/>
        <v>250</v>
      </c>
      <c r="G328" s="72">
        <f t="shared" si="10"/>
        <v>0</v>
      </c>
      <c r="H328" s="73">
        <f t="shared" si="11"/>
        <v>1</v>
      </c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F328" s="1"/>
    </row>
    <row r="329" spans="1:58" s="22" customFormat="1" x14ac:dyDescent="0.25">
      <c r="A329" s="5" t="s">
        <v>10</v>
      </c>
      <c r="B329" s="4">
        <v>46158</v>
      </c>
      <c r="C329" s="2">
        <f t="shared" si="8"/>
        <v>20</v>
      </c>
      <c r="D329" s="3">
        <v>734</v>
      </c>
      <c r="E329" s="70">
        <f>[1]DETAY!$A$2</f>
        <v>0</v>
      </c>
      <c r="F329" s="71">
        <f t="shared" si="9"/>
        <v>720</v>
      </c>
      <c r="G329" s="72">
        <f t="shared" si="10"/>
        <v>14</v>
      </c>
      <c r="H329" s="73">
        <f t="shared" si="11"/>
        <v>0.98092643051771122</v>
      </c>
      <c r="I329" s="2"/>
      <c r="J329" s="2"/>
      <c r="K329" s="2"/>
      <c r="L329" s="2"/>
      <c r="M329" s="2">
        <v>7</v>
      </c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>
        <v>6</v>
      </c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>
        <v>1</v>
      </c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F329" s="1"/>
    </row>
    <row r="330" spans="1:58" s="22" customFormat="1" x14ac:dyDescent="0.25">
      <c r="A330" s="5" t="s">
        <v>9</v>
      </c>
      <c r="B330" s="4">
        <v>46158</v>
      </c>
      <c r="C330" s="2">
        <f t="shared" si="8"/>
        <v>20</v>
      </c>
      <c r="D330" s="3">
        <v>603</v>
      </c>
      <c r="E330" s="70">
        <f>[1]DETAY!$A$2</f>
        <v>0</v>
      </c>
      <c r="F330" s="71">
        <f t="shared" si="9"/>
        <v>600</v>
      </c>
      <c r="G330" s="72">
        <f t="shared" si="10"/>
        <v>3</v>
      </c>
      <c r="H330" s="73">
        <f t="shared" si="11"/>
        <v>0.99502487562189057</v>
      </c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>
        <v>1</v>
      </c>
      <c r="AS330" s="2"/>
      <c r="AT330" s="2"/>
      <c r="AU330" s="2"/>
      <c r="AV330" s="2"/>
      <c r="AW330" s="2"/>
      <c r="AX330" s="2"/>
      <c r="AY330" s="2">
        <v>2</v>
      </c>
      <c r="AZ330" s="2"/>
      <c r="BA330" s="2"/>
      <c r="BB330" s="2"/>
      <c r="BC330" s="2"/>
      <c r="BD330" s="2"/>
      <c r="BF330" s="1"/>
    </row>
    <row r="331" spans="1:58" s="22" customFormat="1" x14ac:dyDescent="0.25">
      <c r="A331" s="5" t="s">
        <v>8</v>
      </c>
      <c r="B331" s="4">
        <v>46158</v>
      </c>
      <c r="C331" s="2">
        <f t="shared" si="8"/>
        <v>20</v>
      </c>
      <c r="D331" s="3">
        <v>265</v>
      </c>
      <c r="E331" s="70">
        <f>[1]DETAY!$A$2</f>
        <v>0</v>
      </c>
      <c r="F331" s="71">
        <f t="shared" si="9"/>
        <v>265</v>
      </c>
      <c r="G331" s="72">
        <f t="shared" si="10"/>
        <v>0</v>
      </c>
      <c r="H331" s="73">
        <f t="shared" si="11"/>
        <v>1</v>
      </c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F331" s="1"/>
    </row>
    <row r="332" spans="1:58" s="22" customFormat="1" x14ac:dyDescent="0.25">
      <c r="A332" s="74" t="s">
        <v>4</v>
      </c>
      <c r="B332" s="4">
        <v>46158</v>
      </c>
      <c r="C332" s="2">
        <f t="shared" si="8"/>
        <v>20</v>
      </c>
      <c r="D332" s="3">
        <v>1322</v>
      </c>
      <c r="E332" s="70">
        <f>[1]DETAY!$A$2</f>
        <v>0</v>
      </c>
      <c r="F332" s="71">
        <f t="shared" si="9"/>
        <v>1309</v>
      </c>
      <c r="G332" s="72">
        <f t="shared" si="10"/>
        <v>13</v>
      </c>
      <c r="H332" s="73">
        <f t="shared" si="11"/>
        <v>0.99016641452344933</v>
      </c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>
        <v>3</v>
      </c>
      <c r="AB332" s="2"/>
      <c r="AC332" s="2"/>
      <c r="AD332" s="2">
        <v>10</v>
      </c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F332" s="1"/>
    </row>
    <row r="333" spans="1:58" s="22" customFormat="1" x14ac:dyDescent="0.25">
      <c r="A333" s="74" t="s">
        <v>6</v>
      </c>
      <c r="B333" s="4">
        <v>46158</v>
      </c>
      <c r="C333" s="2">
        <f t="shared" si="8"/>
        <v>20</v>
      </c>
      <c r="D333" s="3">
        <v>231</v>
      </c>
      <c r="E333" s="70">
        <f>[1]DETAY!$A$2</f>
        <v>0</v>
      </c>
      <c r="F333" s="71">
        <f t="shared" si="9"/>
        <v>231</v>
      </c>
      <c r="G333" s="72">
        <f t="shared" si="10"/>
        <v>0</v>
      </c>
      <c r="H333" s="73">
        <f t="shared" si="11"/>
        <v>1</v>
      </c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F333" s="1"/>
    </row>
    <row r="334" spans="1:58" s="22" customFormat="1" x14ac:dyDescent="0.25">
      <c r="A334" s="5" t="s">
        <v>19</v>
      </c>
      <c r="B334" s="4">
        <v>46159</v>
      </c>
      <c r="C334" s="2">
        <f t="shared" si="8"/>
        <v>21</v>
      </c>
      <c r="D334" s="3">
        <v>100</v>
      </c>
      <c r="E334" s="70">
        <f>[1]DETAY!$A$2</f>
        <v>0</v>
      </c>
      <c r="F334" s="71">
        <f t="shared" si="9"/>
        <v>100</v>
      </c>
      <c r="G334" s="72">
        <f t="shared" si="10"/>
        <v>0</v>
      </c>
      <c r="H334" s="73">
        <f t="shared" si="11"/>
        <v>1</v>
      </c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F334" s="1"/>
    </row>
    <row r="335" spans="1:58" s="22" customFormat="1" x14ac:dyDescent="0.25">
      <c r="A335" s="5" t="s">
        <v>16</v>
      </c>
      <c r="B335" s="4">
        <v>46159</v>
      </c>
      <c r="C335" s="2">
        <f t="shared" si="8"/>
        <v>21</v>
      </c>
      <c r="D335" s="3">
        <v>105</v>
      </c>
      <c r="E335" s="70">
        <f>[1]DETAY!$A$2</f>
        <v>0</v>
      </c>
      <c r="F335" s="71">
        <f t="shared" si="9"/>
        <v>105</v>
      </c>
      <c r="G335" s="72">
        <f t="shared" si="10"/>
        <v>0</v>
      </c>
      <c r="H335" s="73">
        <f t="shared" si="11"/>
        <v>1</v>
      </c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F335" s="1"/>
    </row>
    <row r="336" spans="1:58" s="22" customFormat="1" x14ac:dyDescent="0.25">
      <c r="A336" s="5" t="s">
        <v>10</v>
      </c>
      <c r="B336" s="4">
        <v>46159</v>
      </c>
      <c r="C336" s="2">
        <f t="shared" si="8"/>
        <v>21</v>
      </c>
      <c r="D336" s="3">
        <v>943</v>
      </c>
      <c r="E336" s="70">
        <f>[1]DETAY!$A$2</f>
        <v>0</v>
      </c>
      <c r="F336" s="71">
        <f t="shared" si="9"/>
        <v>900</v>
      </c>
      <c r="G336" s="72">
        <f t="shared" si="10"/>
        <v>43</v>
      </c>
      <c r="H336" s="73">
        <f t="shared" si="11"/>
        <v>0.95440084835630967</v>
      </c>
      <c r="I336" s="2"/>
      <c r="J336" s="2"/>
      <c r="K336" s="2"/>
      <c r="L336" s="2"/>
      <c r="M336" s="2">
        <v>24</v>
      </c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>
        <v>19</v>
      </c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F336" s="1"/>
    </row>
    <row r="337" spans="1:58" s="22" customFormat="1" x14ac:dyDescent="0.25">
      <c r="A337" s="5" t="s">
        <v>9</v>
      </c>
      <c r="B337" s="4">
        <v>46159</v>
      </c>
      <c r="C337" s="2">
        <f t="shared" si="8"/>
        <v>21</v>
      </c>
      <c r="D337" s="3">
        <v>787</v>
      </c>
      <c r="E337" s="70">
        <f>[1]DETAY!$A$2</f>
        <v>0</v>
      </c>
      <c r="F337" s="71">
        <f t="shared" si="9"/>
        <v>780</v>
      </c>
      <c r="G337" s="72">
        <f t="shared" si="10"/>
        <v>7</v>
      </c>
      <c r="H337" s="73">
        <f t="shared" si="11"/>
        <v>0.99110546378653108</v>
      </c>
      <c r="I337" s="2"/>
      <c r="J337" s="2"/>
      <c r="K337" s="2"/>
      <c r="L337" s="2"/>
      <c r="M337" s="2">
        <v>7</v>
      </c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F337" s="1"/>
    </row>
    <row r="338" spans="1:58" s="22" customFormat="1" x14ac:dyDescent="0.25">
      <c r="A338" s="5" t="s">
        <v>0</v>
      </c>
      <c r="B338" s="4">
        <v>46159</v>
      </c>
      <c r="C338" s="2">
        <f t="shared" si="8"/>
        <v>21</v>
      </c>
      <c r="D338" s="3">
        <v>355</v>
      </c>
      <c r="E338" s="70">
        <f>[1]DETAY!$A$2</f>
        <v>0</v>
      </c>
      <c r="F338" s="71">
        <f t="shared" si="9"/>
        <v>315</v>
      </c>
      <c r="G338" s="72">
        <f t="shared" si="10"/>
        <v>40</v>
      </c>
      <c r="H338" s="73">
        <f t="shared" si="11"/>
        <v>0.88732394366197187</v>
      </c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>
        <v>40</v>
      </c>
      <c r="AV338" s="2"/>
      <c r="AW338" s="2"/>
      <c r="AX338" s="2"/>
      <c r="AY338" s="2"/>
      <c r="AZ338" s="2"/>
      <c r="BA338" s="2"/>
      <c r="BB338" s="2"/>
      <c r="BC338" s="2"/>
      <c r="BD338" s="2"/>
      <c r="BF338" s="1"/>
    </row>
    <row r="339" spans="1:58" s="22" customFormat="1" x14ac:dyDescent="0.25">
      <c r="A339" s="5" t="s">
        <v>15</v>
      </c>
      <c r="B339" s="4">
        <v>46159</v>
      </c>
      <c r="C339" s="2">
        <f t="shared" si="8"/>
        <v>21</v>
      </c>
      <c r="D339" s="3">
        <v>220</v>
      </c>
      <c r="E339" s="70">
        <f>[1]DETAY!$A$2</f>
        <v>0</v>
      </c>
      <c r="F339" s="71">
        <f t="shared" si="9"/>
        <v>220</v>
      </c>
      <c r="G339" s="72">
        <f t="shared" si="10"/>
        <v>0</v>
      </c>
      <c r="H339" s="73">
        <f t="shared" si="11"/>
        <v>1</v>
      </c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F339" s="1"/>
    </row>
    <row r="340" spans="1:58" s="22" customFormat="1" x14ac:dyDescent="0.25">
      <c r="A340" s="74" t="s">
        <v>7</v>
      </c>
      <c r="B340" s="4">
        <v>46159</v>
      </c>
      <c r="C340" s="2">
        <f t="shared" si="8"/>
        <v>21</v>
      </c>
      <c r="D340" s="3">
        <v>64</v>
      </c>
      <c r="E340" s="70">
        <f>[1]DETAY!$A$2</f>
        <v>0</v>
      </c>
      <c r="F340" s="71">
        <f t="shared" si="9"/>
        <v>64</v>
      </c>
      <c r="G340" s="72">
        <f t="shared" si="10"/>
        <v>0</v>
      </c>
      <c r="H340" s="73">
        <f t="shared" si="11"/>
        <v>1</v>
      </c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F340" s="1"/>
    </row>
    <row r="341" spans="1:58" s="22" customFormat="1" x14ac:dyDescent="0.25">
      <c r="A341" s="5" t="s">
        <v>12</v>
      </c>
      <c r="B341" s="4">
        <v>46159</v>
      </c>
      <c r="C341" s="2">
        <f t="shared" si="8"/>
        <v>21</v>
      </c>
      <c r="D341" s="3">
        <v>220</v>
      </c>
      <c r="E341" s="70">
        <f>[1]DETAY!$A$2</f>
        <v>0</v>
      </c>
      <c r="F341" s="71">
        <f t="shared" si="9"/>
        <v>220</v>
      </c>
      <c r="G341" s="72">
        <f t="shared" si="10"/>
        <v>0</v>
      </c>
      <c r="H341" s="73">
        <f t="shared" si="11"/>
        <v>1</v>
      </c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F341" s="1"/>
    </row>
    <row r="342" spans="1:58" s="22" customFormat="1" x14ac:dyDescent="0.25">
      <c r="A342" s="74" t="s">
        <v>4</v>
      </c>
      <c r="B342" s="4">
        <v>46159</v>
      </c>
      <c r="C342" s="2">
        <f t="shared" si="8"/>
        <v>21</v>
      </c>
      <c r="D342" s="3">
        <v>539</v>
      </c>
      <c r="E342" s="70">
        <f>[1]DETAY!$A$2</f>
        <v>0</v>
      </c>
      <c r="F342" s="71">
        <f t="shared" si="9"/>
        <v>539</v>
      </c>
      <c r="G342" s="72">
        <f t="shared" si="10"/>
        <v>0</v>
      </c>
      <c r="H342" s="73">
        <f t="shared" si="11"/>
        <v>1</v>
      </c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F342" s="1"/>
    </row>
    <row r="343" spans="1:58" s="22" customFormat="1" x14ac:dyDescent="0.25">
      <c r="A343" s="5" t="s">
        <v>82</v>
      </c>
      <c r="B343" s="4">
        <v>46159</v>
      </c>
      <c r="C343" s="2">
        <f t="shared" si="8"/>
        <v>21</v>
      </c>
      <c r="D343" s="3">
        <v>101</v>
      </c>
      <c r="E343" s="70">
        <f>[1]DETAY!$A$2</f>
        <v>0</v>
      </c>
      <c r="F343" s="71">
        <f t="shared" si="9"/>
        <v>100</v>
      </c>
      <c r="G343" s="72">
        <f t="shared" si="10"/>
        <v>1</v>
      </c>
      <c r="H343" s="73">
        <f t="shared" si="11"/>
        <v>0.99009900990099009</v>
      </c>
      <c r="I343" s="2"/>
      <c r="J343" s="2"/>
      <c r="K343" s="2"/>
      <c r="L343" s="2">
        <v>1</v>
      </c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F343" s="1"/>
    </row>
    <row r="344" spans="1:58" s="22" customFormat="1" x14ac:dyDescent="0.25">
      <c r="A344" s="5" t="s">
        <v>19</v>
      </c>
      <c r="B344" s="4">
        <v>46159</v>
      </c>
      <c r="C344" s="2">
        <f t="shared" si="8"/>
        <v>21</v>
      </c>
      <c r="D344" s="3">
        <v>704</v>
      </c>
      <c r="E344" s="70">
        <f>[1]DETAY!$A$2</f>
        <v>0</v>
      </c>
      <c r="F344" s="71">
        <f t="shared" si="9"/>
        <v>700</v>
      </c>
      <c r="G344" s="72">
        <f t="shared" si="10"/>
        <v>4</v>
      </c>
      <c r="H344" s="73">
        <f t="shared" si="11"/>
        <v>0.99431818181818177</v>
      </c>
      <c r="I344" s="2"/>
      <c r="J344" s="2">
        <v>2</v>
      </c>
      <c r="K344" s="2"/>
      <c r="L344" s="2">
        <v>2</v>
      </c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F344" s="1"/>
    </row>
    <row r="345" spans="1:58" s="22" customFormat="1" x14ac:dyDescent="0.25">
      <c r="A345" s="5" t="s">
        <v>16</v>
      </c>
      <c r="B345" s="4">
        <v>46159</v>
      </c>
      <c r="C345" s="2">
        <f t="shared" si="8"/>
        <v>21</v>
      </c>
      <c r="D345" s="3">
        <v>1068</v>
      </c>
      <c r="E345" s="70">
        <f>[1]DETAY!$A$2</f>
        <v>0</v>
      </c>
      <c r="F345" s="71">
        <f t="shared" si="9"/>
        <v>1050</v>
      </c>
      <c r="G345" s="72">
        <f t="shared" si="10"/>
        <v>18</v>
      </c>
      <c r="H345" s="73">
        <f t="shared" si="11"/>
        <v>0.9831460674157303</v>
      </c>
      <c r="I345" s="2"/>
      <c r="J345" s="2"/>
      <c r="K345" s="2">
        <v>1</v>
      </c>
      <c r="L345" s="2">
        <v>8</v>
      </c>
      <c r="M345" s="2">
        <v>2</v>
      </c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>
        <v>1</v>
      </c>
      <c r="AG345" s="2"/>
      <c r="AH345" s="2">
        <v>6</v>
      </c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F345" s="1"/>
    </row>
    <row r="346" spans="1:58" s="22" customFormat="1" x14ac:dyDescent="0.25">
      <c r="A346" s="5" t="s">
        <v>11</v>
      </c>
      <c r="B346" s="4">
        <v>46159</v>
      </c>
      <c r="C346" s="2">
        <f t="shared" si="8"/>
        <v>21</v>
      </c>
      <c r="D346" s="3">
        <v>842</v>
      </c>
      <c r="E346" s="70">
        <f>[1]DETAY!$A$2</f>
        <v>0</v>
      </c>
      <c r="F346" s="71">
        <f t="shared" si="9"/>
        <v>840</v>
      </c>
      <c r="G346" s="72">
        <f t="shared" si="10"/>
        <v>2</v>
      </c>
      <c r="H346" s="73">
        <f t="shared" si="11"/>
        <v>0.99762470308788598</v>
      </c>
      <c r="I346" s="2"/>
      <c r="J346" s="2"/>
      <c r="K346" s="2"/>
      <c r="L346" s="2">
        <v>2</v>
      </c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F346" s="1"/>
    </row>
    <row r="347" spans="1:58" s="22" customFormat="1" x14ac:dyDescent="0.25">
      <c r="A347" s="5" t="s">
        <v>10</v>
      </c>
      <c r="B347" s="4">
        <v>46159</v>
      </c>
      <c r="C347" s="2">
        <f t="shared" si="8"/>
        <v>21</v>
      </c>
      <c r="D347" s="3">
        <v>353</v>
      </c>
      <c r="E347" s="70">
        <f>[1]DETAY!$A$2</f>
        <v>0</v>
      </c>
      <c r="F347" s="71">
        <f t="shared" si="9"/>
        <v>346</v>
      </c>
      <c r="G347" s="72">
        <f t="shared" si="10"/>
        <v>7</v>
      </c>
      <c r="H347" s="73">
        <f t="shared" si="11"/>
        <v>0.98016997167138808</v>
      </c>
      <c r="I347" s="2"/>
      <c r="J347" s="2"/>
      <c r="K347" s="2"/>
      <c r="L347" s="2"/>
      <c r="M347" s="2">
        <v>7</v>
      </c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F347" s="1"/>
    </row>
    <row r="348" spans="1:58" s="22" customFormat="1" x14ac:dyDescent="0.25">
      <c r="A348" s="5" t="s">
        <v>9</v>
      </c>
      <c r="B348" s="4">
        <v>46159</v>
      </c>
      <c r="C348" s="2">
        <f t="shared" si="8"/>
        <v>21</v>
      </c>
      <c r="D348" s="3">
        <v>320</v>
      </c>
      <c r="E348" s="70">
        <f>[1]DETAY!$A$2</f>
        <v>0</v>
      </c>
      <c r="F348" s="71">
        <f t="shared" si="9"/>
        <v>315</v>
      </c>
      <c r="G348" s="72">
        <f t="shared" si="10"/>
        <v>5</v>
      </c>
      <c r="H348" s="73">
        <f t="shared" si="11"/>
        <v>0.984375</v>
      </c>
      <c r="I348" s="2"/>
      <c r="J348" s="2"/>
      <c r="K348" s="2"/>
      <c r="L348" s="2"/>
      <c r="M348" s="2">
        <v>5</v>
      </c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F348" s="1"/>
    </row>
    <row r="349" spans="1:58" s="22" customFormat="1" x14ac:dyDescent="0.25">
      <c r="A349" s="5" t="s">
        <v>0</v>
      </c>
      <c r="B349" s="4">
        <v>46159</v>
      </c>
      <c r="C349" s="2">
        <f t="shared" si="8"/>
        <v>21</v>
      </c>
      <c r="D349" s="3">
        <v>415</v>
      </c>
      <c r="E349" s="70">
        <f>[1]DETAY!$A$2</f>
        <v>0</v>
      </c>
      <c r="F349" s="71">
        <f t="shared" si="9"/>
        <v>350</v>
      </c>
      <c r="G349" s="72">
        <f t="shared" si="10"/>
        <v>65</v>
      </c>
      <c r="H349" s="73">
        <f t="shared" si="11"/>
        <v>0.84337349397590367</v>
      </c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>
        <v>65</v>
      </c>
      <c r="AV349" s="2"/>
      <c r="AW349" s="2"/>
      <c r="AX349" s="2"/>
      <c r="AY349" s="2"/>
      <c r="AZ349" s="2"/>
      <c r="BA349" s="2"/>
      <c r="BB349" s="2"/>
      <c r="BC349" s="2"/>
      <c r="BD349" s="2"/>
      <c r="BF349" s="1"/>
    </row>
    <row r="350" spans="1:58" s="22" customFormat="1" x14ac:dyDescent="0.25">
      <c r="A350" s="74" t="s">
        <v>7</v>
      </c>
      <c r="B350" s="4">
        <v>46159</v>
      </c>
      <c r="C350" s="2">
        <f t="shared" si="8"/>
        <v>21</v>
      </c>
      <c r="D350" s="3">
        <v>640</v>
      </c>
      <c r="E350" s="70">
        <f>[1]DETAY!$A$2</f>
        <v>0</v>
      </c>
      <c r="F350" s="71">
        <f t="shared" si="9"/>
        <v>640</v>
      </c>
      <c r="G350" s="72">
        <f t="shared" si="10"/>
        <v>0</v>
      </c>
      <c r="H350" s="73">
        <f t="shared" si="11"/>
        <v>1</v>
      </c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F350" s="1"/>
    </row>
    <row r="351" spans="1:58" s="22" customFormat="1" x14ac:dyDescent="0.25">
      <c r="A351" s="5" t="s">
        <v>88</v>
      </c>
      <c r="B351" s="4">
        <v>46160</v>
      </c>
      <c r="C351" s="2">
        <f t="shared" si="8"/>
        <v>21</v>
      </c>
      <c r="D351" s="3">
        <v>755</v>
      </c>
      <c r="E351" s="70">
        <f>[1]DETAY!$A$2</f>
        <v>0</v>
      </c>
      <c r="F351" s="71">
        <f t="shared" si="9"/>
        <v>740</v>
      </c>
      <c r="G351" s="72">
        <f t="shared" si="10"/>
        <v>15</v>
      </c>
      <c r="H351" s="73">
        <f t="shared" si="11"/>
        <v>0.98013245033112584</v>
      </c>
      <c r="I351" s="2"/>
      <c r="J351" s="2"/>
      <c r="K351" s="2"/>
      <c r="L351" s="2">
        <v>15</v>
      </c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F351" s="1"/>
    </row>
    <row r="352" spans="1:58" s="22" customFormat="1" x14ac:dyDescent="0.25">
      <c r="A352" s="5" t="s">
        <v>89</v>
      </c>
      <c r="B352" s="4">
        <v>46160</v>
      </c>
      <c r="C352" s="2">
        <f t="shared" si="8"/>
        <v>21</v>
      </c>
      <c r="D352" s="3">
        <v>903</v>
      </c>
      <c r="E352" s="70">
        <f>[1]DETAY!$A$2</f>
        <v>0</v>
      </c>
      <c r="F352" s="71">
        <f t="shared" si="9"/>
        <v>900</v>
      </c>
      <c r="G352" s="72">
        <f t="shared" si="10"/>
        <v>3</v>
      </c>
      <c r="H352" s="73">
        <f t="shared" si="11"/>
        <v>0.99667774086378735</v>
      </c>
      <c r="I352" s="2"/>
      <c r="J352" s="2"/>
      <c r="K352" s="2"/>
      <c r="L352" s="2">
        <v>3</v>
      </c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F352" s="1"/>
    </row>
    <row r="353" spans="1:58" s="22" customFormat="1" x14ac:dyDescent="0.25">
      <c r="A353" s="5" t="s">
        <v>20</v>
      </c>
      <c r="B353" s="4">
        <v>46160</v>
      </c>
      <c r="C353" s="2">
        <f t="shared" si="8"/>
        <v>21</v>
      </c>
      <c r="D353" s="3">
        <v>718</v>
      </c>
      <c r="E353" s="70">
        <f>[1]DETAY!$A$2</f>
        <v>0</v>
      </c>
      <c r="F353" s="71">
        <f t="shared" si="9"/>
        <v>700</v>
      </c>
      <c r="G353" s="72">
        <f t="shared" si="10"/>
        <v>18</v>
      </c>
      <c r="H353" s="73">
        <f t="shared" si="11"/>
        <v>0.97493036211699169</v>
      </c>
      <c r="I353" s="2"/>
      <c r="J353" s="2">
        <v>18</v>
      </c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F353" s="1"/>
    </row>
    <row r="354" spans="1:58" s="22" customFormat="1" x14ac:dyDescent="0.25">
      <c r="A354" s="5" t="s">
        <v>19</v>
      </c>
      <c r="B354" s="4">
        <v>46160</v>
      </c>
      <c r="C354" s="2">
        <f t="shared" si="8"/>
        <v>21</v>
      </c>
      <c r="D354" s="3">
        <v>363</v>
      </c>
      <c r="E354" s="70">
        <f>[1]DETAY!$A$2</f>
        <v>0</v>
      </c>
      <c r="F354" s="71">
        <f t="shared" si="9"/>
        <v>350</v>
      </c>
      <c r="G354" s="72">
        <f t="shared" si="10"/>
        <v>13</v>
      </c>
      <c r="H354" s="73">
        <f t="shared" si="11"/>
        <v>0.96418732782369143</v>
      </c>
      <c r="I354" s="2"/>
      <c r="J354" s="2">
        <v>11</v>
      </c>
      <c r="K354" s="2"/>
      <c r="L354" s="2">
        <v>2</v>
      </c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F354" s="1"/>
    </row>
    <row r="355" spans="1:58" s="22" customFormat="1" x14ac:dyDescent="0.25">
      <c r="A355" s="5" t="s">
        <v>90</v>
      </c>
      <c r="B355" s="4">
        <v>46160</v>
      </c>
      <c r="C355" s="2">
        <f t="shared" si="8"/>
        <v>21</v>
      </c>
      <c r="D355" s="3">
        <v>1433</v>
      </c>
      <c r="E355" s="70">
        <f>[1]DETAY!$A$2</f>
        <v>0</v>
      </c>
      <c r="F355" s="71">
        <f t="shared" si="9"/>
        <v>1400</v>
      </c>
      <c r="G355" s="72">
        <f t="shared" si="10"/>
        <v>33</v>
      </c>
      <c r="H355" s="73">
        <f t="shared" si="11"/>
        <v>0.97697138869504541</v>
      </c>
      <c r="I355" s="2"/>
      <c r="J355" s="2">
        <v>27</v>
      </c>
      <c r="K355" s="2"/>
      <c r="L355" s="2">
        <v>6</v>
      </c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F355" s="1"/>
    </row>
    <row r="356" spans="1:58" s="22" customFormat="1" x14ac:dyDescent="0.25">
      <c r="A356" s="5" t="s">
        <v>17</v>
      </c>
      <c r="B356" s="4">
        <v>46160</v>
      </c>
      <c r="C356" s="2">
        <f t="shared" si="8"/>
        <v>21</v>
      </c>
      <c r="D356" s="3">
        <v>365</v>
      </c>
      <c r="E356" s="70">
        <f>[1]DETAY!$A$2</f>
        <v>0</v>
      </c>
      <c r="F356" s="71">
        <f t="shared" si="9"/>
        <v>350</v>
      </c>
      <c r="G356" s="72">
        <f t="shared" si="10"/>
        <v>15</v>
      </c>
      <c r="H356" s="73">
        <f t="shared" si="11"/>
        <v>0.95890410958904104</v>
      </c>
      <c r="I356" s="2"/>
      <c r="J356" s="2">
        <v>10</v>
      </c>
      <c r="K356" s="2"/>
      <c r="L356" s="2">
        <v>5</v>
      </c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F356" s="1"/>
    </row>
    <row r="357" spans="1:58" s="22" customFormat="1" x14ac:dyDescent="0.25">
      <c r="A357" s="5" t="s">
        <v>16</v>
      </c>
      <c r="B357" s="4">
        <v>46160</v>
      </c>
      <c r="C357" s="2">
        <f t="shared" si="8"/>
        <v>21</v>
      </c>
      <c r="D357" s="3">
        <v>645</v>
      </c>
      <c r="E357" s="70">
        <f>[1]DETAY!$A$2</f>
        <v>0</v>
      </c>
      <c r="F357" s="71">
        <f t="shared" si="9"/>
        <v>631</v>
      </c>
      <c r="G357" s="72">
        <f t="shared" si="10"/>
        <v>14</v>
      </c>
      <c r="H357" s="73">
        <f t="shared" si="11"/>
        <v>0.97829457364341088</v>
      </c>
      <c r="I357" s="2"/>
      <c r="J357" s="2"/>
      <c r="K357" s="2"/>
      <c r="L357" s="2">
        <v>3</v>
      </c>
      <c r="M357" s="2">
        <v>9</v>
      </c>
      <c r="N357" s="2"/>
      <c r="O357" s="2"/>
      <c r="P357" s="2">
        <v>1</v>
      </c>
      <c r="Q357" s="2">
        <v>1</v>
      </c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F357" s="1"/>
    </row>
    <row r="358" spans="1:58" s="22" customFormat="1" x14ac:dyDescent="0.25">
      <c r="A358" s="5" t="s">
        <v>11</v>
      </c>
      <c r="B358" s="4">
        <v>46160</v>
      </c>
      <c r="C358" s="2">
        <f t="shared" si="8"/>
        <v>21</v>
      </c>
      <c r="D358" s="3">
        <v>855</v>
      </c>
      <c r="E358" s="70">
        <f>[1]DETAY!$A$2</f>
        <v>0</v>
      </c>
      <c r="F358" s="71">
        <f t="shared" si="9"/>
        <v>840</v>
      </c>
      <c r="G358" s="72">
        <f t="shared" si="10"/>
        <v>15</v>
      </c>
      <c r="H358" s="73">
        <f t="shared" si="11"/>
        <v>0.98245614035087714</v>
      </c>
      <c r="I358" s="2"/>
      <c r="J358" s="2"/>
      <c r="K358" s="2"/>
      <c r="L358" s="2">
        <v>15</v>
      </c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F358" s="1"/>
    </row>
    <row r="359" spans="1:58" s="22" customFormat="1" x14ac:dyDescent="0.25">
      <c r="A359" s="5" t="s">
        <v>10</v>
      </c>
      <c r="B359" s="4">
        <v>46160</v>
      </c>
      <c r="C359" s="2">
        <f t="shared" si="8"/>
        <v>21</v>
      </c>
      <c r="D359" s="3">
        <v>369</v>
      </c>
      <c r="E359" s="70">
        <f>[1]DETAY!$A$2</f>
        <v>0</v>
      </c>
      <c r="F359" s="71">
        <f t="shared" si="9"/>
        <v>360</v>
      </c>
      <c r="G359" s="72">
        <f t="shared" si="10"/>
        <v>9</v>
      </c>
      <c r="H359" s="73">
        <f t="shared" si="11"/>
        <v>0.97560975609756095</v>
      </c>
      <c r="I359" s="2"/>
      <c r="J359" s="2"/>
      <c r="K359" s="2"/>
      <c r="L359" s="2"/>
      <c r="M359" s="2">
        <v>7</v>
      </c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>
        <v>2</v>
      </c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F359" s="1"/>
    </row>
    <row r="360" spans="1:58" s="22" customFormat="1" x14ac:dyDescent="0.25">
      <c r="A360" s="5" t="s">
        <v>9</v>
      </c>
      <c r="B360" s="4">
        <v>46160</v>
      </c>
      <c r="C360" s="2">
        <f t="shared" si="8"/>
        <v>21</v>
      </c>
      <c r="D360" s="3">
        <v>341</v>
      </c>
      <c r="E360" s="70">
        <f>[1]DETAY!$A$2</f>
        <v>0</v>
      </c>
      <c r="F360" s="71">
        <f t="shared" si="9"/>
        <v>334</v>
      </c>
      <c r="G360" s="72">
        <f t="shared" si="10"/>
        <v>7</v>
      </c>
      <c r="H360" s="73">
        <f t="shared" si="11"/>
        <v>0.97947214076246336</v>
      </c>
      <c r="I360" s="2"/>
      <c r="J360" s="2"/>
      <c r="K360" s="2"/>
      <c r="L360" s="2"/>
      <c r="M360" s="2">
        <v>7</v>
      </c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F360" s="1"/>
    </row>
    <row r="361" spans="1:58" s="22" customFormat="1" x14ac:dyDescent="0.25">
      <c r="A361" s="5" t="s">
        <v>1</v>
      </c>
      <c r="B361" s="4">
        <v>46160</v>
      </c>
      <c r="C361" s="2">
        <f t="shared" si="8"/>
        <v>21</v>
      </c>
      <c r="D361" s="3">
        <v>121</v>
      </c>
      <c r="E361" s="70">
        <f>[1]DETAY!$A$2</f>
        <v>0</v>
      </c>
      <c r="F361" s="71">
        <f t="shared" si="9"/>
        <v>105</v>
      </c>
      <c r="G361" s="72">
        <f t="shared" si="10"/>
        <v>16</v>
      </c>
      <c r="H361" s="73">
        <f t="shared" si="11"/>
        <v>0.86776859504132231</v>
      </c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>
        <v>16</v>
      </c>
      <c r="AV361" s="2"/>
      <c r="AW361" s="2"/>
      <c r="AX361" s="2"/>
      <c r="AY361" s="2"/>
      <c r="AZ361" s="2"/>
      <c r="BA361" s="2"/>
      <c r="BB361" s="2"/>
      <c r="BC361" s="2"/>
      <c r="BD361" s="2"/>
      <c r="BF361" s="1"/>
    </row>
    <row r="362" spans="1:58" s="22" customFormat="1" x14ac:dyDescent="0.25">
      <c r="A362" s="5" t="s">
        <v>0</v>
      </c>
      <c r="B362" s="4">
        <v>46160</v>
      </c>
      <c r="C362" s="2">
        <f t="shared" si="8"/>
        <v>21</v>
      </c>
      <c r="D362" s="3">
        <v>210</v>
      </c>
      <c r="E362" s="70">
        <f>[1]DETAY!$A$2</f>
        <v>0</v>
      </c>
      <c r="F362" s="71">
        <f t="shared" si="9"/>
        <v>197</v>
      </c>
      <c r="G362" s="72">
        <f t="shared" si="10"/>
        <v>13</v>
      </c>
      <c r="H362" s="73">
        <f t="shared" si="11"/>
        <v>0.93809523809523809</v>
      </c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>
        <v>13</v>
      </c>
      <c r="AV362" s="2"/>
      <c r="AW362" s="2"/>
      <c r="AX362" s="2"/>
      <c r="AY362" s="2"/>
      <c r="AZ362" s="2"/>
      <c r="BA362" s="2"/>
      <c r="BB362" s="2"/>
      <c r="BC362" s="2"/>
      <c r="BD362" s="2"/>
      <c r="BF362" s="1"/>
    </row>
    <row r="363" spans="1:58" s="22" customFormat="1" x14ac:dyDescent="0.25">
      <c r="A363" s="5" t="s">
        <v>14</v>
      </c>
      <c r="B363" s="4">
        <v>46160</v>
      </c>
      <c r="C363" s="2">
        <f t="shared" si="8"/>
        <v>21</v>
      </c>
      <c r="D363" s="3">
        <v>221</v>
      </c>
      <c r="E363" s="70">
        <f>[1]DETAY!$A$2</f>
        <v>0</v>
      </c>
      <c r="F363" s="71">
        <f t="shared" si="9"/>
        <v>220</v>
      </c>
      <c r="G363" s="72">
        <f t="shared" si="10"/>
        <v>1</v>
      </c>
      <c r="H363" s="73">
        <f t="shared" si="11"/>
        <v>0.99547511312217196</v>
      </c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>
        <v>1</v>
      </c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F363" s="1"/>
    </row>
    <row r="364" spans="1:58" s="22" customFormat="1" x14ac:dyDescent="0.25">
      <c r="A364" s="5" t="s">
        <v>7</v>
      </c>
      <c r="B364" s="4">
        <v>46160</v>
      </c>
      <c r="C364" s="2">
        <f t="shared" si="8"/>
        <v>21</v>
      </c>
      <c r="D364" s="3">
        <v>576</v>
      </c>
      <c r="E364" s="70">
        <f>[1]DETAY!$A$2</f>
        <v>0</v>
      </c>
      <c r="F364" s="71">
        <f t="shared" si="9"/>
        <v>576</v>
      </c>
      <c r="G364" s="72">
        <f t="shared" si="10"/>
        <v>0</v>
      </c>
      <c r="H364" s="73">
        <f t="shared" si="11"/>
        <v>1</v>
      </c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F364" s="1"/>
    </row>
    <row r="365" spans="1:58" s="22" customFormat="1" x14ac:dyDescent="0.25">
      <c r="A365" s="5" t="s">
        <v>4</v>
      </c>
      <c r="B365" s="4">
        <v>46160</v>
      </c>
      <c r="C365" s="2">
        <f t="shared" ref="C365:C428" si="12">WEEKNUM(B365)</f>
        <v>21</v>
      </c>
      <c r="D365" s="3">
        <v>541</v>
      </c>
      <c r="E365" s="70">
        <f>[1]DETAY!$A$2</f>
        <v>0</v>
      </c>
      <c r="F365" s="71">
        <f t="shared" ref="F365:F428" si="13">D365-G365</f>
        <v>539</v>
      </c>
      <c r="G365" s="72">
        <f t="shared" ref="G365:G428" si="14">SUBTOTAL(9,I365:BD365)</f>
        <v>2</v>
      </c>
      <c r="H365" s="73">
        <f t="shared" ref="H365:H428" si="15">F365/D365</f>
        <v>0.99630314232902029</v>
      </c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>
        <v>1</v>
      </c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>
        <v>1</v>
      </c>
      <c r="AZ365" s="2"/>
      <c r="BA365" s="2"/>
      <c r="BB365" s="2"/>
      <c r="BC365" s="2"/>
      <c r="BD365" s="2"/>
      <c r="BF365" s="1"/>
    </row>
    <row r="366" spans="1:58" s="22" customFormat="1" x14ac:dyDescent="0.25">
      <c r="A366" s="5" t="s">
        <v>88</v>
      </c>
      <c r="B366" s="4">
        <v>46160</v>
      </c>
      <c r="C366" s="2">
        <f t="shared" si="12"/>
        <v>21</v>
      </c>
      <c r="D366" s="3">
        <v>914</v>
      </c>
      <c r="E366" s="70">
        <f>[1]DETAY!$A$2</f>
        <v>0</v>
      </c>
      <c r="F366" s="71">
        <f t="shared" si="13"/>
        <v>910</v>
      </c>
      <c r="G366" s="72">
        <f t="shared" si="14"/>
        <v>4</v>
      </c>
      <c r="H366" s="73">
        <f t="shared" si="15"/>
        <v>0.99562363238512031</v>
      </c>
      <c r="I366" s="2"/>
      <c r="J366" s="2"/>
      <c r="K366" s="2"/>
      <c r="L366" s="2">
        <v>4</v>
      </c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F366" s="1"/>
    </row>
    <row r="367" spans="1:58" s="22" customFormat="1" x14ac:dyDescent="0.25">
      <c r="A367" s="5" t="s">
        <v>19</v>
      </c>
      <c r="B367" s="4">
        <v>46160</v>
      </c>
      <c r="C367" s="2">
        <f t="shared" si="12"/>
        <v>21</v>
      </c>
      <c r="D367" s="3">
        <v>944</v>
      </c>
      <c r="E367" s="70">
        <f>[1]DETAY!$A$2</f>
        <v>0</v>
      </c>
      <c r="F367" s="71">
        <f t="shared" si="13"/>
        <v>900</v>
      </c>
      <c r="G367" s="72">
        <f t="shared" si="14"/>
        <v>44</v>
      </c>
      <c r="H367" s="73">
        <f t="shared" si="15"/>
        <v>0.95338983050847459</v>
      </c>
      <c r="I367" s="2"/>
      <c r="J367" s="2">
        <v>44</v>
      </c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F367" s="1"/>
    </row>
    <row r="368" spans="1:58" s="22" customFormat="1" x14ac:dyDescent="0.25">
      <c r="A368" s="5" t="s">
        <v>17</v>
      </c>
      <c r="B368" s="4">
        <v>46160</v>
      </c>
      <c r="C368" s="2">
        <f t="shared" si="12"/>
        <v>21</v>
      </c>
      <c r="D368" s="3">
        <v>730</v>
      </c>
      <c r="E368" s="70">
        <f>[1]DETAY!$A$2</f>
        <v>0</v>
      </c>
      <c r="F368" s="71">
        <f t="shared" si="13"/>
        <v>700</v>
      </c>
      <c r="G368" s="72">
        <f t="shared" si="14"/>
        <v>30</v>
      </c>
      <c r="H368" s="73">
        <f t="shared" si="15"/>
        <v>0.95890410958904104</v>
      </c>
      <c r="I368" s="2"/>
      <c r="J368" s="2">
        <v>30</v>
      </c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F368" s="1"/>
    </row>
    <row r="369" spans="1:58" s="22" customFormat="1" x14ac:dyDescent="0.25">
      <c r="A369" s="5" t="s">
        <v>10</v>
      </c>
      <c r="B369" s="4">
        <v>46160</v>
      </c>
      <c r="C369" s="2">
        <f t="shared" si="12"/>
        <v>21</v>
      </c>
      <c r="D369" s="3">
        <v>484</v>
      </c>
      <c r="E369" s="70">
        <f>[1]DETAY!$A$2</f>
        <v>0</v>
      </c>
      <c r="F369" s="71">
        <f t="shared" si="13"/>
        <v>480</v>
      </c>
      <c r="G369" s="72">
        <f t="shared" si="14"/>
        <v>4</v>
      </c>
      <c r="H369" s="73">
        <f t="shared" si="15"/>
        <v>0.99173553719008267</v>
      </c>
      <c r="I369" s="2"/>
      <c r="J369" s="2"/>
      <c r="K369" s="2"/>
      <c r="L369" s="2"/>
      <c r="M369" s="2">
        <v>2</v>
      </c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>
        <v>2</v>
      </c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F369" s="1"/>
    </row>
    <row r="370" spans="1:58" s="22" customFormat="1" x14ac:dyDescent="0.25">
      <c r="A370" s="5" t="s">
        <v>9</v>
      </c>
      <c r="B370" s="4">
        <v>46160</v>
      </c>
      <c r="C370" s="2">
        <f t="shared" si="12"/>
        <v>21</v>
      </c>
      <c r="D370" s="3">
        <v>121</v>
      </c>
      <c r="E370" s="70">
        <f>[1]DETAY!$A$2</f>
        <v>0</v>
      </c>
      <c r="F370" s="71">
        <f t="shared" si="13"/>
        <v>120</v>
      </c>
      <c r="G370" s="72">
        <f t="shared" si="14"/>
        <v>1</v>
      </c>
      <c r="H370" s="73">
        <f t="shared" si="15"/>
        <v>0.99173553719008267</v>
      </c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>
        <v>1</v>
      </c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F370" s="1"/>
    </row>
    <row r="371" spans="1:58" s="22" customFormat="1" x14ac:dyDescent="0.25">
      <c r="A371" s="5" t="s">
        <v>1</v>
      </c>
      <c r="B371" s="4">
        <v>46160</v>
      </c>
      <c r="C371" s="2">
        <f t="shared" si="12"/>
        <v>21</v>
      </c>
      <c r="D371" s="3">
        <v>370</v>
      </c>
      <c r="E371" s="70">
        <f>[1]DETAY!$A$2</f>
        <v>0</v>
      </c>
      <c r="F371" s="71">
        <f t="shared" si="13"/>
        <v>285</v>
      </c>
      <c r="G371" s="72">
        <f t="shared" si="14"/>
        <v>85</v>
      </c>
      <c r="H371" s="73">
        <f t="shared" si="15"/>
        <v>0.77027027027027029</v>
      </c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>
        <v>85</v>
      </c>
      <c r="AV371" s="2"/>
      <c r="AW371" s="2"/>
      <c r="AX371" s="2"/>
      <c r="AY371" s="2"/>
      <c r="AZ371" s="2"/>
      <c r="BA371" s="2"/>
      <c r="BB371" s="2"/>
      <c r="BC371" s="2"/>
      <c r="BD371" s="2"/>
      <c r="BF371" s="1"/>
    </row>
    <row r="372" spans="1:58" s="22" customFormat="1" x14ac:dyDescent="0.25">
      <c r="A372" s="5" t="s">
        <v>14</v>
      </c>
      <c r="B372" s="4">
        <v>46160</v>
      </c>
      <c r="C372" s="2">
        <f t="shared" si="12"/>
        <v>21</v>
      </c>
      <c r="D372" s="3">
        <v>440</v>
      </c>
      <c r="E372" s="70">
        <f>[1]DETAY!$A$2</f>
        <v>0</v>
      </c>
      <c r="F372" s="71">
        <f t="shared" si="13"/>
        <v>440</v>
      </c>
      <c r="G372" s="72">
        <f t="shared" si="14"/>
        <v>0</v>
      </c>
      <c r="H372" s="73">
        <f t="shared" si="15"/>
        <v>1</v>
      </c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F372" s="1"/>
    </row>
    <row r="373" spans="1:58" s="22" customFormat="1" x14ac:dyDescent="0.25">
      <c r="A373" s="5" t="s">
        <v>7</v>
      </c>
      <c r="B373" s="4">
        <v>46160</v>
      </c>
      <c r="C373" s="2">
        <f t="shared" si="12"/>
        <v>21</v>
      </c>
      <c r="D373" s="3">
        <v>961</v>
      </c>
      <c r="E373" s="70">
        <f>[1]DETAY!$A$2</f>
        <v>0</v>
      </c>
      <c r="F373" s="71">
        <f t="shared" si="13"/>
        <v>960</v>
      </c>
      <c r="G373" s="72">
        <f t="shared" si="14"/>
        <v>1</v>
      </c>
      <c r="H373" s="73">
        <f t="shared" si="15"/>
        <v>0.99895941727367321</v>
      </c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>
        <v>1</v>
      </c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F373" s="1"/>
    </row>
    <row r="374" spans="1:58" s="22" customFormat="1" x14ac:dyDescent="0.25">
      <c r="A374" s="5" t="s">
        <v>13</v>
      </c>
      <c r="B374" s="4">
        <v>46160</v>
      </c>
      <c r="C374" s="2">
        <f t="shared" si="12"/>
        <v>21</v>
      </c>
      <c r="D374" s="3">
        <v>360</v>
      </c>
      <c r="E374" s="70">
        <f>[1]DETAY!$A$2</f>
        <v>0</v>
      </c>
      <c r="F374" s="71">
        <f t="shared" si="13"/>
        <v>360</v>
      </c>
      <c r="G374" s="72">
        <f t="shared" si="14"/>
        <v>0</v>
      </c>
      <c r="H374" s="73">
        <f t="shared" si="15"/>
        <v>1</v>
      </c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F374" s="1"/>
    </row>
    <row r="375" spans="1:58" s="22" customFormat="1" x14ac:dyDescent="0.25">
      <c r="A375" s="5" t="s">
        <v>4</v>
      </c>
      <c r="B375" s="4">
        <v>46160</v>
      </c>
      <c r="C375" s="2">
        <f t="shared" si="12"/>
        <v>21</v>
      </c>
      <c r="D375" s="3">
        <v>697</v>
      </c>
      <c r="E375" s="70">
        <f>[1]DETAY!$A$2</f>
        <v>0</v>
      </c>
      <c r="F375" s="71">
        <f t="shared" si="13"/>
        <v>693</v>
      </c>
      <c r="G375" s="72">
        <f t="shared" si="14"/>
        <v>4</v>
      </c>
      <c r="H375" s="73">
        <f t="shared" si="15"/>
        <v>0.99426111908177905</v>
      </c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>
        <v>1</v>
      </c>
      <c r="AB375" s="2"/>
      <c r="AC375" s="2"/>
      <c r="AD375" s="2">
        <v>3</v>
      </c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F375" s="1"/>
    </row>
    <row r="376" spans="1:58" s="22" customFormat="1" x14ac:dyDescent="0.25">
      <c r="A376" s="5" t="s">
        <v>6</v>
      </c>
      <c r="B376" s="4">
        <v>46160</v>
      </c>
      <c r="C376" s="2">
        <f t="shared" si="12"/>
        <v>21</v>
      </c>
      <c r="D376" s="3">
        <v>63</v>
      </c>
      <c r="E376" s="70">
        <f>[1]DETAY!$A$2</f>
        <v>0</v>
      </c>
      <c r="F376" s="71">
        <f t="shared" si="13"/>
        <v>63</v>
      </c>
      <c r="G376" s="72">
        <f t="shared" si="14"/>
        <v>0</v>
      </c>
      <c r="H376" s="73">
        <f t="shared" si="15"/>
        <v>1</v>
      </c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F376" s="1"/>
    </row>
    <row r="377" spans="1:58" s="22" customFormat="1" x14ac:dyDescent="0.25">
      <c r="A377" s="5" t="s">
        <v>91</v>
      </c>
      <c r="B377" s="4">
        <v>46160</v>
      </c>
      <c r="C377" s="2">
        <f t="shared" si="12"/>
        <v>21</v>
      </c>
      <c r="D377" s="3">
        <v>100</v>
      </c>
      <c r="E377" s="70">
        <f>[1]DETAY!$A$2</f>
        <v>0</v>
      </c>
      <c r="F377" s="71">
        <f t="shared" si="13"/>
        <v>100</v>
      </c>
      <c r="G377" s="72">
        <f t="shared" si="14"/>
        <v>0</v>
      </c>
      <c r="H377" s="73">
        <f t="shared" si="15"/>
        <v>1</v>
      </c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F377" s="1"/>
    </row>
    <row r="378" spans="1:58" s="22" customFormat="1" x14ac:dyDescent="0.25">
      <c r="A378" s="5" t="s">
        <v>85</v>
      </c>
      <c r="B378" s="4">
        <v>46160</v>
      </c>
      <c r="C378" s="2">
        <f t="shared" si="12"/>
        <v>21</v>
      </c>
      <c r="D378" s="3">
        <v>127</v>
      </c>
      <c r="E378" s="70">
        <f>[1]DETAY!$A$2</f>
        <v>0</v>
      </c>
      <c r="F378" s="71">
        <f t="shared" si="13"/>
        <v>127</v>
      </c>
      <c r="G378" s="72">
        <f t="shared" si="14"/>
        <v>0</v>
      </c>
      <c r="H378" s="73">
        <f t="shared" si="15"/>
        <v>1</v>
      </c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F378" s="1"/>
    </row>
    <row r="379" spans="1:58" s="22" customFormat="1" x14ac:dyDescent="0.25">
      <c r="A379" s="5" t="s">
        <v>88</v>
      </c>
      <c r="B379" s="4">
        <v>46160</v>
      </c>
      <c r="C379" s="2">
        <f t="shared" si="12"/>
        <v>21</v>
      </c>
      <c r="D379" s="3">
        <v>513</v>
      </c>
      <c r="E379" s="70">
        <f>[1]DETAY!$A$2</f>
        <v>0</v>
      </c>
      <c r="F379" s="71">
        <f t="shared" si="13"/>
        <v>508</v>
      </c>
      <c r="G379" s="72">
        <f t="shared" si="14"/>
        <v>5</v>
      </c>
      <c r="H379" s="73">
        <f t="shared" si="15"/>
        <v>0.99025341130604283</v>
      </c>
      <c r="I379" s="2"/>
      <c r="J379" s="2"/>
      <c r="K379" s="2"/>
      <c r="L379" s="2">
        <v>5</v>
      </c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F379" s="1"/>
    </row>
    <row r="380" spans="1:58" s="22" customFormat="1" x14ac:dyDescent="0.25">
      <c r="A380" s="5" t="s">
        <v>20</v>
      </c>
      <c r="B380" s="4">
        <v>46160</v>
      </c>
      <c r="C380" s="2">
        <f t="shared" si="12"/>
        <v>21</v>
      </c>
      <c r="D380" s="3">
        <v>700</v>
      </c>
      <c r="E380" s="70">
        <f>[1]DETAY!$A$2</f>
        <v>0</v>
      </c>
      <c r="F380" s="71">
        <f t="shared" si="13"/>
        <v>659</v>
      </c>
      <c r="G380" s="72">
        <f t="shared" si="14"/>
        <v>41</v>
      </c>
      <c r="H380" s="73">
        <f t="shared" si="15"/>
        <v>0.94142857142857139</v>
      </c>
      <c r="I380" s="2"/>
      <c r="J380" s="2">
        <v>35</v>
      </c>
      <c r="K380" s="2"/>
      <c r="L380" s="2">
        <v>4</v>
      </c>
      <c r="M380" s="2">
        <v>2</v>
      </c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F380" s="1"/>
    </row>
    <row r="381" spans="1:58" s="22" customFormat="1" x14ac:dyDescent="0.25">
      <c r="A381" s="5" t="s">
        <v>19</v>
      </c>
      <c r="B381" s="4">
        <v>46160</v>
      </c>
      <c r="C381" s="2">
        <f t="shared" si="12"/>
        <v>21</v>
      </c>
      <c r="D381" s="3">
        <v>631</v>
      </c>
      <c r="E381" s="70">
        <f>[1]DETAY!$A$2</f>
        <v>0</v>
      </c>
      <c r="F381" s="71">
        <f t="shared" si="13"/>
        <v>630</v>
      </c>
      <c r="G381" s="72">
        <f t="shared" si="14"/>
        <v>1</v>
      </c>
      <c r="H381" s="73">
        <f t="shared" si="15"/>
        <v>0.99841521394611732</v>
      </c>
      <c r="I381" s="2"/>
      <c r="J381" s="2">
        <v>1</v>
      </c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F381" s="1"/>
    </row>
    <row r="382" spans="1:58" s="22" customFormat="1" x14ac:dyDescent="0.25">
      <c r="A382" s="5" t="s">
        <v>16</v>
      </c>
      <c r="B382" s="4">
        <v>46160</v>
      </c>
      <c r="C382" s="2">
        <f t="shared" si="12"/>
        <v>21</v>
      </c>
      <c r="D382" s="3">
        <v>840</v>
      </c>
      <c r="E382" s="70">
        <f>[1]DETAY!$A$2</f>
        <v>0</v>
      </c>
      <c r="F382" s="71">
        <f t="shared" si="13"/>
        <v>813</v>
      </c>
      <c r="G382" s="72">
        <f t="shared" si="14"/>
        <v>27</v>
      </c>
      <c r="H382" s="73">
        <f t="shared" si="15"/>
        <v>0.96785714285714286</v>
      </c>
      <c r="I382" s="2"/>
      <c r="J382" s="2"/>
      <c r="K382" s="2">
        <v>6</v>
      </c>
      <c r="L382" s="2">
        <v>12</v>
      </c>
      <c r="M382" s="2"/>
      <c r="N382" s="2"/>
      <c r="O382" s="2"/>
      <c r="P382" s="2">
        <v>1</v>
      </c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>
        <v>4</v>
      </c>
      <c r="AG382" s="2"/>
      <c r="AH382" s="2">
        <v>4</v>
      </c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F382" s="1"/>
    </row>
    <row r="383" spans="1:58" s="22" customFormat="1" x14ac:dyDescent="0.25">
      <c r="A383" s="5" t="s">
        <v>10</v>
      </c>
      <c r="B383" s="4">
        <v>46160</v>
      </c>
      <c r="C383" s="2">
        <f t="shared" si="12"/>
        <v>21</v>
      </c>
      <c r="D383" s="3">
        <v>180</v>
      </c>
      <c r="E383" s="70">
        <f>[1]DETAY!$A$2</f>
        <v>0</v>
      </c>
      <c r="F383" s="71">
        <f t="shared" si="13"/>
        <v>176</v>
      </c>
      <c r="G383" s="72">
        <f t="shared" si="14"/>
        <v>4</v>
      </c>
      <c r="H383" s="73">
        <f t="shared" si="15"/>
        <v>0.97777777777777775</v>
      </c>
      <c r="I383" s="2"/>
      <c r="J383" s="2"/>
      <c r="K383" s="2"/>
      <c r="L383" s="2"/>
      <c r="M383" s="2">
        <v>4</v>
      </c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F383" s="1"/>
    </row>
    <row r="384" spans="1:58" s="22" customFormat="1" x14ac:dyDescent="0.25">
      <c r="A384" s="5" t="s">
        <v>9</v>
      </c>
      <c r="B384" s="4">
        <v>46160</v>
      </c>
      <c r="C384" s="2">
        <f t="shared" si="12"/>
        <v>21</v>
      </c>
      <c r="D384" s="3">
        <v>240</v>
      </c>
      <c r="E384" s="70">
        <f>[1]DETAY!$A$2</f>
        <v>0</v>
      </c>
      <c r="F384" s="71">
        <f t="shared" si="13"/>
        <v>236</v>
      </c>
      <c r="G384" s="72">
        <f t="shared" si="14"/>
        <v>4</v>
      </c>
      <c r="H384" s="73">
        <f t="shared" si="15"/>
        <v>0.98333333333333328</v>
      </c>
      <c r="I384" s="2"/>
      <c r="J384" s="2"/>
      <c r="K384" s="2"/>
      <c r="L384" s="2"/>
      <c r="M384" s="2">
        <v>4</v>
      </c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F384" s="1"/>
    </row>
    <row r="385" spans="1:58" s="22" customFormat="1" x14ac:dyDescent="0.25">
      <c r="A385" s="5" t="s">
        <v>15</v>
      </c>
      <c r="B385" s="4">
        <v>46160</v>
      </c>
      <c r="C385" s="2">
        <f t="shared" si="12"/>
        <v>21</v>
      </c>
      <c r="D385" s="3">
        <v>440</v>
      </c>
      <c r="E385" s="70">
        <f>[1]DETAY!$A$2</f>
        <v>0</v>
      </c>
      <c r="F385" s="71">
        <f t="shared" si="13"/>
        <v>440</v>
      </c>
      <c r="G385" s="72">
        <f t="shared" si="14"/>
        <v>0</v>
      </c>
      <c r="H385" s="73">
        <f t="shared" si="15"/>
        <v>1</v>
      </c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F385" s="1"/>
    </row>
    <row r="386" spans="1:58" s="22" customFormat="1" x14ac:dyDescent="0.25">
      <c r="A386" s="5" t="s">
        <v>14</v>
      </c>
      <c r="B386" s="4">
        <v>46160</v>
      </c>
      <c r="C386" s="2">
        <f t="shared" si="12"/>
        <v>21</v>
      </c>
      <c r="D386" s="3">
        <v>220</v>
      </c>
      <c r="E386" s="70">
        <f>[1]DETAY!$A$2</f>
        <v>0</v>
      </c>
      <c r="F386" s="71">
        <f t="shared" si="13"/>
        <v>220</v>
      </c>
      <c r="G386" s="72">
        <f t="shared" si="14"/>
        <v>0</v>
      </c>
      <c r="H386" s="73">
        <f t="shared" si="15"/>
        <v>1</v>
      </c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F386" s="1"/>
    </row>
    <row r="387" spans="1:58" s="22" customFormat="1" x14ac:dyDescent="0.25">
      <c r="A387" s="5" t="s">
        <v>7</v>
      </c>
      <c r="B387" s="4">
        <v>46160</v>
      </c>
      <c r="C387" s="2">
        <f t="shared" si="12"/>
        <v>21</v>
      </c>
      <c r="D387" s="3">
        <v>64</v>
      </c>
      <c r="E387" s="70">
        <f>[1]DETAY!$A$2</f>
        <v>0</v>
      </c>
      <c r="F387" s="71">
        <f t="shared" si="13"/>
        <v>64</v>
      </c>
      <c r="G387" s="72">
        <f t="shared" si="14"/>
        <v>0</v>
      </c>
      <c r="H387" s="73">
        <f t="shared" si="15"/>
        <v>1</v>
      </c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F387" s="1"/>
    </row>
    <row r="388" spans="1:58" s="22" customFormat="1" x14ac:dyDescent="0.25">
      <c r="A388" s="5" t="s">
        <v>13</v>
      </c>
      <c r="B388" s="4">
        <v>46160</v>
      </c>
      <c r="C388" s="2">
        <f t="shared" si="12"/>
        <v>21</v>
      </c>
      <c r="D388" s="3">
        <v>1680</v>
      </c>
      <c r="E388" s="70">
        <f>[1]DETAY!$A$2</f>
        <v>0</v>
      </c>
      <c r="F388" s="71">
        <f t="shared" si="13"/>
        <v>1680</v>
      </c>
      <c r="G388" s="72">
        <f t="shared" si="14"/>
        <v>0</v>
      </c>
      <c r="H388" s="73">
        <f t="shared" si="15"/>
        <v>1</v>
      </c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F388" s="1"/>
    </row>
    <row r="389" spans="1:58" s="22" customFormat="1" x14ac:dyDescent="0.25">
      <c r="A389" s="5" t="s">
        <v>4</v>
      </c>
      <c r="B389" s="4">
        <v>46160</v>
      </c>
      <c r="C389" s="2">
        <f t="shared" si="12"/>
        <v>21</v>
      </c>
      <c r="D389" s="3">
        <v>693</v>
      </c>
      <c r="E389" s="70">
        <f>[1]DETAY!$A$2</f>
        <v>0</v>
      </c>
      <c r="F389" s="71">
        <f t="shared" si="13"/>
        <v>693</v>
      </c>
      <c r="G389" s="72">
        <f t="shared" si="14"/>
        <v>0</v>
      </c>
      <c r="H389" s="73">
        <f t="shared" si="15"/>
        <v>1</v>
      </c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F389" s="1"/>
    </row>
    <row r="390" spans="1:58" s="22" customFormat="1" x14ac:dyDescent="0.25">
      <c r="A390" s="5" t="s">
        <v>83</v>
      </c>
      <c r="B390" s="4">
        <v>46160</v>
      </c>
      <c r="C390" s="2">
        <f t="shared" si="12"/>
        <v>21</v>
      </c>
      <c r="D390" s="3">
        <v>100</v>
      </c>
      <c r="E390" s="70">
        <f>[1]DETAY!$A$2</f>
        <v>0</v>
      </c>
      <c r="F390" s="71">
        <f t="shared" si="13"/>
        <v>100</v>
      </c>
      <c r="G390" s="72">
        <f t="shared" si="14"/>
        <v>0</v>
      </c>
      <c r="H390" s="73">
        <f t="shared" si="15"/>
        <v>1</v>
      </c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F390" s="1"/>
    </row>
    <row r="391" spans="1:58" s="22" customFormat="1" x14ac:dyDescent="0.25">
      <c r="A391" s="5" t="s">
        <v>88</v>
      </c>
      <c r="B391" s="4">
        <v>46162</v>
      </c>
      <c r="C391" s="2">
        <f t="shared" si="12"/>
        <v>21</v>
      </c>
      <c r="D391" s="3">
        <v>300</v>
      </c>
      <c r="E391" s="70">
        <f>[1]DETAY!$A$2</f>
        <v>0</v>
      </c>
      <c r="F391" s="71">
        <f t="shared" si="13"/>
        <v>300</v>
      </c>
      <c r="G391" s="72">
        <f t="shared" si="14"/>
        <v>0</v>
      </c>
      <c r="H391" s="75">
        <f t="shared" si="15"/>
        <v>1</v>
      </c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F391" s="1"/>
    </row>
    <row r="392" spans="1:58" s="22" customFormat="1" x14ac:dyDescent="0.25">
      <c r="A392" s="5" t="s">
        <v>89</v>
      </c>
      <c r="B392" s="4">
        <v>46162</v>
      </c>
      <c r="C392" s="2">
        <f t="shared" si="12"/>
        <v>21</v>
      </c>
      <c r="D392" s="3">
        <v>601</v>
      </c>
      <c r="E392" s="70">
        <f>[1]DETAY!$A$2</f>
        <v>0</v>
      </c>
      <c r="F392" s="71">
        <f t="shared" si="13"/>
        <v>600</v>
      </c>
      <c r="G392" s="72">
        <f t="shared" si="14"/>
        <v>1</v>
      </c>
      <c r="H392" s="75">
        <f t="shared" si="15"/>
        <v>0.99833610648918469</v>
      </c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>
        <v>1</v>
      </c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F392" s="1"/>
    </row>
    <row r="393" spans="1:58" s="22" customFormat="1" x14ac:dyDescent="0.25">
      <c r="A393" s="5" t="s">
        <v>20</v>
      </c>
      <c r="B393" s="4">
        <v>46162</v>
      </c>
      <c r="C393" s="2">
        <f t="shared" si="12"/>
        <v>21</v>
      </c>
      <c r="D393" s="3">
        <v>702</v>
      </c>
      <c r="E393" s="70">
        <f>[1]DETAY!$A$2</f>
        <v>0</v>
      </c>
      <c r="F393" s="71">
        <f t="shared" si="13"/>
        <v>700</v>
      </c>
      <c r="G393" s="72">
        <f t="shared" si="14"/>
        <v>2</v>
      </c>
      <c r="H393" s="75">
        <f t="shared" si="15"/>
        <v>0.9971509971509972</v>
      </c>
      <c r="I393" s="2"/>
      <c r="J393" s="2">
        <v>1</v>
      </c>
      <c r="K393" s="2"/>
      <c r="L393" s="2">
        <v>1</v>
      </c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F393" s="1"/>
    </row>
    <row r="394" spans="1:58" s="22" customFormat="1" x14ac:dyDescent="0.25">
      <c r="A394" s="5" t="s">
        <v>19</v>
      </c>
      <c r="B394" s="4">
        <v>46162</v>
      </c>
      <c r="C394" s="2">
        <f t="shared" si="12"/>
        <v>21</v>
      </c>
      <c r="D394" s="3">
        <v>613</v>
      </c>
      <c r="E394" s="70">
        <f>[1]DETAY!$A$2</f>
        <v>0</v>
      </c>
      <c r="F394" s="71">
        <f t="shared" si="13"/>
        <v>565</v>
      </c>
      <c r="G394" s="72">
        <f t="shared" si="14"/>
        <v>48</v>
      </c>
      <c r="H394" s="75">
        <f t="shared" si="15"/>
        <v>0.9216965742251223</v>
      </c>
      <c r="I394" s="2"/>
      <c r="J394" s="2">
        <v>43</v>
      </c>
      <c r="K394" s="2"/>
      <c r="L394" s="2">
        <v>5</v>
      </c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F394" s="1"/>
    </row>
    <row r="395" spans="1:58" s="22" customFormat="1" x14ac:dyDescent="0.25">
      <c r="A395" s="5" t="s">
        <v>17</v>
      </c>
      <c r="B395" s="4">
        <v>46162</v>
      </c>
      <c r="C395" s="2">
        <f t="shared" si="12"/>
        <v>21</v>
      </c>
      <c r="D395" s="3">
        <v>404</v>
      </c>
      <c r="E395" s="70">
        <f>[1]DETAY!$A$2</f>
        <v>0</v>
      </c>
      <c r="F395" s="71">
        <f t="shared" si="13"/>
        <v>385</v>
      </c>
      <c r="G395" s="72">
        <f t="shared" si="14"/>
        <v>19</v>
      </c>
      <c r="H395" s="75">
        <f t="shared" si="15"/>
        <v>0.95297029702970293</v>
      </c>
      <c r="I395" s="2"/>
      <c r="J395" s="2">
        <v>12</v>
      </c>
      <c r="K395" s="2"/>
      <c r="L395" s="2">
        <v>7</v>
      </c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F395" s="1"/>
    </row>
    <row r="396" spans="1:58" s="22" customFormat="1" x14ac:dyDescent="0.25">
      <c r="A396" s="5" t="s">
        <v>16</v>
      </c>
      <c r="B396" s="4">
        <v>46162</v>
      </c>
      <c r="C396" s="2">
        <f t="shared" si="12"/>
        <v>21</v>
      </c>
      <c r="D396" s="3">
        <v>438</v>
      </c>
      <c r="E396" s="70">
        <f>[1]DETAY!$A$2</f>
        <v>0</v>
      </c>
      <c r="F396" s="71">
        <f t="shared" si="13"/>
        <v>420</v>
      </c>
      <c r="G396" s="72">
        <f t="shared" si="14"/>
        <v>18</v>
      </c>
      <c r="H396" s="75">
        <f t="shared" si="15"/>
        <v>0.95890410958904104</v>
      </c>
      <c r="I396" s="2"/>
      <c r="J396" s="2"/>
      <c r="K396" s="2"/>
      <c r="L396" s="2"/>
      <c r="M396" s="2">
        <v>12</v>
      </c>
      <c r="N396" s="2"/>
      <c r="O396" s="2"/>
      <c r="P396" s="2">
        <v>1</v>
      </c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>
        <v>5</v>
      </c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F396" s="1"/>
    </row>
    <row r="397" spans="1:58" s="22" customFormat="1" x14ac:dyDescent="0.25">
      <c r="A397" s="5" t="s">
        <v>10</v>
      </c>
      <c r="B397" s="4">
        <v>46162</v>
      </c>
      <c r="C397" s="2">
        <f t="shared" si="12"/>
        <v>21</v>
      </c>
      <c r="D397" s="3">
        <v>332</v>
      </c>
      <c r="E397" s="70">
        <f>[1]DETAY!$A$2</f>
        <v>0</v>
      </c>
      <c r="F397" s="71">
        <f t="shared" si="13"/>
        <v>322</v>
      </c>
      <c r="G397" s="72">
        <f t="shared" si="14"/>
        <v>10</v>
      </c>
      <c r="H397" s="75">
        <f t="shared" si="15"/>
        <v>0.96987951807228912</v>
      </c>
      <c r="I397" s="2"/>
      <c r="J397" s="2"/>
      <c r="K397" s="2"/>
      <c r="L397" s="2"/>
      <c r="M397" s="2">
        <v>10</v>
      </c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F397" s="1"/>
    </row>
    <row r="398" spans="1:58" s="22" customFormat="1" x14ac:dyDescent="0.25">
      <c r="A398" s="5" t="s">
        <v>9</v>
      </c>
      <c r="B398" s="4">
        <v>46162</v>
      </c>
      <c r="C398" s="2">
        <f t="shared" si="12"/>
        <v>21</v>
      </c>
      <c r="D398" s="3">
        <v>294</v>
      </c>
      <c r="E398" s="70">
        <f>[1]DETAY!$A$2</f>
        <v>0</v>
      </c>
      <c r="F398" s="71">
        <f t="shared" si="13"/>
        <v>284</v>
      </c>
      <c r="G398" s="72">
        <f t="shared" si="14"/>
        <v>10</v>
      </c>
      <c r="H398" s="75">
        <f t="shared" si="15"/>
        <v>0.96598639455782309</v>
      </c>
      <c r="I398" s="2"/>
      <c r="J398" s="2"/>
      <c r="K398" s="2"/>
      <c r="L398" s="2"/>
      <c r="M398" s="2">
        <v>10</v>
      </c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F398" s="1"/>
    </row>
    <row r="399" spans="1:58" s="22" customFormat="1" x14ac:dyDescent="0.25">
      <c r="A399" s="5" t="s">
        <v>1</v>
      </c>
      <c r="B399" s="4">
        <v>46162</v>
      </c>
      <c r="C399" s="2">
        <f t="shared" si="12"/>
        <v>21</v>
      </c>
      <c r="D399" s="3">
        <v>305</v>
      </c>
      <c r="E399" s="70">
        <f>[1]DETAY!$A$2</f>
        <v>0</v>
      </c>
      <c r="F399" s="71">
        <f t="shared" si="13"/>
        <v>245</v>
      </c>
      <c r="G399" s="72">
        <f t="shared" si="14"/>
        <v>60</v>
      </c>
      <c r="H399" s="75">
        <f t="shared" si="15"/>
        <v>0.80327868852459017</v>
      </c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>
        <v>60</v>
      </c>
      <c r="AV399" s="2"/>
      <c r="AW399" s="2"/>
      <c r="AX399" s="2"/>
      <c r="AY399" s="2"/>
      <c r="AZ399" s="2"/>
      <c r="BA399" s="2"/>
      <c r="BB399" s="2"/>
      <c r="BC399" s="2"/>
      <c r="BD399" s="2"/>
      <c r="BF399" s="1"/>
    </row>
    <row r="400" spans="1:58" s="22" customFormat="1" x14ac:dyDescent="0.25">
      <c r="A400" s="5" t="s">
        <v>8</v>
      </c>
      <c r="B400" s="4">
        <v>46162</v>
      </c>
      <c r="C400" s="2">
        <f t="shared" si="12"/>
        <v>21</v>
      </c>
      <c r="D400" s="3">
        <v>351</v>
      </c>
      <c r="E400" s="70">
        <f>[1]DETAY!$A$2</f>
        <v>0</v>
      </c>
      <c r="F400" s="71">
        <f t="shared" si="13"/>
        <v>350</v>
      </c>
      <c r="G400" s="72">
        <f t="shared" si="14"/>
        <v>1</v>
      </c>
      <c r="H400" s="75">
        <f t="shared" si="15"/>
        <v>0.9971509971509972</v>
      </c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>
        <v>1</v>
      </c>
      <c r="AZ400" s="2"/>
      <c r="BA400" s="2"/>
      <c r="BB400" s="2"/>
      <c r="BC400" s="2"/>
      <c r="BD400" s="2"/>
      <c r="BF400" s="1"/>
    </row>
    <row r="401" spans="1:58" s="22" customFormat="1" x14ac:dyDescent="0.25">
      <c r="A401" s="5" t="s">
        <v>15</v>
      </c>
      <c r="B401" s="4">
        <v>46162</v>
      </c>
      <c r="C401" s="2">
        <f t="shared" si="12"/>
        <v>21</v>
      </c>
      <c r="D401" s="3">
        <v>221</v>
      </c>
      <c r="E401" s="70">
        <f>[1]DETAY!$A$2</f>
        <v>0</v>
      </c>
      <c r="F401" s="71">
        <f t="shared" si="13"/>
        <v>220</v>
      </c>
      <c r="G401" s="72">
        <f t="shared" si="14"/>
        <v>1</v>
      </c>
      <c r="H401" s="75">
        <f t="shared" si="15"/>
        <v>0.99547511312217196</v>
      </c>
      <c r="I401" s="2"/>
      <c r="J401" s="2"/>
      <c r="K401" s="2"/>
      <c r="L401" s="2">
        <v>1</v>
      </c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F401" s="1"/>
    </row>
    <row r="402" spans="1:58" s="22" customFormat="1" x14ac:dyDescent="0.25">
      <c r="A402" s="5" t="s">
        <v>14</v>
      </c>
      <c r="B402" s="4">
        <v>46162</v>
      </c>
      <c r="C402" s="2">
        <f t="shared" si="12"/>
        <v>21</v>
      </c>
      <c r="D402" s="3">
        <v>440</v>
      </c>
      <c r="E402" s="70">
        <f>[1]DETAY!$A$2</f>
        <v>0</v>
      </c>
      <c r="F402" s="71">
        <f t="shared" si="13"/>
        <v>440</v>
      </c>
      <c r="G402" s="72">
        <f t="shared" si="14"/>
        <v>0</v>
      </c>
      <c r="H402" s="75">
        <f t="shared" si="15"/>
        <v>1</v>
      </c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F402" s="1"/>
    </row>
    <row r="403" spans="1:58" s="22" customFormat="1" x14ac:dyDescent="0.25">
      <c r="A403" s="5" t="s">
        <v>13</v>
      </c>
      <c r="B403" s="4">
        <v>46162</v>
      </c>
      <c r="C403" s="2">
        <f t="shared" si="12"/>
        <v>21</v>
      </c>
      <c r="D403" s="3">
        <v>1560</v>
      </c>
      <c r="E403" s="70">
        <f>[1]DETAY!$A$2</f>
        <v>0</v>
      </c>
      <c r="F403" s="71">
        <f t="shared" si="13"/>
        <v>1560</v>
      </c>
      <c r="G403" s="72">
        <f t="shared" si="14"/>
        <v>0</v>
      </c>
      <c r="H403" s="75">
        <f t="shared" si="15"/>
        <v>1</v>
      </c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F403" s="1"/>
    </row>
    <row r="404" spans="1:58" s="22" customFormat="1" x14ac:dyDescent="0.25">
      <c r="A404" s="5" t="s">
        <v>12</v>
      </c>
      <c r="B404" s="4">
        <v>46162</v>
      </c>
      <c r="C404" s="2">
        <f t="shared" si="12"/>
        <v>21</v>
      </c>
      <c r="D404" s="3">
        <v>660</v>
      </c>
      <c r="E404" s="70">
        <f>[1]DETAY!$A$2</f>
        <v>0</v>
      </c>
      <c r="F404" s="71">
        <f t="shared" si="13"/>
        <v>660</v>
      </c>
      <c r="G404" s="72">
        <f t="shared" si="14"/>
        <v>0</v>
      </c>
      <c r="H404" s="75">
        <f t="shared" si="15"/>
        <v>1</v>
      </c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F404" s="1"/>
    </row>
    <row r="405" spans="1:58" s="22" customFormat="1" x14ac:dyDescent="0.25">
      <c r="A405" s="5" t="s">
        <v>4</v>
      </c>
      <c r="B405" s="4">
        <v>46162</v>
      </c>
      <c r="C405" s="2">
        <f t="shared" si="12"/>
        <v>21</v>
      </c>
      <c r="D405" s="3">
        <v>385</v>
      </c>
      <c r="E405" s="70">
        <f>[1]DETAY!$A$2</f>
        <v>0</v>
      </c>
      <c r="F405" s="71">
        <f t="shared" si="13"/>
        <v>385</v>
      </c>
      <c r="G405" s="72">
        <f t="shared" si="14"/>
        <v>0</v>
      </c>
      <c r="H405" s="75">
        <f t="shared" si="15"/>
        <v>1</v>
      </c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F405" s="1"/>
    </row>
    <row r="406" spans="1:58" s="22" customFormat="1" x14ac:dyDescent="0.25">
      <c r="A406" s="5" t="s">
        <v>6</v>
      </c>
      <c r="B406" s="4">
        <v>46162</v>
      </c>
      <c r="C406" s="2">
        <f t="shared" si="12"/>
        <v>21</v>
      </c>
      <c r="D406" s="3">
        <v>77</v>
      </c>
      <c r="E406" s="70">
        <f>[1]DETAY!$A$2</f>
        <v>0</v>
      </c>
      <c r="F406" s="71">
        <f t="shared" si="13"/>
        <v>77</v>
      </c>
      <c r="G406" s="72">
        <f t="shared" si="14"/>
        <v>0</v>
      </c>
      <c r="H406" s="75">
        <f t="shared" si="15"/>
        <v>1</v>
      </c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F406" s="1"/>
    </row>
    <row r="407" spans="1:58" s="22" customFormat="1" x14ac:dyDescent="0.25">
      <c r="A407" s="5" t="s">
        <v>88</v>
      </c>
      <c r="B407" s="4">
        <v>46162</v>
      </c>
      <c r="C407" s="2">
        <f t="shared" si="12"/>
        <v>21</v>
      </c>
      <c r="D407" s="3">
        <v>913</v>
      </c>
      <c r="E407" s="70">
        <f>[1]DETAY!$A$2</f>
        <v>0</v>
      </c>
      <c r="F407" s="71">
        <f t="shared" si="13"/>
        <v>900</v>
      </c>
      <c r="G407" s="72">
        <f t="shared" si="14"/>
        <v>13</v>
      </c>
      <c r="H407" s="75">
        <f t="shared" si="15"/>
        <v>0.98576122672508215</v>
      </c>
      <c r="I407" s="2"/>
      <c r="J407" s="2"/>
      <c r="K407" s="2"/>
      <c r="L407" s="2">
        <v>13</v>
      </c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F407" s="1"/>
    </row>
    <row r="408" spans="1:58" s="22" customFormat="1" x14ac:dyDescent="0.25">
      <c r="A408" s="5" t="s">
        <v>89</v>
      </c>
      <c r="B408" s="4">
        <v>46162</v>
      </c>
      <c r="C408" s="2">
        <f t="shared" si="12"/>
        <v>21</v>
      </c>
      <c r="D408" s="3">
        <v>820</v>
      </c>
      <c r="E408" s="70">
        <f>[1]DETAY!$A$2</f>
        <v>0</v>
      </c>
      <c r="F408" s="71">
        <f t="shared" si="13"/>
        <v>770</v>
      </c>
      <c r="G408" s="72">
        <f t="shared" si="14"/>
        <v>50</v>
      </c>
      <c r="H408" s="75">
        <f t="shared" si="15"/>
        <v>0.93902439024390238</v>
      </c>
      <c r="I408" s="2"/>
      <c r="J408" s="2">
        <v>41</v>
      </c>
      <c r="K408" s="2"/>
      <c r="L408" s="2">
        <v>9</v>
      </c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F408" s="1"/>
    </row>
    <row r="409" spans="1:58" s="22" customFormat="1" x14ac:dyDescent="0.25">
      <c r="A409" s="5" t="s">
        <v>90</v>
      </c>
      <c r="B409" s="4">
        <v>46162</v>
      </c>
      <c r="C409" s="2">
        <f t="shared" si="12"/>
        <v>21</v>
      </c>
      <c r="D409" s="3">
        <v>1117</v>
      </c>
      <c r="E409" s="70">
        <f>[1]DETAY!$A$2</f>
        <v>0</v>
      </c>
      <c r="F409" s="71">
        <f t="shared" si="13"/>
        <v>1050</v>
      </c>
      <c r="G409" s="72">
        <f t="shared" si="14"/>
        <v>67</v>
      </c>
      <c r="H409" s="75">
        <f t="shared" si="15"/>
        <v>0.94001790510295435</v>
      </c>
      <c r="I409" s="2"/>
      <c r="J409" s="2">
        <v>33</v>
      </c>
      <c r="K409" s="2"/>
      <c r="L409" s="2">
        <v>34</v>
      </c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F409" s="1"/>
    </row>
    <row r="410" spans="1:58" s="22" customFormat="1" x14ac:dyDescent="0.25">
      <c r="A410" s="5" t="s">
        <v>16</v>
      </c>
      <c r="B410" s="4">
        <v>46162</v>
      </c>
      <c r="C410" s="2">
        <f t="shared" si="12"/>
        <v>21</v>
      </c>
      <c r="D410" s="3">
        <v>1455</v>
      </c>
      <c r="E410" s="70">
        <f>[1]DETAY!$A$2</f>
        <v>0</v>
      </c>
      <c r="F410" s="71">
        <f t="shared" si="13"/>
        <v>1435</v>
      </c>
      <c r="G410" s="72">
        <f t="shared" si="14"/>
        <v>20</v>
      </c>
      <c r="H410" s="75">
        <f t="shared" si="15"/>
        <v>0.9862542955326461</v>
      </c>
      <c r="I410" s="2"/>
      <c r="J410" s="2"/>
      <c r="K410" s="2">
        <v>2</v>
      </c>
      <c r="L410" s="2"/>
      <c r="M410" s="2">
        <v>1</v>
      </c>
      <c r="N410" s="2"/>
      <c r="O410" s="2"/>
      <c r="P410" s="2">
        <v>1</v>
      </c>
      <c r="Q410" s="2"/>
      <c r="R410" s="2"/>
      <c r="S410" s="2"/>
      <c r="T410" s="2">
        <v>1</v>
      </c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>
        <v>15</v>
      </c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F410" s="1"/>
    </row>
    <row r="411" spans="1:58" s="22" customFormat="1" x14ac:dyDescent="0.25">
      <c r="A411" s="5" t="s">
        <v>11</v>
      </c>
      <c r="B411" s="4">
        <v>46162</v>
      </c>
      <c r="C411" s="2">
        <f t="shared" si="12"/>
        <v>21</v>
      </c>
      <c r="D411" s="3">
        <v>840</v>
      </c>
      <c r="E411" s="70">
        <f>[1]DETAY!$A$2</f>
        <v>0</v>
      </c>
      <c r="F411" s="71">
        <f t="shared" si="13"/>
        <v>840</v>
      </c>
      <c r="G411" s="72">
        <f t="shared" si="14"/>
        <v>0</v>
      </c>
      <c r="H411" s="75">
        <f t="shared" si="15"/>
        <v>1</v>
      </c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F411" s="1"/>
    </row>
    <row r="412" spans="1:58" s="22" customFormat="1" x14ac:dyDescent="0.25">
      <c r="A412" s="5" t="s">
        <v>9</v>
      </c>
      <c r="B412" s="4">
        <v>46162</v>
      </c>
      <c r="C412" s="2">
        <f t="shared" si="12"/>
        <v>21</v>
      </c>
      <c r="D412" s="3">
        <v>483</v>
      </c>
      <c r="E412" s="70">
        <f>[1]DETAY!$A$2</f>
        <v>0</v>
      </c>
      <c r="F412" s="71">
        <f t="shared" si="13"/>
        <v>480</v>
      </c>
      <c r="G412" s="72">
        <f t="shared" si="14"/>
        <v>3</v>
      </c>
      <c r="H412" s="75">
        <f t="shared" si="15"/>
        <v>0.99378881987577639</v>
      </c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>
        <v>3</v>
      </c>
      <c r="BA412" s="2"/>
      <c r="BB412" s="2"/>
      <c r="BC412" s="2"/>
      <c r="BD412" s="2"/>
      <c r="BF412" s="1"/>
    </row>
    <row r="413" spans="1:58" s="22" customFormat="1" x14ac:dyDescent="0.25">
      <c r="A413" s="5" t="s">
        <v>1</v>
      </c>
      <c r="B413" s="4">
        <v>46162</v>
      </c>
      <c r="C413" s="2">
        <f t="shared" si="12"/>
        <v>21</v>
      </c>
      <c r="D413" s="3">
        <v>370</v>
      </c>
      <c r="E413" s="70">
        <f>[1]DETAY!$A$2</f>
        <v>0</v>
      </c>
      <c r="F413" s="71">
        <f t="shared" si="13"/>
        <v>315</v>
      </c>
      <c r="G413" s="72">
        <f t="shared" si="14"/>
        <v>55</v>
      </c>
      <c r="H413" s="75">
        <f t="shared" si="15"/>
        <v>0.85135135135135132</v>
      </c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>
        <v>55</v>
      </c>
      <c r="AV413" s="2"/>
      <c r="AW413" s="2"/>
      <c r="AX413" s="2"/>
      <c r="AY413" s="2"/>
      <c r="AZ413" s="2"/>
      <c r="BA413" s="2"/>
      <c r="BB413" s="2"/>
      <c r="BC413" s="2"/>
      <c r="BD413" s="2"/>
      <c r="BF413" s="1"/>
    </row>
    <row r="414" spans="1:58" s="22" customFormat="1" x14ac:dyDescent="0.25">
      <c r="A414" s="5" t="s">
        <v>8</v>
      </c>
      <c r="B414" s="4">
        <v>46162</v>
      </c>
      <c r="C414" s="2">
        <f t="shared" si="12"/>
        <v>21</v>
      </c>
      <c r="D414" s="3">
        <v>800</v>
      </c>
      <c r="E414" s="70">
        <f>[1]DETAY!$A$2</f>
        <v>0</v>
      </c>
      <c r="F414" s="71">
        <f t="shared" si="13"/>
        <v>800</v>
      </c>
      <c r="G414" s="72">
        <f t="shared" si="14"/>
        <v>0</v>
      </c>
      <c r="H414" s="75">
        <f t="shared" si="15"/>
        <v>1</v>
      </c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F414" s="1"/>
    </row>
    <row r="415" spans="1:58" s="22" customFormat="1" x14ac:dyDescent="0.25">
      <c r="A415" s="5" t="s">
        <v>15</v>
      </c>
      <c r="B415" s="4">
        <v>46162</v>
      </c>
      <c r="C415" s="2">
        <f t="shared" si="12"/>
        <v>21</v>
      </c>
      <c r="D415" s="3">
        <v>471</v>
      </c>
      <c r="E415" s="70">
        <f>[1]DETAY!$A$2</f>
        <v>0</v>
      </c>
      <c r="F415" s="71">
        <f t="shared" si="13"/>
        <v>440</v>
      </c>
      <c r="G415" s="72">
        <f t="shared" si="14"/>
        <v>31</v>
      </c>
      <c r="H415" s="75">
        <f t="shared" si="15"/>
        <v>0.93418259023354566</v>
      </c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>
        <v>1</v>
      </c>
      <c r="X415" s="2"/>
      <c r="Y415" s="2"/>
      <c r="Z415" s="2"/>
      <c r="AA415" s="2">
        <v>30</v>
      </c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F415" s="1"/>
    </row>
    <row r="416" spans="1:58" s="22" customFormat="1" x14ac:dyDescent="0.25">
      <c r="A416" s="5" t="s">
        <v>14</v>
      </c>
      <c r="B416" s="4">
        <v>46162</v>
      </c>
      <c r="C416" s="2">
        <f t="shared" si="12"/>
        <v>21</v>
      </c>
      <c r="D416" s="3">
        <v>220</v>
      </c>
      <c r="E416" s="70">
        <f>[1]DETAY!$A$2</f>
        <v>0</v>
      </c>
      <c r="F416" s="71">
        <f t="shared" si="13"/>
        <v>220</v>
      </c>
      <c r="G416" s="72">
        <f t="shared" si="14"/>
        <v>0</v>
      </c>
      <c r="H416" s="75">
        <f t="shared" si="15"/>
        <v>1</v>
      </c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F416" s="1"/>
    </row>
    <row r="417" spans="1:58" s="22" customFormat="1" x14ac:dyDescent="0.25">
      <c r="A417" s="5" t="s">
        <v>7</v>
      </c>
      <c r="B417" s="4">
        <v>46162</v>
      </c>
      <c r="C417" s="2">
        <f t="shared" si="12"/>
        <v>21</v>
      </c>
      <c r="D417" s="3">
        <v>384</v>
      </c>
      <c r="E417" s="70">
        <f>[1]DETAY!$A$2</f>
        <v>0</v>
      </c>
      <c r="F417" s="71">
        <f t="shared" si="13"/>
        <v>384</v>
      </c>
      <c r="G417" s="72">
        <f t="shared" si="14"/>
        <v>0</v>
      </c>
      <c r="H417" s="75">
        <f t="shared" si="15"/>
        <v>1</v>
      </c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F417" s="1"/>
    </row>
    <row r="418" spans="1:58" s="22" customFormat="1" x14ac:dyDescent="0.25">
      <c r="A418" s="5" t="s">
        <v>13</v>
      </c>
      <c r="B418" s="4">
        <v>46162</v>
      </c>
      <c r="C418" s="2">
        <f t="shared" si="12"/>
        <v>21</v>
      </c>
      <c r="D418" s="3">
        <v>120</v>
      </c>
      <c r="E418" s="70">
        <f>[1]DETAY!$A$2</f>
        <v>0</v>
      </c>
      <c r="F418" s="71">
        <f t="shared" si="13"/>
        <v>120</v>
      </c>
      <c r="G418" s="72">
        <f t="shared" si="14"/>
        <v>0</v>
      </c>
      <c r="H418" s="75">
        <f t="shared" si="15"/>
        <v>1</v>
      </c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F418" s="1"/>
    </row>
    <row r="419" spans="1:58" s="22" customFormat="1" x14ac:dyDescent="0.25">
      <c r="A419" s="5" t="s">
        <v>4</v>
      </c>
      <c r="B419" s="4">
        <v>46162</v>
      </c>
      <c r="C419" s="2">
        <f t="shared" si="12"/>
        <v>21</v>
      </c>
      <c r="D419" s="3">
        <v>1162</v>
      </c>
      <c r="E419" s="70">
        <f>[1]DETAY!$A$2</f>
        <v>0</v>
      </c>
      <c r="F419" s="71">
        <f t="shared" si="13"/>
        <v>1162</v>
      </c>
      <c r="G419" s="72">
        <f t="shared" si="14"/>
        <v>0</v>
      </c>
      <c r="H419" s="75">
        <f t="shared" si="15"/>
        <v>1</v>
      </c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F419" s="1"/>
    </row>
    <row r="420" spans="1:58" s="22" customFormat="1" x14ac:dyDescent="0.25">
      <c r="A420" s="5" t="s">
        <v>88</v>
      </c>
      <c r="B420" s="4">
        <v>46162</v>
      </c>
      <c r="C420" s="2">
        <f t="shared" si="12"/>
        <v>21</v>
      </c>
      <c r="D420" s="3">
        <v>2031</v>
      </c>
      <c r="E420" s="70">
        <f>[1]DETAY!$A$2</f>
        <v>0</v>
      </c>
      <c r="F420" s="71">
        <f t="shared" si="13"/>
        <v>2007</v>
      </c>
      <c r="G420" s="72">
        <f t="shared" si="14"/>
        <v>24</v>
      </c>
      <c r="H420" s="75">
        <f t="shared" si="15"/>
        <v>0.98818316100443127</v>
      </c>
      <c r="I420" s="2"/>
      <c r="J420" s="2"/>
      <c r="K420" s="2"/>
      <c r="L420" s="2">
        <v>23</v>
      </c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>
        <v>1</v>
      </c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F420" s="1"/>
    </row>
    <row r="421" spans="1:58" s="22" customFormat="1" x14ac:dyDescent="0.25">
      <c r="A421" s="5" t="s">
        <v>90</v>
      </c>
      <c r="B421" s="4">
        <v>46162</v>
      </c>
      <c r="C421" s="2">
        <f t="shared" si="12"/>
        <v>21</v>
      </c>
      <c r="D421" s="3">
        <v>359</v>
      </c>
      <c r="E421" s="70">
        <f>[1]DETAY!$A$2</f>
        <v>0</v>
      </c>
      <c r="F421" s="71">
        <f t="shared" si="13"/>
        <v>350</v>
      </c>
      <c r="G421" s="72">
        <f t="shared" si="14"/>
        <v>9</v>
      </c>
      <c r="H421" s="75">
        <f t="shared" si="15"/>
        <v>0.97493036211699169</v>
      </c>
      <c r="I421" s="2"/>
      <c r="J421" s="2">
        <v>9</v>
      </c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F421" s="1"/>
    </row>
    <row r="422" spans="1:58" s="22" customFormat="1" x14ac:dyDescent="0.25">
      <c r="A422" s="5" t="s">
        <v>11</v>
      </c>
      <c r="B422" s="4">
        <v>46162</v>
      </c>
      <c r="C422" s="2">
        <f t="shared" si="12"/>
        <v>21</v>
      </c>
      <c r="D422" s="3">
        <v>1695</v>
      </c>
      <c r="E422" s="70">
        <f>[1]DETAY!$A$2</f>
        <v>0</v>
      </c>
      <c r="F422" s="71">
        <f t="shared" si="13"/>
        <v>1680</v>
      </c>
      <c r="G422" s="72">
        <f t="shared" si="14"/>
        <v>15</v>
      </c>
      <c r="H422" s="75">
        <f t="shared" si="15"/>
        <v>0.99115044247787609</v>
      </c>
      <c r="I422" s="2"/>
      <c r="J422" s="2"/>
      <c r="K422" s="2"/>
      <c r="L422" s="2">
        <v>3</v>
      </c>
      <c r="M422" s="2"/>
      <c r="N422" s="2"/>
      <c r="O422" s="2"/>
      <c r="P422" s="2"/>
      <c r="Q422" s="2"/>
      <c r="R422" s="2"/>
      <c r="S422" s="2"/>
      <c r="T422" s="2"/>
      <c r="U422" s="2"/>
      <c r="V422" s="2">
        <v>12</v>
      </c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F422" s="1"/>
    </row>
    <row r="423" spans="1:58" s="22" customFormat="1" x14ac:dyDescent="0.25">
      <c r="A423" s="5" t="s">
        <v>10</v>
      </c>
      <c r="B423" s="4">
        <v>46162</v>
      </c>
      <c r="C423" s="2">
        <f t="shared" si="12"/>
        <v>21</v>
      </c>
      <c r="D423" s="3">
        <v>610</v>
      </c>
      <c r="E423" s="70">
        <f>[1]DETAY!$A$2</f>
        <v>0</v>
      </c>
      <c r="F423" s="71">
        <f t="shared" si="13"/>
        <v>600</v>
      </c>
      <c r="G423" s="72">
        <f t="shared" si="14"/>
        <v>10</v>
      </c>
      <c r="H423" s="75">
        <f t="shared" si="15"/>
        <v>0.98360655737704916</v>
      </c>
      <c r="I423" s="2"/>
      <c r="J423" s="2"/>
      <c r="K423" s="2"/>
      <c r="L423" s="2"/>
      <c r="M423" s="2">
        <v>8</v>
      </c>
      <c r="N423" s="2"/>
      <c r="O423" s="2"/>
      <c r="P423" s="2"/>
      <c r="Q423" s="2"/>
      <c r="R423" s="2"/>
      <c r="S423" s="2"/>
      <c r="T423" s="2"/>
      <c r="U423" s="2"/>
      <c r="V423" s="2"/>
      <c r="W423" s="2">
        <v>2</v>
      </c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F423" s="1"/>
    </row>
    <row r="424" spans="1:58" s="22" customFormat="1" x14ac:dyDescent="0.25">
      <c r="A424" s="5" t="s">
        <v>9</v>
      </c>
      <c r="B424" s="4">
        <v>46162</v>
      </c>
      <c r="C424" s="2">
        <f t="shared" si="12"/>
        <v>21</v>
      </c>
      <c r="D424" s="3">
        <v>245</v>
      </c>
      <c r="E424" s="70">
        <f>[1]DETAY!$A$2</f>
        <v>0</v>
      </c>
      <c r="F424" s="71">
        <f t="shared" si="13"/>
        <v>240</v>
      </c>
      <c r="G424" s="72">
        <f t="shared" si="14"/>
        <v>5</v>
      </c>
      <c r="H424" s="75">
        <f t="shared" si="15"/>
        <v>0.97959183673469385</v>
      </c>
      <c r="I424" s="2"/>
      <c r="J424" s="2"/>
      <c r="K424" s="2"/>
      <c r="L424" s="2"/>
      <c r="M424" s="2">
        <v>5</v>
      </c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F424" s="1"/>
    </row>
    <row r="425" spans="1:58" s="22" customFormat="1" x14ac:dyDescent="0.25">
      <c r="A425" s="5" t="s">
        <v>8</v>
      </c>
      <c r="B425" s="4">
        <v>46162</v>
      </c>
      <c r="C425" s="2">
        <f t="shared" si="12"/>
        <v>21</v>
      </c>
      <c r="D425" s="3">
        <v>700</v>
      </c>
      <c r="E425" s="70">
        <f>[1]DETAY!$A$2</f>
        <v>0</v>
      </c>
      <c r="F425" s="71">
        <f t="shared" si="13"/>
        <v>700</v>
      </c>
      <c r="G425" s="72">
        <f t="shared" si="14"/>
        <v>0</v>
      </c>
      <c r="H425" s="75">
        <f t="shared" si="15"/>
        <v>1</v>
      </c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F425" s="1"/>
    </row>
    <row r="426" spans="1:58" s="22" customFormat="1" x14ac:dyDescent="0.25">
      <c r="A426" s="5" t="s">
        <v>15</v>
      </c>
      <c r="B426" s="4">
        <v>46162</v>
      </c>
      <c r="C426" s="2">
        <f t="shared" si="12"/>
        <v>21</v>
      </c>
      <c r="D426" s="3">
        <v>1100</v>
      </c>
      <c r="E426" s="70">
        <f>[1]DETAY!$A$2</f>
        <v>0</v>
      </c>
      <c r="F426" s="71">
        <f t="shared" si="13"/>
        <v>1100</v>
      </c>
      <c r="G426" s="72">
        <f t="shared" si="14"/>
        <v>0</v>
      </c>
      <c r="H426" s="75">
        <f t="shared" si="15"/>
        <v>1</v>
      </c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F426" s="1"/>
    </row>
    <row r="427" spans="1:58" s="22" customFormat="1" x14ac:dyDescent="0.25">
      <c r="A427" s="5" t="s">
        <v>7</v>
      </c>
      <c r="B427" s="4">
        <v>46162</v>
      </c>
      <c r="C427" s="2">
        <f t="shared" si="12"/>
        <v>21</v>
      </c>
      <c r="D427" s="3">
        <v>128</v>
      </c>
      <c r="E427" s="70">
        <f>[1]DETAY!$A$2</f>
        <v>0</v>
      </c>
      <c r="F427" s="71">
        <f t="shared" si="13"/>
        <v>128</v>
      </c>
      <c r="G427" s="72">
        <f t="shared" si="14"/>
        <v>0</v>
      </c>
      <c r="H427" s="75">
        <f t="shared" si="15"/>
        <v>1</v>
      </c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F427" s="1"/>
    </row>
    <row r="428" spans="1:58" s="22" customFormat="1" x14ac:dyDescent="0.25">
      <c r="A428" s="5" t="s">
        <v>12</v>
      </c>
      <c r="B428" s="4">
        <v>46162</v>
      </c>
      <c r="C428" s="2">
        <f t="shared" si="12"/>
        <v>21</v>
      </c>
      <c r="D428" s="3">
        <v>1320</v>
      </c>
      <c r="E428" s="70">
        <f>[1]DETAY!$A$2</f>
        <v>0</v>
      </c>
      <c r="F428" s="71">
        <f t="shared" si="13"/>
        <v>1320</v>
      </c>
      <c r="G428" s="72">
        <f t="shared" si="14"/>
        <v>0</v>
      </c>
      <c r="H428" s="75">
        <f t="shared" si="15"/>
        <v>1</v>
      </c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F428" s="1"/>
    </row>
    <row r="429" spans="1:58" s="22" customFormat="1" x14ac:dyDescent="0.25">
      <c r="A429" s="5" t="s">
        <v>5</v>
      </c>
      <c r="B429" s="4">
        <v>46162</v>
      </c>
      <c r="C429" s="2">
        <f t="shared" ref="C429:C492" si="16">WEEKNUM(B429)</f>
        <v>21</v>
      </c>
      <c r="D429" s="3">
        <v>77</v>
      </c>
      <c r="E429" s="70">
        <f>[1]DETAY!$A$2</f>
        <v>0</v>
      </c>
      <c r="F429" s="71">
        <f t="shared" ref="F429:F463" si="17">D429-G429</f>
        <v>77</v>
      </c>
      <c r="G429" s="72">
        <f t="shared" ref="G429:G492" si="18">SUBTOTAL(9,I429:BD429)</f>
        <v>0</v>
      </c>
      <c r="H429" s="75">
        <f t="shared" ref="H429:H492" si="19">F429/D429</f>
        <v>1</v>
      </c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F429" s="1"/>
    </row>
    <row r="430" spans="1:58" s="22" customFormat="1" x14ac:dyDescent="0.25">
      <c r="A430" s="5" t="s">
        <v>4</v>
      </c>
      <c r="B430" s="4">
        <v>46162</v>
      </c>
      <c r="C430" s="2">
        <f t="shared" si="16"/>
        <v>21</v>
      </c>
      <c r="D430" s="3">
        <v>477</v>
      </c>
      <c r="E430" s="70">
        <f>[1]DETAY!$A$2</f>
        <v>0</v>
      </c>
      <c r="F430" s="71">
        <f t="shared" si="17"/>
        <v>462</v>
      </c>
      <c r="G430" s="72">
        <f t="shared" si="18"/>
        <v>15</v>
      </c>
      <c r="H430" s="75">
        <f t="shared" si="19"/>
        <v>0.96855345911949686</v>
      </c>
      <c r="I430" s="2"/>
      <c r="J430" s="2"/>
      <c r="K430" s="2"/>
      <c r="L430" s="2"/>
      <c r="M430" s="2">
        <v>14</v>
      </c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>
        <v>1</v>
      </c>
      <c r="AZ430" s="2"/>
      <c r="BA430" s="2"/>
      <c r="BB430" s="2"/>
      <c r="BC430" s="2"/>
      <c r="BD430" s="2"/>
      <c r="BF430" s="1"/>
    </row>
    <row r="431" spans="1:58" s="22" customFormat="1" x14ac:dyDescent="0.25">
      <c r="A431" s="5" t="s">
        <v>6</v>
      </c>
      <c r="B431" s="4">
        <v>46162</v>
      </c>
      <c r="C431" s="2">
        <f t="shared" si="16"/>
        <v>21</v>
      </c>
      <c r="D431" s="3">
        <v>231</v>
      </c>
      <c r="E431" s="70">
        <f>[1]DETAY!$A$2</f>
        <v>0</v>
      </c>
      <c r="F431" s="71">
        <f t="shared" si="17"/>
        <v>231</v>
      </c>
      <c r="G431" s="72">
        <f t="shared" si="18"/>
        <v>0</v>
      </c>
      <c r="H431" s="75">
        <f t="shared" si="19"/>
        <v>1</v>
      </c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F431" s="1"/>
    </row>
    <row r="432" spans="1:58" s="22" customFormat="1" x14ac:dyDescent="0.25">
      <c r="A432" s="5" t="s">
        <v>20</v>
      </c>
      <c r="B432" s="4">
        <v>46163</v>
      </c>
      <c r="C432" s="2">
        <f t="shared" si="16"/>
        <v>21</v>
      </c>
      <c r="D432" s="3">
        <v>748</v>
      </c>
      <c r="E432" s="70">
        <f>[1]DETAY!$A$2</f>
        <v>0</v>
      </c>
      <c r="F432" s="71">
        <f t="shared" si="17"/>
        <v>700</v>
      </c>
      <c r="G432" s="72">
        <f t="shared" si="18"/>
        <v>48</v>
      </c>
      <c r="H432" s="75">
        <f t="shared" si="19"/>
        <v>0.93582887700534756</v>
      </c>
      <c r="I432" s="2"/>
      <c r="J432" s="2">
        <v>45</v>
      </c>
      <c r="K432" s="2"/>
      <c r="L432" s="2">
        <v>3</v>
      </c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F432" s="1"/>
    </row>
    <row r="433" spans="1:58" s="22" customFormat="1" x14ac:dyDescent="0.25">
      <c r="A433" s="5" t="s">
        <v>18</v>
      </c>
      <c r="B433" s="4">
        <v>46163</v>
      </c>
      <c r="C433" s="2">
        <f t="shared" si="16"/>
        <v>21</v>
      </c>
      <c r="D433" s="3">
        <v>1775</v>
      </c>
      <c r="E433" s="70">
        <f>[1]DETAY!$A$2</f>
        <v>0</v>
      </c>
      <c r="F433" s="71">
        <f t="shared" si="17"/>
        <v>1750</v>
      </c>
      <c r="G433" s="72">
        <f t="shared" si="18"/>
        <v>25</v>
      </c>
      <c r="H433" s="75">
        <f t="shared" si="19"/>
        <v>0.9859154929577465</v>
      </c>
      <c r="I433" s="2"/>
      <c r="J433" s="2">
        <v>13</v>
      </c>
      <c r="K433" s="2"/>
      <c r="L433" s="2">
        <v>12</v>
      </c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F433" s="1"/>
    </row>
    <row r="434" spans="1:58" s="22" customFormat="1" x14ac:dyDescent="0.25">
      <c r="A434" s="5" t="s">
        <v>16</v>
      </c>
      <c r="B434" s="4">
        <v>46163</v>
      </c>
      <c r="C434" s="2">
        <f t="shared" si="16"/>
        <v>21</v>
      </c>
      <c r="D434" s="3">
        <v>898</v>
      </c>
      <c r="E434" s="70">
        <f>[1]DETAY!$A$2</f>
        <v>0</v>
      </c>
      <c r="F434" s="71">
        <f t="shared" si="17"/>
        <v>820</v>
      </c>
      <c r="G434" s="72">
        <f t="shared" si="18"/>
        <v>78</v>
      </c>
      <c r="H434" s="75">
        <f t="shared" si="19"/>
        <v>0.9131403118040089</v>
      </c>
      <c r="I434" s="2"/>
      <c r="J434" s="2"/>
      <c r="K434" s="2">
        <v>55</v>
      </c>
      <c r="L434" s="2"/>
      <c r="M434" s="2">
        <v>13</v>
      </c>
      <c r="N434" s="2"/>
      <c r="O434" s="2"/>
      <c r="P434" s="2">
        <v>1</v>
      </c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>
        <v>2</v>
      </c>
      <c r="AG434" s="2"/>
      <c r="AH434" s="2">
        <v>7</v>
      </c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F434" s="1"/>
    </row>
    <row r="435" spans="1:58" s="22" customFormat="1" x14ac:dyDescent="0.25">
      <c r="A435" s="5" t="s">
        <v>11</v>
      </c>
      <c r="B435" s="4">
        <v>46163</v>
      </c>
      <c r="C435" s="2">
        <f t="shared" si="16"/>
        <v>21</v>
      </c>
      <c r="D435" s="3">
        <v>850</v>
      </c>
      <c r="E435" s="70">
        <f>[1]DETAY!$A$2</f>
        <v>0</v>
      </c>
      <c r="F435" s="71">
        <f t="shared" si="17"/>
        <v>840</v>
      </c>
      <c r="G435" s="72">
        <f t="shared" si="18"/>
        <v>10</v>
      </c>
      <c r="H435" s="75">
        <f t="shared" si="19"/>
        <v>0.9882352941176471</v>
      </c>
      <c r="I435" s="2"/>
      <c r="J435" s="2"/>
      <c r="K435" s="2"/>
      <c r="L435" s="2">
        <v>4</v>
      </c>
      <c r="M435" s="2"/>
      <c r="N435" s="2"/>
      <c r="O435" s="2"/>
      <c r="P435" s="2"/>
      <c r="Q435" s="2"/>
      <c r="R435" s="2"/>
      <c r="S435" s="2"/>
      <c r="T435" s="2"/>
      <c r="U435" s="2"/>
      <c r="V435" s="2">
        <v>6</v>
      </c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F435" s="1"/>
    </row>
    <row r="436" spans="1:58" s="22" customFormat="1" x14ac:dyDescent="0.25">
      <c r="A436" s="5" t="s">
        <v>10</v>
      </c>
      <c r="B436" s="4">
        <v>46163</v>
      </c>
      <c r="C436" s="2">
        <f t="shared" si="16"/>
        <v>21</v>
      </c>
      <c r="D436" s="3">
        <v>424</v>
      </c>
      <c r="E436" s="70">
        <f>[1]DETAY!$A$2</f>
        <v>0</v>
      </c>
      <c r="F436" s="71">
        <f t="shared" si="17"/>
        <v>420</v>
      </c>
      <c r="G436" s="72">
        <f t="shared" si="18"/>
        <v>4</v>
      </c>
      <c r="H436" s="75">
        <f t="shared" si="19"/>
        <v>0.99056603773584906</v>
      </c>
      <c r="I436" s="2"/>
      <c r="J436" s="2"/>
      <c r="K436" s="2"/>
      <c r="L436" s="2"/>
      <c r="M436" s="2">
        <v>4</v>
      </c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F436" s="1"/>
    </row>
    <row r="437" spans="1:58" s="22" customFormat="1" x14ac:dyDescent="0.25">
      <c r="A437" s="5" t="s">
        <v>9</v>
      </c>
      <c r="B437" s="4">
        <v>46163</v>
      </c>
      <c r="C437" s="2">
        <f t="shared" si="16"/>
        <v>21</v>
      </c>
      <c r="D437" s="3">
        <v>366</v>
      </c>
      <c r="E437" s="70">
        <f>[1]DETAY!$A$2</f>
        <v>0</v>
      </c>
      <c r="F437" s="71">
        <f t="shared" si="17"/>
        <v>360</v>
      </c>
      <c r="G437" s="72">
        <f t="shared" si="18"/>
        <v>6</v>
      </c>
      <c r="H437" s="75">
        <f t="shared" si="19"/>
        <v>0.98360655737704916</v>
      </c>
      <c r="I437" s="2"/>
      <c r="J437" s="2"/>
      <c r="K437" s="2"/>
      <c r="L437" s="2"/>
      <c r="M437" s="2">
        <v>6</v>
      </c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F437" s="1"/>
    </row>
    <row r="438" spans="1:58" s="22" customFormat="1" x14ac:dyDescent="0.25">
      <c r="A438" s="5" t="s">
        <v>1</v>
      </c>
      <c r="B438" s="4">
        <v>46163</v>
      </c>
      <c r="C438" s="2">
        <f t="shared" si="16"/>
        <v>21</v>
      </c>
      <c r="D438" s="3">
        <v>235</v>
      </c>
      <c r="E438" s="70">
        <f>[1]DETAY!$A$2</f>
        <v>0</v>
      </c>
      <c r="F438" s="71">
        <f t="shared" si="17"/>
        <v>175</v>
      </c>
      <c r="G438" s="72">
        <f t="shared" si="18"/>
        <v>60</v>
      </c>
      <c r="H438" s="75">
        <f t="shared" si="19"/>
        <v>0.74468085106382975</v>
      </c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>
        <v>60</v>
      </c>
      <c r="AV438" s="2"/>
      <c r="AW438" s="2"/>
      <c r="AX438" s="2"/>
      <c r="AY438" s="2"/>
      <c r="AZ438" s="2"/>
      <c r="BA438" s="2"/>
      <c r="BB438" s="2"/>
      <c r="BC438" s="2"/>
      <c r="BD438" s="2"/>
      <c r="BF438" s="1"/>
    </row>
    <row r="439" spans="1:58" s="22" customFormat="1" x14ac:dyDescent="0.25">
      <c r="A439" s="5" t="s">
        <v>15</v>
      </c>
      <c r="B439" s="4">
        <v>46163</v>
      </c>
      <c r="C439" s="2">
        <f t="shared" si="16"/>
        <v>21</v>
      </c>
      <c r="D439" s="3">
        <v>676</v>
      </c>
      <c r="E439" s="70">
        <f>[1]DETAY!$A$2</f>
        <v>0</v>
      </c>
      <c r="F439" s="71">
        <f t="shared" si="17"/>
        <v>660</v>
      </c>
      <c r="G439" s="72">
        <f t="shared" si="18"/>
        <v>16</v>
      </c>
      <c r="H439" s="75">
        <f t="shared" si="19"/>
        <v>0.97633136094674555</v>
      </c>
      <c r="I439" s="2"/>
      <c r="J439" s="2"/>
      <c r="K439" s="2"/>
      <c r="L439" s="2"/>
      <c r="M439" s="2">
        <v>16</v>
      </c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F439" s="1"/>
    </row>
    <row r="440" spans="1:58" s="22" customFormat="1" x14ac:dyDescent="0.25">
      <c r="A440" s="5" t="s">
        <v>12</v>
      </c>
      <c r="B440" s="4">
        <v>46163</v>
      </c>
      <c r="C440" s="2">
        <f t="shared" si="16"/>
        <v>21</v>
      </c>
      <c r="D440" s="3">
        <v>1540</v>
      </c>
      <c r="E440" s="70">
        <f>[1]DETAY!$A$2</f>
        <v>0</v>
      </c>
      <c r="F440" s="71">
        <f t="shared" si="17"/>
        <v>1540</v>
      </c>
      <c r="G440" s="72">
        <f t="shared" si="18"/>
        <v>0</v>
      </c>
      <c r="H440" s="75">
        <f t="shared" si="19"/>
        <v>1</v>
      </c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F440" s="1"/>
    </row>
    <row r="441" spans="1:58" s="22" customFormat="1" x14ac:dyDescent="0.25">
      <c r="A441" s="5" t="s">
        <v>6</v>
      </c>
      <c r="B441" s="4">
        <v>46163</v>
      </c>
      <c r="C441" s="2">
        <f t="shared" si="16"/>
        <v>21</v>
      </c>
      <c r="D441" s="3">
        <v>231</v>
      </c>
      <c r="E441" s="70">
        <f>[1]DETAY!$A$2</f>
        <v>0</v>
      </c>
      <c r="F441" s="71">
        <f t="shared" si="17"/>
        <v>231</v>
      </c>
      <c r="G441" s="72">
        <f t="shared" si="18"/>
        <v>0</v>
      </c>
      <c r="H441" s="75">
        <f t="shared" si="19"/>
        <v>1</v>
      </c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F441" s="1"/>
    </row>
    <row r="442" spans="1:58" s="22" customFormat="1" x14ac:dyDescent="0.25">
      <c r="A442" s="5" t="s">
        <v>22</v>
      </c>
      <c r="B442" s="4">
        <v>46163</v>
      </c>
      <c r="C442" s="2">
        <f t="shared" si="16"/>
        <v>21</v>
      </c>
      <c r="D442" s="3">
        <v>904</v>
      </c>
      <c r="E442" s="70">
        <f>[1]DETAY!$A$2</f>
        <v>0</v>
      </c>
      <c r="F442" s="71">
        <f t="shared" si="17"/>
        <v>900</v>
      </c>
      <c r="G442" s="72">
        <f t="shared" si="18"/>
        <v>4</v>
      </c>
      <c r="H442" s="75">
        <f t="shared" si="19"/>
        <v>0.99557522123893805</v>
      </c>
      <c r="I442" s="2"/>
      <c r="J442" s="2"/>
      <c r="K442" s="2"/>
      <c r="L442" s="2">
        <v>4</v>
      </c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F442" s="1"/>
    </row>
    <row r="443" spans="1:58" s="22" customFormat="1" x14ac:dyDescent="0.25">
      <c r="A443" s="5" t="s">
        <v>21</v>
      </c>
      <c r="B443" s="4">
        <v>46163</v>
      </c>
      <c r="C443" s="2">
        <f t="shared" si="16"/>
        <v>21</v>
      </c>
      <c r="D443" s="3">
        <v>385</v>
      </c>
      <c r="E443" s="70">
        <f>[1]DETAY!$A$2</f>
        <v>0</v>
      </c>
      <c r="F443" s="71">
        <f t="shared" si="17"/>
        <v>381</v>
      </c>
      <c r="G443" s="72">
        <f t="shared" si="18"/>
        <v>4</v>
      </c>
      <c r="H443" s="75">
        <f t="shared" si="19"/>
        <v>0.98961038961038961</v>
      </c>
      <c r="I443" s="2"/>
      <c r="J443" s="2"/>
      <c r="K443" s="2"/>
      <c r="L443" s="2">
        <v>1</v>
      </c>
      <c r="M443" s="2">
        <v>1</v>
      </c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>
        <v>2</v>
      </c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F443" s="1"/>
    </row>
    <row r="444" spans="1:58" s="22" customFormat="1" x14ac:dyDescent="0.25">
      <c r="A444" s="5" t="s">
        <v>20</v>
      </c>
      <c r="B444" s="4">
        <v>46163</v>
      </c>
      <c r="C444" s="2">
        <f t="shared" si="16"/>
        <v>21</v>
      </c>
      <c r="D444" s="3">
        <v>309</v>
      </c>
      <c r="E444" s="70">
        <f>[1]DETAY!$A$2</f>
        <v>0</v>
      </c>
      <c r="F444" s="71">
        <f t="shared" si="17"/>
        <v>300</v>
      </c>
      <c r="G444" s="72">
        <f t="shared" si="18"/>
        <v>9</v>
      </c>
      <c r="H444" s="75">
        <f t="shared" si="19"/>
        <v>0.970873786407767</v>
      </c>
      <c r="I444" s="2"/>
      <c r="J444" s="2">
        <v>8</v>
      </c>
      <c r="K444" s="2"/>
      <c r="L444" s="2">
        <v>1</v>
      </c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F444" s="1"/>
    </row>
    <row r="445" spans="1:58" s="22" customFormat="1" x14ac:dyDescent="0.25">
      <c r="A445" s="5" t="s">
        <v>18</v>
      </c>
      <c r="B445" s="4">
        <v>46163</v>
      </c>
      <c r="C445" s="2">
        <f t="shared" si="16"/>
        <v>21</v>
      </c>
      <c r="D445" s="3">
        <v>1789</v>
      </c>
      <c r="E445" s="70">
        <f>[1]DETAY!$A$2</f>
        <v>0</v>
      </c>
      <c r="F445" s="71">
        <f t="shared" si="17"/>
        <v>1750</v>
      </c>
      <c r="G445" s="72">
        <f t="shared" si="18"/>
        <v>39</v>
      </c>
      <c r="H445" s="75">
        <f t="shared" si="19"/>
        <v>0.97820011179429844</v>
      </c>
      <c r="I445" s="2"/>
      <c r="J445" s="2">
        <v>37</v>
      </c>
      <c r="K445" s="2"/>
      <c r="L445" s="2">
        <v>2</v>
      </c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F445" s="1"/>
    </row>
    <row r="446" spans="1:58" s="22" customFormat="1" x14ac:dyDescent="0.25">
      <c r="A446" s="5" t="s">
        <v>17</v>
      </c>
      <c r="B446" s="4">
        <v>46163</v>
      </c>
      <c r="C446" s="2">
        <f t="shared" si="16"/>
        <v>21</v>
      </c>
      <c r="D446" s="3">
        <v>1479</v>
      </c>
      <c r="E446" s="70">
        <f>[1]DETAY!$A$2</f>
        <v>0</v>
      </c>
      <c r="F446" s="71">
        <f t="shared" si="17"/>
        <v>1450</v>
      </c>
      <c r="G446" s="72">
        <f t="shared" si="18"/>
        <v>29</v>
      </c>
      <c r="H446" s="75">
        <f t="shared" si="19"/>
        <v>0.98039215686274506</v>
      </c>
      <c r="I446" s="2"/>
      <c r="J446" s="2">
        <v>24</v>
      </c>
      <c r="K446" s="2"/>
      <c r="L446" s="2">
        <v>5</v>
      </c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F446" s="1"/>
    </row>
    <row r="447" spans="1:58" s="22" customFormat="1" x14ac:dyDescent="0.25">
      <c r="A447" s="5" t="s">
        <v>16</v>
      </c>
      <c r="B447" s="4">
        <v>46163</v>
      </c>
      <c r="C447" s="2">
        <f t="shared" si="16"/>
        <v>21</v>
      </c>
      <c r="D447" s="3">
        <v>840</v>
      </c>
      <c r="E447" s="70">
        <f>[1]DETAY!$A$2</f>
        <v>0</v>
      </c>
      <c r="F447" s="71">
        <f t="shared" si="17"/>
        <v>840</v>
      </c>
      <c r="G447" s="72">
        <f t="shared" si="18"/>
        <v>0</v>
      </c>
      <c r="H447" s="75">
        <f t="shared" si="19"/>
        <v>1</v>
      </c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F447" s="1"/>
    </row>
    <row r="448" spans="1:58" s="22" customFormat="1" x14ac:dyDescent="0.25">
      <c r="A448" s="5" t="s">
        <v>10</v>
      </c>
      <c r="B448" s="4">
        <v>46163</v>
      </c>
      <c r="C448" s="2">
        <f t="shared" si="16"/>
        <v>21</v>
      </c>
      <c r="D448" s="3">
        <v>300</v>
      </c>
      <c r="E448" s="70">
        <f>[1]DETAY!$A$2</f>
        <v>0</v>
      </c>
      <c r="F448" s="71">
        <f t="shared" si="17"/>
        <v>300</v>
      </c>
      <c r="G448" s="72">
        <f t="shared" si="18"/>
        <v>0</v>
      </c>
      <c r="H448" s="75">
        <f t="shared" si="19"/>
        <v>1</v>
      </c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F448" s="1"/>
    </row>
    <row r="449" spans="1:58" s="22" customFormat="1" x14ac:dyDescent="0.25">
      <c r="A449" s="5" t="s">
        <v>9</v>
      </c>
      <c r="B449" s="4">
        <v>46163</v>
      </c>
      <c r="C449" s="2">
        <f t="shared" si="16"/>
        <v>21</v>
      </c>
      <c r="D449" s="3">
        <v>420</v>
      </c>
      <c r="E449" s="70">
        <f>[1]DETAY!$A$2</f>
        <v>0</v>
      </c>
      <c r="F449" s="71">
        <f t="shared" si="17"/>
        <v>412</v>
      </c>
      <c r="G449" s="72">
        <f t="shared" si="18"/>
        <v>8</v>
      </c>
      <c r="H449" s="75">
        <f t="shared" si="19"/>
        <v>0.98095238095238091</v>
      </c>
      <c r="I449" s="2"/>
      <c r="J449" s="2"/>
      <c r="K449" s="2"/>
      <c r="L449" s="2"/>
      <c r="M449" s="2">
        <v>6</v>
      </c>
      <c r="N449" s="2"/>
      <c r="O449" s="2">
        <v>1</v>
      </c>
      <c r="P449" s="2"/>
      <c r="Q449" s="2"/>
      <c r="R449" s="2"/>
      <c r="S449" s="2"/>
      <c r="T449" s="2">
        <v>1</v>
      </c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F449" s="1"/>
    </row>
    <row r="450" spans="1:58" s="22" customFormat="1" x14ac:dyDescent="0.25">
      <c r="A450" s="5" t="s">
        <v>1</v>
      </c>
      <c r="B450" s="4">
        <v>46163</v>
      </c>
      <c r="C450" s="2">
        <f t="shared" si="16"/>
        <v>21</v>
      </c>
      <c r="D450" s="3">
        <v>373</v>
      </c>
      <c r="E450" s="70">
        <f>[1]DETAY!$A$2</f>
        <v>0</v>
      </c>
      <c r="F450" s="71">
        <f t="shared" si="17"/>
        <v>315</v>
      </c>
      <c r="G450" s="72">
        <f t="shared" si="18"/>
        <v>58</v>
      </c>
      <c r="H450" s="75">
        <f t="shared" si="19"/>
        <v>0.84450402144772119</v>
      </c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>
        <v>58</v>
      </c>
      <c r="AV450" s="2"/>
      <c r="AW450" s="2"/>
      <c r="AX450" s="2"/>
      <c r="AY450" s="2"/>
      <c r="AZ450" s="2"/>
      <c r="BA450" s="2"/>
      <c r="BB450" s="2"/>
      <c r="BC450" s="2"/>
      <c r="BD450" s="2"/>
      <c r="BF450" s="1"/>
    </row>
    <row r="451" spans="1:58" s="22" customFormat="1" x14ac:dyDescent="0.25">
      <c r="A451" s="5" t="s">
        <v>15</v>
      </c>
      <c r="B451" s="4">
        <v>46163</v>
      </c>
      <c r="C451" s="2">
        <f t="shared" si="16"/>
        <v>21</v>
      </c>
      <c r="D451" s="3">
        <v>940</v>
      </c>
      <c r="E451" s="70">
        <f>[1]DETAY!$A$2</f>
        <v>0</v>
      </c>
      <c r="F451" s="71">
        <f t="shared" si="17"/>
        <v>880</v>
      </c>
      <c r="G451" s="72">
        <f t="shared" si="18"/>
        <v>60</v>
      </c>
      <c r="H451" s="75">
        <f t="shared" si="19"/>
        <v>0.93617021276595747</v>
      </c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>
        <v>60</v>
      </c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F451" s="1"/>
    </row>
    <row r="452" spans="1:58" s="22" customFormat="1" x14ac:dyDescent="0.25">
      <c r="A452" s="5" t="s">
        <v>12</v>
      </c>
      <c r="B452" s="4">
        <v>46163</v>
      </c>
      <c r="C452" s="2">
        <f t="shared" si="16"/>
        <v>21</v>
      </c>
      <c r="D452" s="3">
        <v>1540</v>
      </c>
      <c r="E452" s="70">
        <f>[1]DETAY!$A$2</f>
        <v>0</v>
      </c>
      <c r="F452" s="71">
        <f t="shared" si="17"/>
        <v>1540</v>
      </c>
      <c r="G452" s="72">
        <f t="shared" si="18"/>
        <v>0</v>
      </c>
      <c r="H452" s="75">
        <f t="shared" si="19"/>
        <v>1</v>
      </c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F452" s="1"/>
    </row>
    <row r="453" spans="1:58" s="22" customFormat="1" x14ac:dyDescent="0.25">
      <c r="A453" s="5" t="s">
        <v>2</v>
      </c>
      <c r="B453" s="4">
        <v>46163</v>
      </c>
      <c r="C453" s="2">
        <f t="shared" si="16"/>
        <v>21</v>
      </c>
      <c r="D453" s="3">
        <v>72</v>
      </c>
      <c r="E453" s="70">
        <f>[1]DETAY!$A$2</f>
        <v>0</v>
      </c>
      <c r="F453" s="71">
        <f t="shared" si="17"/>
        <v>68</v>
      </c>
      <c r="G453" s="72">
        <f t="shared" si="18"/>
        <v>4</v>
      </c>
      <c r="H453" s="75">
        <f t="shared" si="19"/>
        <v>0.94444444444444442</v>
      </c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>
        <v>4</v>
      </c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F453" s="1"/>
    </row>
    <row r="454" spans="1:58" s="22" customFormat="1" x14ac:dyDescent="0.25">
      <c r="A454" s="5" t="s">
        <v>6</v>
      </c>
      <c r="B454" s="4">
        <v>46163</v>
      </c>
      <c r="C454" s="2">
        <f t="shared" si="16"/>
        <v>21</v>
      </c>
      <c r="D454" s="3">
        <v>77</v>
      </c>
      <c r="E454" s="70">
        <f>[1]DETAY!$A$2</f>
        <v>0</v>
      </c>
      <c r="F454" s="71">
        <f t="shared" si="17"/>
        <v>77</v>
      </c>
      <c r="G454" s="72">
        <f t="shared" si="18"/>
        <v>0</v>
      </c>
      <c r="H454" s="75">
        <f t="shared" si="19"/>
        <v>1</v>
      </c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F454" s="1"/>
    </row>
    <row r="455" spans="1:58" s="22" customFormat="1" x14ac:dyDescent="0.25">
      <c r="A455" s="5" t="s">
        <v>18</v>
      </c>
      <c r="B455" s="4">
        <v>46163</v>
      </c>
      <c r="C455" s="2">
        <f t="shared" si="16"/>
        <v>21</v>
      </c>
      <c r="D455" s="3">
        <v>366</v>
      </c>
      <c r="E455" s="70">
        <f>[1]DETAY!$A$2</f>
        <v>0</v>
      </c>
      <c r="F455" s="71">
        <f t="shared" si="17"/>
        <v>350</v>
      </c>
      <c r="G455" s="72">
        <f t="shared" si="18"/>
        <v>16</v>
      </c>
      <c r="H455" s="75">
        <f t="shared" si="19"/>
        <v>0.95628415300546443</v>
      </c>
      <c r="I455" s="2"/>
      <c r="J455" s="2">
        <v>16</v>
      </c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F455" s="1"/>
    </row>
    <row r="456" spans="1:58" s="22" customFormat="1" x14ac:dyDescent="0.25">
      <c r="A456" s="5" t="s">
        <v>17</v>
      </c>
      <c r="B456" s="4">
        <v>46163</v>
      </c>
      <c r="C456" s="2">
        <f t="shared" si="16"/>
        <v>21</v>
      </c>
      <c r="D456" s="3">
        <v>480</v>
      </c>
      <c r="E456" s="70">
        <f>[1]DETAY!$A$2</f>
        <v>0</v>
      </c>
      <c r="F456" s="71">
        <f t="shared" si="17"/>
        <v>450</v>
      </c>
      <c r="G456" s="72">
        <f t="shared" si="18"/>
        <v>30</v>
      </c>
      <c r="H456" s="75">
        <f t="shared" si="19"/>
        <v>0.9375</v>
      </c>
      <c r="I456" s="2"/>
      <c r="J456" s="2">
        <v>30</v>
      </c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F456" s="1"/>
    </row>
    <row r="457" spans="1:58" s="22" customFormat="1" x14ac:dyDescent="0.25">
      <c r="A457" s="5" t="s">
        <v>16</v>
      </c>
      <c r="B457" s="4">
        <v>46163</v>
      </c>
      <c r="C457" s="2">
        <f t="shared" si="16"/>
        <v>21</v>
      </c>
      <c r="D457" s="3">
        <v>345</v>
      </c>
      <c r="E457" s="70">
        <f>[1]DETAY!$A$2</f>
        <v>0</v>
      </c>
      <c r="F457" s="71">
        <f t="shared" si="17"/>
        <v>315</v>
      </c>
      <c r="G457" s="72">
        <f t="shared" si="18"/>
        <v>30</v>
      </c>
      <c r="H457" s="75">
        <f t="shared" si="19"/>
        <v>0.91304347826086951</v>
      </c>
      <c r="I457" s="2"/>
      <c r="J457" s="2"/>
      <c r="K457" s="2"/>
      <c r="L457" s="2">
        <v>15</v>
      </c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>
        <v>15</v>
      </c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F457" s="1"/>
    </row>
    <row r="458" spans="1:58" s="22" customFormat="1" x14ac:dyDescent="0.25">
      <c r="A458" s="5" t="s">
        <v>10</v>
      </c>
      <c r="B458" s="4">
        <v>46163</v>
      </c>
      <c r="C458" s="2">
        <f t="shared" si="16"/>
        <v>21</v>
      </c>
      <c r="D458" s="3">
        <v>475</v>
      </c>
      <c r="E458" s="70">
        <f>[1]DETAY!$A$2</f>
        <v>0</v>
      </c>
      <c r="F458" s="71">
        <f t="shared" si="17"/>
        <v>470</v>
      </c>
      <c r="G458" s="72">
        <f t="shared" si="18"/>
        <v>5</v>
      </c>
      <c r="H458" s="75">
        <f t="shared" si="19"/>
        <v>0.98947368421052628</v>
      </c>
      <c r="I458" s="2"/>
      <c r="J458" s="2"/>
      <c r="K458" s="2"/>
      <c r="L458" s="2"/>
      <c r="M458" s="2">
        <v>5</v>
      </c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F458" s="1"/>
    </row>
    <row r="459" spans="1:58" s="22" customFormat="1" x14ac:dyDescent="0.25">
      <c r="A459" s="5" t="s">
        <v>9</v>
      </c>
      <c r="B459" s="4">
        <v>46163</v>
      </c>
      <c r="C459" s="2">
        <f t="shared" si="16"/>
        <v>21</v>
      </c>
      <c r="D459" s="3">
        <v>183</v>
      </c>
      <c r="E459" s="70">
        <f>[1]DETAY!$A$2</f>
        <v>0</v>
      </c>
      <c r="F459" s="71">
        <f t="shared" si="17"/>
        <v>180</v>
      </c>
      <c r="G459" s="72">
        <f t="shared" si="18"/>
        <v>3</v>
      </c>
      <c r="H459" s="75">
        <f t="shared" si="19"/>
        <v>0.98360655737704916</v>
      </c>
      <c r="I459" s="2"/>
      <c r="J459" s="2"/>
      <c r="K459" s="2"/>
      <c r="L459" s="2"/>
      <c r="M459" s="2">
        <v>3</v>
      </c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F459" s="1"/>
    </row>
    <row r="460" spans="1:58" s="22" customFormat="1" x14ac:dyDescent="0.25">
      <c r="A460" s="5" t="s">
        <v>15</v>
      </c>
      <c r="B460" s="4">
        <v>46163</v>
      </c>
      <c r="C460" s="2">
        <f t="shared" si="16"/>
        <v>21</v>
      </c>
      <c r="D460" s="3">
        <v>1760</v>
      </c>
      <c r="E460" s="70">
        <f>[1]DETAY!$A$2</f>
        <v>0</v>
      </c>
      <c r="F460" s="71">
        <f t="shared" si="17"/>
        <v>1760</v>
      </c>
      <c r="G460" s="72">
        <f t="shared" si="18"/>
        <v>0</v>
      </c>
      <c r="H460" s="75">
        <f t="shared" si="19"/>
        <v>1</v>
      </c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F460" s="1"/>
    </row>
    <row r="461" spans="1:58" s="22" customFormat="1" x14ac:dyDescent="0.25">
      <c r="A461" s="5" t="s">
        <v>2</v>
      </c>
      <c r="B461" s="4">
        <v>46163</v>
      </c>
      <c r="C461" s="2">
        <f t="shared" si="16"/>
        <v>21</v>
      </c>
      <c r="D461" s="3">
        <v>55</v>
      </c>
      <c r="E461" s="70">
        <f>[1]DETAY!$A$2</f>
        <v>0</v>
      </c>
      <c r="F461" s="71">
        <f t="shared" si="17"/>
        <v>44</v>
      </c>
      <c r="G461" s="72">
        <f t="shared" si="18"/>
        <v>11</v>
      </c>
      <c r="H461" s="75">
        <f t="shared" si="19"/>
        <v>0.8</v>
      </c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>
        <v>11</v>
      </c>
      <c r="AV461" s="2"/>
      <c r="AW461" s="2"/>
      <c r="AX461" s="2"/>
      <c r="AY461" s="2"/>
      <c r="AZ461" s="2"/>
      <c r="BA461" s="2"/>
      <c r="BB461" s="2"/>
      <c r="BC461" s="2"/>
      <c r="BD461" s="2"/>
      <c r="BF461" s="1"/>
    </row>
    <row r="462" spans="1:58" s="22" customFormat="1" x14ac:dyDescent="0.25">
      <c r="A462" s="5" t="s">
        <v>6</v>
      </c>
      <c r="B462" s="4">
        <v>46163</v>
      </c>
      <c r="C462" s="2">
        <f t="shared" si="16"/>
        <v>21</v>
      </c>
      <c r="D462" s="3">
        <v>1001</v>
      </c>
      <c r="E462" s="70">
        <f>[1]DETAY!$A$2</f>
        <v>0</v>
      </c>
      <c r="F462" s="71">
        <f t="shared" si="17"/>
        <v>1001</v>
      </c>
      <c r="G462" s="72">
        <f t="shared" si="18"/>
        <v>0</v>
      </c>
      <c r="H462" s="75">
        <f t="shared" si="19"/>
        <v>1</v>
      </c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F462" s="1"/>
    </row>
    <row r="463" spans="1:58" s="22" customFormat="1" x14ac:dyDescent="0.25">
      <c r="A463" s="5" t="s">
        <v>20</v>
      </c>
      <c r="B463" s="4">
        <v>46177</v>
      </c>
      <c r="C463" s="2">
        <f t="shared" si="16"/>
        <v>23</v>
      </c>
      <c r="D463" s="3">
        <v>707</v>
      </c>
      <c r="E463" s="70">
        <f>[1]DETAY!$A$2</f>
        <v>0</v>
      </c>
      <c r="F463" s="71">
        <f t="shared" si="17"/>
        <v>707</v>
      </c>
      <c r="G463" s="72">
        <f t="shared" si="18"/>
        <v>0</v>
      </c>
      <c r="H463" s="75">
        <f t="shared" si="19"/>
        <v>1</v>
      </c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F463" s="1"/>
    </row>
    <row r="464" spans="1:58" s="22" customFormat="1" x14ac:dyDescent="0.25">
      <c r="A464" s="5" t="s">
        <v>10</v>
      </c>
      <c r="B464" s="4">
        <v>46177</v>
      </c>
      <c r="C464" s="2">
        <f t="shared" si="16"/>
        <v>23</v>
      </c>
      <c r="D464" s="3">
        <v>584</v>
      </c>
      <c r="E464" s="70">
        <f>[1]DETAY!$A$2</f>
        <v>0</v>
      </c>
      <c r="F464" s="71">
        <v>484</v>
      </c>
      <c r="G464" s="72">
        <f t="shared" si="18"/>
        <v>1</v>
      </c>
      <c r="H464" s="75">
        <f t="shared" si="19"/>
        <v>0.82876712328767121</v>
      </c>
      <c r="I464" s="2"/>
      <c r="J464" s="2"/>
      <c r="K464" s="2"/>
      <c r="L464" s="2"/>
      <c r="M464" s="2">
        <v>1</v>
      </c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F464" s="1"/>
    </row>
    <row r="465" spans="1:58" s="22" customFormat="1" x14ac:dyDescent="0.25">
      <c r="A465" s="5" t="s">
        <v>9</v>
      </c>
      <c r="B465" s="4">
        <v>46177</v>
      </c>
      <c r="C465" s="2">
        <f t="shared" si="16"/>
        <v>23</v>
      </c>
      <c r="D465" s="3">
        <v>663</v>
      </c>
      <c r="E465" s="70">
        <f>[1]DETAY!$A$2</f>
        <v>0</v>
      </c>
      <c r="F465" s="71">
        <v>663</v>
      </c>
      <c r="G465" s="72">
        <f t="shared" si="18"/>
        <v>0</v>
      </c>
      <c r="H465" s="75">
        <f t="shared" si="19"/>
        <v>1</v>
      </c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F465" s="1"/>
    </row>
    <row r="466" spans="1:58" s="22" customFormat="1" x14ac:dyDescent="0.25">
      <c r="A466" s="5" t="s">
        <v>1</v>
      </c>
      <c r="B466" s="4">
        <v>46177</v>
      </c>
      <c r="C466" s="2">
        <f t="shared" si="16"/>
        <v>23</v>
      </c>
      <c r="D466" s="3">
        <v>240</v>
      </c>
      <c r="E466" s="70">
        <f>[1]DETAY!$A$2</f>
        <v>0</v>
      </c>
      <c r="F466" s="71">
        <f t="shared" ref="F466:F529" si="20">D466-G466</f>
        <v>236</v>
      </c>
      <c r="G466" s="72">
        <f t="shared" si="18"/>
        <v>4</v>
      </c>
      <c r="H466" s="75">
        <f t="shared" si="19"/>
        <v>0.98333333333333328</v>
      </c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>
        <v>4</v>
      </c>
      <c r="AV466" s="2"/>
      <c r="AW466" s="2"/>
      <c r="AX466" s="2"/>
      <c r="AY466" s="2"/>
      <c r="AZ466" s="2"/>
      <c r="BA466" s="2"/>
      <c r="BB466" s="2"/>
      <c r="BC466" s="2"/>
      <c r="BD466" s="2"/>
      <c r="BF466" s="1"/>
    </row>
    <row r="467" spans="1:58" s="22" customFormat="1" x14ac:dyDescent="0.25">
      <c r="A467" s="5" t="s">
        <v>14</v>
      </c>
      <c r="B467" s="4">
        <v>46177</v>
      </c>
      <c r="C467" s="2">
        <f t="shared" si="16"/>
        <v>23</v>
      </c>
      <c r="D467" s="3">
        <v>442</v>
      </c>
      <c r="E467" s="70">
        <f>[1]DETAY!$A$2</f>
        <v>0</v>
      </c>
      <c r="F467" s="71">
        <f t="shared" si="20"/>
        <v>442</v>
      </c>
      <c r="G467" s="72">
        <f t="shared" si="18"/>
        <v>0</v>
      </c>
      <c r="H467" s="75">
        <f t="shared" si="19"/>
        <v>1</v>
      </c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F467" s="1"/>
    </row>
    <row r="468" spans="1:58" s="22" customFormat="1" x14ac:dyDescent="0.25">
      <c r="A468" s="5" t="s">
        <v>7</v>
      </c>
      <c r="B468" s="4">
        <v>46177</v>
      </c>
      <c r="C468" s="2">
        <f t="shared" si="16"/>
        <v>23</v>
      </c>
      <c r="D468" s="3">
        <v>601</v>
      </c>
      <c r="E468" s="70">
        <f>[1]DETAY!$A$2</f>
        <v>0</v>
      </c>
      <c r="F468" s="71">
        <f t="shared" si="20"/>
        <v>596</v>
      </c>
      <c r="G468" s="72">
        <f t="shared" si="18"/>
        <v>5</v>
      </c>
      <c r="H468" s="75">
        <f t="shared" si="19"/>
        <v>0.99168053244592347</v>
      </c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>
        <v>5</v>
      </c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F468" s="1"/>
    </row>
    <row r="469" spans="1:58" s="22" customFormat="1" x14ac:dyDescent="0.25">
      <c r="A469" s="5" t="s">
        <v>13</v>
      </c>
      <c r="B469" s="4">
        <v>46177</v>
      </c>
      <c r="C469" s="2">
        <f t="shared" si="16"/>
        <v>23</v>
      </c>
      <c r="D469" s="3">
        <v>1800</v>
      </c>
      <c r="E469" s="70">
        <f>[1]DETAY!$A$2</f>
        <v>0</v>
      </c>
      <c r="F469" s="71">
        <f t="shared" si="20"/>
        <v>1799</v>
      </c>
      <c r="G469" s="72">
        <f t="shared" si="18"/>
        <v>1</v>
      </c>
      <c r="H469" s="75">
        <f t="shared" si="19"/>
        <v>0.99944444444444447</v>
      </c>
      <c r="I469" s="2"/>
      <c r="J469" s="2"/>
      <c r="K469" s="2"/>
      <c r="L469" s="2"/>
      <c r="M469" s="2">
        <v>1</v>
      </c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F469" s="1"/>
    </row>
    <row r="470" spans="1:58" s="22" customFormat="1" x14ac:dyDescent="0.25">
      <c r="A470" s="5" t="s">
        <v>22</v>
      </c>
      <c r="B470" s="4">
        <v>46177</v>
      </c>
      <c r="C470" s="2">
        <f t="shared" si="16"/>
        <v>23</v>
      </c>
      <c r="D470" s="3">
        <v>614</v>
      </c>
      <c r="E470" s="70">
        <f>[1]DETAY!$A$2</f>
        <v>0</v>
      </c>
      <c r="F470" s="71">
        <f t="shared" si="20"/>
        <v>614</v>
      </c>
      <c r="G470" s="72">
        <f t="shared" si="18"/>
        <v>0</v>
      </c>
      <c r="H470" s="75">
        <f t="shared" si="19"/>
        <v>1</v>
      </c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F470" s="1"/>
    </row>
    <row r="471" spans="1:58" s="22" customFormat="1" x14ac:dyDescent="0.25">
      <c r="A471" s="5" t="s">
        <v>21</v>
      </c>
      <c r="B471" s="4">
        <v>46177</v>
      </c>
      <c r="C471" s="2">
        <f t="shared" si="16"/>
        <v>23</v>
      </c>
      <c r="D471" s="3">
        <v>616</v>
      </c>
      <c r="E471" s="70">
        <f>[1]DETAY!$A$2</f>
        <v>0</v>
      </c>
      <c r="F471" s="71">
        <f t="shared" si="20"/>
        <v>616</v>
      </c>
      <c r="G471" s="72">
        <f t="shared" si="18"/>
        <v>0</v>
      </c>
      <c r="H471" s="75">
        <f t="shared" si="19"/>
        <v>1</v>
      </c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F471" s="1"/>
    </row>
    <row r="472" spans="1:58" s="22" customFormat="1" x14ac:dyDescent="0.25">
      <c r="A472" s="5" t="s">
        <v>18</v>
      </c>
      <c r="B472" s="4">
        <v>46177</v>
      </c>
      <c r="C472" s="2">
        <f t="shared" si="16"/>
        <v>23</v>
      </c>
      <c r="D472" s="3">
        <v>1065</v>
      </c>
      <c r="E472" s="70">
        <f>[1]DETAY!$A$2</f>
        <v>0</v>
      </c>
      <c r="F472" s="71">
        <f t="shared" si="20"/>
        <v>1065</v>
      </c>
      <c r="G472" s="72">
        <f t="shared" si="18"/>
        <v>0</v>
      </c>
      <c r="H472" s="75">
        <f t="shared" si="19"/>
        <v>1</v>
      </c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F472" s="1"/>
    </row>
    <row r="473" spans="1:58" s="22" customFormat="1" x14ac:dyDescent="0.25">
      <c r="A473" s="5" t="s">
        <v>7</v>
      </c>
      <c r="B473" s="4">
        <v>46179</v>
      </c>
      <c r="C473" s="2">
        <f t="shared" si="16"/>
        <v>23</v>
      </c>
      <c r="D473" s="3">
        <v>256</v>
      </c>
      <c r="E473" s="70">
        <f>[1]DETAY!$A$2</f>
        <v>0</v>
      </c>
      <c r="F473" s="71">
        <f t="shared" si="20"/>
        <v>256</v>
      </c>
      <c r="G473" s="72">
        <f t="shared" si="18"/>
        <v>0</v>
      </c>
      <c r="H473" s="75">
        <f t="shared" si="19"/>
        <v>1</v>
      </c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F473" s="1"/>
    </row>
    <row r="474" spans="1:58" s="22" customFormat="1" x14ac:dyDescent="0.25">
      <c r="A474" s="5" t="s">
        <v>13</v>
      </c>
      <c r="B474" s="4">
        <v>46179</v>
      </c>
      <c r="C474" s="2">
        <f t="shared" si="16"/>
        <v>23</v>
      </c>
      <c r="D474" s="3">
        <v>1080</v>
      </c>
      <c r="E474" s="70">
        <f>[1]DETAY!$A$2</f>
        <v>0</v>
      </c>
      <c r="F474" s="71">
        <f t="shared" si="20"/>
        <v>1080</v>
      </c>
      <c r="G474" s="72">
        <f t="shared" si="18"/>
        <v>0</v>
      </c>
      <c r="H474" s="75">
        <f t="shared" si="19"/>
        <v>1</v>
      </c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F474" s="1"/>
    </row>
    <row r="475" spans="1:58" s="22" customFormat="1" x14ac:dyDescent="0.25">
      <c r="A475" s="5" t="s">
        <v>5</v>
      </c>
      <c r="B475" s="4">
        <v>46179</v>
      </c>
      <c r="C475" s="2">
        <f t="shared" si="16"/>
        <v>23</v>
      </c>
      <c r="D475" s="3">
        <v>77</v>
      </c>
      <c r="E475" s="70">
        <f>[1]DETAY!$A$2</f>
        <v>0</v>
      </c>
      <c r="F475" s="71">
        <f t="shared" si="20"/>
        <v>77</v>
      </c>
      <c r="G475" s="72">
        <f t="shared" si="18"/>
        <v>0</v>
      </c>
      <c r="H475" s="75">
        <f t="shared" si="19"/>
        <v>1</v>
      </c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F475" s="1"/>
    </row>
    <row r="476" spans="1:58" s="22" customFormat="1" x14ac:dyDescent="0.25">
      <c r="A476" s="5" t="s">
        <v>4</v>
      </c>
      <c r="B476" s="4">
        <v>46179</v>
      </c>
      <c r="C476" s="2">
        <f t="shared" si="16"/>
        <v>23</v>
      </c>
      <c r="D476" s="3">
        <v>308</v>
      </c>
      <c r="E476" s="70">
        <f>[1]DETAY!$A$2</f>
        <v>0</v>
      </c>
      <c r="F476" s="71">
        <f t="shared" si="20"/>
        <v>308</v>
      </c>
      <c r="G476" s="72">
        <f t="shared" si="18"/>
        <v>0</v>
      </c>
      <c r="H476" s="75">
        <f t="shared" si="19"/>
        <v>1</v>
      </c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F476" s="1"/>
    </row>
    <row r="477" spans="1:58" s="22" customFormat="1" x14ac:dyDescent="0.25">
      <c r="A477" s="5" t="s">
        <v>22</v>
      </c>
      <c r="B477" s="4">
        <v>46179</v>
      </c>
      <c r="C477" s="2">
        <f t="shared" si="16"/>
        <v>23</v>
      </c>
      <c r="D477" s="3">
        <v>300</v>
      </c>
      <c r="E477" s="70">
        <f>[1]DETAY!$A$2</f>
        <v>0</v>
      </c>
      <c r="F477" s="71">
        <f t="shared" si="20"/>
        <v>300</v>
      </c>
      <c r="G477" s="72">
        <f t="shared" si="18"/>
        <v>0</v>
      </c>
      <c r="H477" s="75">
        <f t="shared" si="19"/>
        <v>1</v>
      </c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F477" s="1"/>
    </row>
    <row r="478" spans="1:58" s="22" customFormat="1" x14ac:dyDescent="0.25">
      <c r="A478" s="5" t="s">
        <v>21</v>
      </c>
      <c r="B478" s="4">
        <v>46179</v>
      </c>
      <c r="C478" s="2">
        <f t="shared" si="16"/>
        <v>23</v>
      </c>
      <c r="D478" s="3">
        <v>604</v>
      </c>
      <c r="E478" s="70">
        <f>[1]DETAY!$A$2</f>
        <v>0</v>
      </c>
      <c r="F478" s="71">
        <f t="shared" si="20"/>
        <v>600</v>
      </c>
      <c r="G478" s="72">
        <f t="shared" si="18"/>
        <v>4</v>
      </c>
      <c r="H478" s="75">
        <f t="shared" si="19"/>
        <v>0.99337748344370858</v>
      </c>
      <c r="I478" s="2"/>
      <c r="J478" s="2"/>
      <c r="K478" s="2"/>
      <c r="L478" s="2">
        <v>4</v>
      </c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F478" s="1"/>
    </row>
    <row r="479" spans="1:58" s="22" customFormat="1" x14ac:dyDescent="0.25">
      <c r="A479" s="5" t="s">
        <v>18</v>
      </c>
      <c r="B479" s="4">
        <v>46179</v>
      </c>
      <c r="C479" s="2">
        <f t="shared" si="16"/>
        <v>23</v>
      </c>
      <c r="D479" s="3">
        <v>2665</v>
      </c>
      <c r="E479" s="70">
        <f>[1]DETAY!$A$2</f>
        <v>0</v>
      </c>
      <c r="F479" s="71">
        <f t="shared" si="20"/>
        <v>2450</v>
      </c>
      <c r="G479" s="72">
        <f t="shared" si="18"/>
        <v>215</v>
      </c>
      <c r="H479" s="75">
        <f t="shared" si="19"/>
        <v>0.91932457786116317</v>
      </c>
      <c r="I479" s="2"/>
      <c r="J479" s="2"/>
      <c r="K479" s="2">
        <v>60</v>
      </c>
      <c r="L479" s="2">
        <v>155</v>
      </c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F479" s="1"/>
    </row>
    <row r="480" spans="1:58" s="22" customFormat="1" x14ac:dyDescent="0.25">
      <c r="A480" s="5" t="s">
        <v>16</v>
      </c>
      <c r="B480" s="4">
        <v>46179</v>
      </c>
      <c r="C480" s="2">
        <f t="shared" si="16"/>
        <v>23</v>
      </c>
      <c r="D480" s="3">
        <v>548</v>
      </c>
      <c r="E480" s="70">
        <f>[1]DETAY!$A$2</f>
        <v>0</v>
      </c>
      <c r="F480" s="71">
        <f t="shared" si="20"/>
        <v>527</v>
      </c>
      <c r="G480" s="72">
        <f t="shared" si="18"/>
        <v>21</v>
      </c>
      <c r="H480" s="75">
        <f t="shared" si="19"/>
        <v>0.96167883211678828</v>
      </c>
      <c r="I480" s="2"/>
      <c r="J480" s="2"/>
      <c r="K480" s="2">
        <v>1</v>
      </c>
      <c r="L480" s="2"/>
      <c r="M480" s="2">
        <v>1</v>
      </c>
      <c r="N480" s="2"/>
      <c r="O480" s="2"/>
      <c r="P480" s="2"/>
      <c r="Q480" s="2">
        <v>1</v>
      </c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>
        <v>1</v>
      </c>
      <c r="AI480" s="2"/>
      <c r="AJ480" s="2">
        <v>17</v>
      </c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F480" s="1"/>
    </row>
    <row r="481" spans="1:58" s="22" customFormat="1" x14ac:dyDescent="0.25">
      <c r="A481" s="5" t="s">
        <v>10</v>
      </c>
      <c r="B481" s="4">
        <v>46179</v>
      </c>
      <c r="C481" s="2">
        <f t="shared" si="16"/>
        <v>23</v>
      </c>
      <c r="D481" s="3">
        <v>305</v>
      </c>
      <c r="E481" s="70">
        <f>[1]DETAY!$A$2</f>
        <v>0</v>
      </c>
      <c r="F481" s="71">
        <f t="shared" si="20"/>
        <v>300</v>
      </c>
      <c r="G481" s="72">
        <f t="shared" si="18"/>
        <v>5</v>
      </c>
      <c r="H481" s="75">
        <f t="shared" si="19"/>
        <v>0.98360655737704916</v>
      </c>
      <c r="I481" s="2"/>
      <c r="J481" s="2"/>
      <c r="K481" s="2"/>
      <c r="L481" s="2"/>
      <c r="M481" s="2">
        <v>5</v>
      </c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F481" s="1"/>
    </row>
    <row r="482" spans="1:58" s="22" customFormat="1" x14ac:dyDescent="0.25">
      <c r="A482" s="5" t="s">
        <v>9</v>
      </c>
      <c r="B482" s="4">
        <v>46179</v>
      </c>
      <c r="C482" s="2">
        <f t="shared" si="16"/>
        <v>23</v>
      </c>
      <c r="D482" s="3">
        <v>247</v>
      </c>
      <c r="E482" s="70">
        <f>[1]DETAY!$A$2</f>
        <v>0</v>
      </c>
      <c r="F482" s="71">
        <f t="shared" si="20"/>
        <v>240</v>
      </c>
      <c r="G482" s="72">
        <f t="shared" si="18"/>
        <v>7</v>
      </c>
      <c r="H482" s="75">
        <f t="shared" si="19"/>
        <v>0.97165991902834004</v>
      </c>
      <c r="I482" s="2"/>
      <c r="J482" s="2"/>
      <c r="K482" s="2"/>
      <c r="L482" s="2"/>
      <c r="M482" s="2">
        <v>7</v>
      </c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F482" s="1"/>
    </row>
    <row r="483" spans="1:58" s="22" customFormat="1" x14ac:dyDescent="0.25">
      <c r="A483" s="5" t="s">
        <v>1</v>
      </c>
      <c r="B483" s="4">
        <v>46179</v>
      </c>
      <c r="C483" s="2">
        <f t="shared" si="16"/>
        <v>23</v>
      </c>
      <c r="D483" s="3">
        <v>345</v>
      </c>
      <c r="E483" s="70">
        <f>[1]DETAY!$A$2</f>
        <v>0</v>
      </c>
      <c r="F483" s="71">
        <f t="shared" si="20"/>
        <v>300</v>
      </c>
      <c r="G483" s="72">
        <f t="shared" si="18"/>
        <v>45</v>
      </c>
      <c r="H483" s="75">
        <f t="shared" si="19"/>
        <v>0.86956521739130432</v>
      </c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>
        <v>45</v>
      </c>
      <c r="AV483" s="2"/>
      <c r="AW483" s="2"/>
      <c r="AX483" s="2"/>
      <c r="AY483" s="2"/>
      <c r="AZ483" s="2"/>
      <c r="BA483" s="2"/>
      <c r="BB483" s="2"/>
      <c r="BC483" s="2"/>
      <c r="BD483" s="2"/>
      <c r="BF483" s="1"/>
    </row>
    <row r="484" spans="1:58" s="22" customFormat="1" x14ac:dyDescent="0.25">
      <c r="A484" s="5" t="s">
        <v>16</v>
      </c>
      <c r="B484" s="4">
        <v>46180</v>
      </c>
      <c r="C484" s="2">
        <f t="shared" si="16"/>
        <v>24</v>
      </c>
      <c r="D484" s="3">
        <v>870</v>
      </c>
      <c r="E484" s="70">
        <f>[1]DETAY!$A$2</f>
        <v>0</v>
      </c>
      <c r="F484" s="71">
        <f t="shared" si="20"/>
        <v>840</v>
      </c>
      <c r="G484" s="72">
        <f t="shared" si="18"/>
        <v>30</v>
      </c>
      <c r="H484" s="75">
        <f t="shared" si="19"/>
        <v>0.96551724137931039</v>
      </c>
      <c r="I484" s="2"/>
      <c r="J484" s="2"/>
      <c r="K484" s="2">
        <v>11</v>
      </c>
      <c r="L484" s="2"/>
      <c r="M484" s="2">
        <v>7</v>
      </c>
      <c r="N484" s="2"/>
      <c r="O484" s="2"/>
      <c r="P484" s="2"/>
      <c r="Q484" s="2">
        <v>2</v>
      </c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>
        <v>2</v>
      </c>
      <c r="AI484" s="2"/>
      <c r="AJ484" s="2">
        <v>8</v>
      </c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F484" s="1"/>
    </row>
    <row r="485" spans="1:58" s="22" customFormat="1" x14ac:dyDescent="0.25">
      <c r="A485" s="5" t="s">
        <v>10</v>
      </c>
      <c r="B485" s="4">
        <v>46180</v>
      </c>
      <c r="C485" s="2">
        <f t="shared" si="16"/>
        <v>24</v>
      </c>
      <c r="D485" s="3">
        <v>312</v>
      </c>
      <c r="E485" s="70">
        <f>[1]DETAY!$A$2</f>
        <v>0</v>
      </c>
      <c r="F485" s="71">
        <f t="shared" si="20"/>
        <v>300</v>
      </c>
      <c r="G485" s="72">
        <f t="shared" si="18"/>
        <v>12</v>
      </c>
      <c r="H485" s="75">
        <f t="shared" si="19"/>
        <v>0.96153846153846156</v>
      </c>
      <c r="I485" s="2"/>
      <c r="J485" s="2"/>
      <c r="K485" s="2"/>
      <c r="L485" s="2"/>
      <c r="M485" s="2">
        <v>12</v>
      </c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F485" s="1"/>
    </row>
    <row r="486" spans="1:58" s="22" customFormat="1" x14ac:dyDescent="0.25">
      <c r="A486" s="5" t="s">
        <v>9</v>
      </c>
      <c r="B486" s="4">
        <v>46180</v>
      </c>
      <c r="C486" s="2">
        <f t="shared" si="16"/>
        <v>24</v>
      </c>
      <c r="D486" s="3">
        <v>240</v>
      </c>
      <c r="E486" s="70">
        <f>[1]DETAY!$A$2</f>
        <v>0</v>
      </c>
      <c r="F486" s="71">
        <f t="shared" si="20"/>
        <v>240</v>
      </c>
      <c r="G486" s="72">
        <f t="shared" si="18"/>
        <v>0</v>
      </c>
      <c r="H486" s="75">
        <f t="shared" si="19"/>
        <v>1</v>
      </c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F486" s="1"/>
    </row>
    <row r="487" spans="1:58" s="22" customFormat="1" x14ac:dyDescent="0.25">
      <c r="A487" s="5" t="s">
        <v>15</v>
      </c>
      <c r="B487" s="4">
        <v>46180</v>
      </c>
      <c r="C487" s="2">
        <f t="shared" si="16"/>
        <v>24</v>
      </c>
      <c r="D487" s="3">
        <v>222</v>
      </c>
      <c r="E487" s="70">
        <f>[1]DETAY!$A$2</f>
        <v>0</v>
      </c>
      <c r="F487" s="71">
        <f t="shared" si="20"/>
        <v>221</v>
      </c>
      <c r="G487" s="72">
        <f t="shared" si="18"/>
        <v>1</v>
      </c>
      <c r="H487" s="75">
        <f t="shared" si="19"/>
        <v>0.99549549549549554</v>
      </c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>
        <v>1</v>
      </c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F487" s="1"/>
    </row>
    <row r="488" spans="1:58" s="22" customFormat="1" x14ac:dyDescent="0.25">
      <c r="A488" s="5" t="s">
        <v>13</v>
      </c>
      <c r="B488" s="4">
        <v>46180</v>
      </c>
      <c r="C488" s="2">
        <f t="shared" si="16"/>
        <v>24</v>
      </c>
      <c r="D488" s="3">
        <v>1200</v>
      </c>
      <c r="E488" s="70">
        <f>[1]DETAY!$A$2</f>
        <v>0</v>
      </c>
      <c r="F488" s="71">
        <f t="shared" si="20"/>
        <v>1200</v>
      </c>
      <c r="G488" s="72">
        <f t="shared" si="18"/>
        <v>0</v>
      </c>
      <c r="H488" s="75">
        <f t="shared" si="19"/>
        <v>1</v>
      </c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F488" s="1"/>
    </row>
    <row r="489" spans="1:58" s="22" customFormat="1" x14ac:dyDescent="0.25">
      <c r="A489" s="5" t="s">
        <v>5</v>
      </c>
      <c r="B489" s="4">
        <v>46180</v>
      </c>
      <c r="C489" s="2">
        <f t="shared" si="16"/>
        <v>24</v>
      </c>
      <c r="D489" s="3">
        <v>79</v>
      </c>
      <c r="E489" s="70">
        <f>[1]DETAY!$A$2</f>
        <v>0</v>
      </c>
      <c r="F489" s="71">
        <f t="shared" si="20"/>
        <v>77</v>
      </c>
      <c r="G489" s="72">
        <f t="shared" si="18"/>
        <v>2</v>
      </c>
      <c r="H489" s="75">
        <f t="shared" si="19"/>
        <v>0.97468354430379744</v>
      </c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>
        <v>2</v>
      </c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F489" s="1"/>
    </row>
    <row r="490" spans="1:58" s="22" customFormat="1" x14ac:dyDescent="0.25">
      <c r="A490" s="5" t="s">
        <v>4</v>
      </c>
      <c r="B490" s="4">
        <v>46180</v>
      </c>
      <c r="C490" s="2">
        <f t="shared" si="16"/>
        <v>24</v>
      </c>
      <c r="D490" s="3">
        <v>318</v>
      </c>
      <c r="E490" s="70">
        <f>[1]DETAY!$A$2</f>
        <v>0</v>
      </c>
      <c r="F490" s="71">
        <f t="shared" si="20"/>
        <v>308</v>
      </c>
      <c r="G490" s="72">
        <f t="shared" si="18"/>
        <v>10</v>
      </c>
      <c r="H490" s="75">
        <f t="shared" si="19"/>
        <v>0.96855345911949686</v>
      </c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10</v>
      </c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F490" s="1"/>
    </row>
    <row r="491" spans="1:58" s="22" customFormat="1" x14ac:dyDescent="0.25">
      <c r="A491" s="5" t="s">
        <v>1</v>
      </c>
      <c r="B491" s="4">
        <v>46180</v>
      </c>
      <c r="C491" s="2">
        <f t="shared" si="16"/>
        <v>24</v>
      </c>
      <c r="D491" s="3">
        <v>330</v>
      </c>
      <c r="E491" s="70">
        <f>[1]DETAY!$A$2</f>
        <v>0</v>
      </c>
      <c r="F491" s="71">
        <f t="shared" si="20"/>
        <v>300</v>
      </c>
      <c r="G491" s="72">
        <f t="shared" si="18"/>
        <v>30</v>
      </c>
      <c r="H491" s="75">
        <f t="shared" si="19"/>
        <v>0.90909090909090906</v>
      </c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>
        <v>30</v>
      </c>
      <c r="AV491" s="2"/>
      <c r="AW491" s="2"/>
      <c r="AX491" s="2"/>
      <c r="AY491" s="2"/>
      <c r="AZ491" s="2"/>
      <c r="BA491" s="2"/>
      <c r="BB491" s="2"/>
      <c r="BC491" s="2"/>
      <c r="BD491" s="2"/>
      <c r="BF491" s="1"/>
    </row>
    <row r="492" spans="1:58" s="22" customFormat="1" x14ac:dyDescent="0.25">
      <c r="A492" s="5" t="s">
        <v>10</v>
      </c>
      <c r="B492" s="4">
        <v>46180</v>
      </c>
      <c r="C492" s="2">
        <f t="shared" si="16"/>
        <v>24</v>
      </c>
      <c r="D492" s="3">
        <v>303</v>
      </c>
      <c r="E492" s="70">
        <f>[1]DETAY!$A$2</f>
        <v>0</v>
      </c>
      <c r="F492" s="71">
        <f t="shared" si="20"/>
        <v>300</v>
      </c>
      <c r="G492" s="72">
        <f t="shared" si="18"/>
        <v>3</v>
      </c>
      <c r="H492" s="75">
        <f t="shared" si="19"/>
        <v>0.99009900990099009</v>
      </c>
      <c r="I492" s="2"/>
      <c r="J492" s="2"/>
      <c r="K492" s="2"/>
      <c r="L492" s="2"/>
      <c r="M492" s="2">
        <v>3</v>
      </c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F492" s="1"/>
    </row>
    <row r="493" spans="1:58" s="22" customFormat="1" x14ac:dyDescent="0.25">
      <c r="A493" s="5" t="s">
        <v>9</v>
      </c>
      <c r="B493" s="4">
        <v>46180</v>
      </c>
      <c r="C493" s="2">
        <f t="shared" ref="C493:C556" si="21">WEEKNUM(B493)</f>
        <v>24</v>
      </c>
      <c r="D493" s="3">
        <v>311</v>
      </c>
      <c r="E493" s="70">
        <f>[1]DETAY!$A$2</f>
        <v>0</v>
      </c>
      <c r="F493" s="71">
        <f t="shared" si="20"/>
        <v>300</v>
      </c>
      <c r="G493" s="72">
        <f t="shared" ref="G493:G556" si="22">SUBTOTAL(9,I493:BD493)</f>
        <v>11</v>
      </c>
      <c r="H493" s="75">
        <f t="shared" ref="H493:H556" si="23">F493/D493</f>
        <v>0.96463022508038587</v>
      </c>
      <c r="I493" s="2"/>
      <c r="J493" s="2"/>
      <c r="K493" s="2"/>
      <c r="L493" s="2"/>
      <c r="M493" s="2">
        <v>11</v>
      </c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F493" s="1"/>
    </row>
    <row r="494" spans="1:58" s="22" customFormat="1" x14ac:dyDescent="0.25">
      <c r="A494" s="5" t="s">
        <v>7</v>
      </c>
      <c r="B494" s="4">
        <v>46180</v>
      </c>
      <c r="C494" s="2">
        <f t="shared" si="21"/>
        <v>24</v>
      </c>
      <c r="D494" s="3">
        <v>100</v>
      </c>
      <c r="E494" s="70">
        <f>[1]DETAY!$A$2</f>
        <v>0</v>
      </c>
      <c r="F494" s="71">
        <f t="shared" si="20"/>
        <v>100</v>
      </c>
      <c r="G494" s="72">
        <f t="shared" si="22"/>
        <v>0</v>
      </c>
      <c r="H494" s="75">
        <f t="shared" si="23"/>
        <v>1</v>
      </c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F494" s="1"/>
    </row>
    <row r="495" spans="1:58" s="22" customFormat="1" x14ac:dyDescent="0.25">
      <c r="A495" s="5" t="s">
        <v>13</v>
      </c>
      <c r="B495" s="4">
        <v>46180</v>
      </c>
      <c r="C495" s="2">
        <f t="shared" si="21"/>
        <v>24</v>
      </c>
      <c r="D495" s="3">
        <v>480</v>
      </c>
      <c r="E495" s="70">
        <f>[1]DETAY!$A$2</f>
        <v>0</v>
      </c>
      <c r="F495" s="71">
        <f t="shared" si="20"/>
        <v>480</v>
      </c>
      <c r="G495" s="72">
        <f t="shared" si="22"/>
        <v>0</v>
      </c>
      <c r="H495" s="75">
        <f t="shared" si="23"/>
        <v>1</v>
      </c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F495" s="1"/>
    </row>
    <row r="496" spans="1:58" s="22" customFormat="1" x14ac:dyDescent="0.25">
      <c r="A496" s="5" t="s">
        <v>4</v>
      </c>
      <c r="B496" s="4">
        <v>46180</v>
      </c>
      <c r="C496" s="2">
        <f t="shared" si="21"/>
        <v>24</v>
      </c>
      <c r="D496" s="3">
        <v>231</v>
      </c>
      <c r="E496" s="70">
        <f>[1]DETAY!$A$2</f>
        <v>0</v>
      </c>
      <c r="F496" s="71">
        <f t="shared" si="20"/>
        <v>231</v>
      </c>
      <c r="G496" s="72">
        <f t="shared" si="22"/>
        <v>0</v>
      </c>
      <c r="H496" s="75">
        <f t="shared" si="23"/>
        <v>1</v>
      </c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F496" s="1"/>
    </row>
    <row r="497" spans="1:58" s="22" customFormat="1" x14ac:dyDescent="0.25">
      <c r="A497" s="5" t="s">
        <v>1</v>
      </c>
      <c r="B497" s="4">
        <v>46180</v>
      </c>
      <c r="C497" s="2">
        <f t="shared" si="21"/>
        <v>24</v>
      </c>
      <c r="D497" s="3">
        <v>50</v>
      </c>
      <c r="E497" s="70">
        <f>[1]DETAY!$A$2</f>
        <v>0</v>
      </c>
      <c r="F497" s="71">
        <f t="shared" si="20"/>
        <v>40</v>
      </c>
      <c r="G497" s="72">
        <f t="shared" si="22"/>
        <v>10</v>
      </c>
      <c r="H497" s="75">
        <f t="shared" si="23"/>
        <v>0.8</v>
      </c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>
        <v>10</v>
      </c>
      <c r="AV497" s="2"/>
      <c r="AW497" s="2"/>
      <c r="AX497" s="2"/>
      <c r="AY497" s="2"/>
      <c r="AZ497" s="2"/>
      <c r="BA497" s="2"/>
      <c r="BB497" s="2"/>
      <c r="BC497" s="2"/>
      <c r="BD497" s="2"/>
      <c r="BF497" s="1"/>
    </row>
    <row r="498" spans="1:58" s="22" customFormat="1" x14ac:dyDescent="0.25">
      <c r="A498" s="5" t="s">
        <v>0</v>
      </c>
      <c r="B498" s="4">
        <v>46180</v>
      </c>
      <c r="C498" s="2">
        <f t="shared" si="21"/>
        <v>24</v>
      </c>
      <c r="D498" s="3">
        <v>167</v>
      </c>
      <c r="E498" s="70">
        <f>[1]DETAY!$A$2</f>
        <v>0</v>
      </c>
      <c r="F498" s="71">
        <f t="shared" si="20"/>
        <v>150</v>
      </c>
      <c r="G498" s="72">
        <f t="shared" si="22"/>
        <v>17</v>
      </c>
      <c r="H498" s="75">
        <f t="shared" si="23"/>
        <v>0.89820359281437123</v>
      </c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>
        <v>17</v>
      </c>
      <c r="AV498" s="2"/>
      <c r="AW498" s="2"/>
      <c r="AX498" s="2"/>
      <c r="AY498" s="2"/>
      <c r="AZ498" s="2"/>
      <c r="BA498" s="2"/>
      <c r="BB498" s="2"/>
      <c r="BC498" s="2"/>
      <c r="BD498" s="2"/>
      <c r="BF498" s="1"/>
    </row>
    <row r="499" spans="1:58" s="22" customFormat="1" x14ac:dyDescent="0.25">
      <c r="A499" s="5" t="s">
        <v>8</v>
      </c>
      <c r="B499" s="4">
        <v>46181</v>
      </c>
      <c r="C499" s="2">
        <f t="shared" si="21"/>
        <v>24</v>
      </c>
      <c r="D499" s="3">
        <v>160</v>
      </c>
      <c r="E499" s="70">
        <f>[1]DETAY!$A$2</f>
        <v>0</v>
      </c>
      <c r="F499" s="71">
        <f t="shared" si="20"/>
        <v>160</v>
      </c>
      <c r="G499" s="72">
        <f t="shared" si="22"/>
        <v>0</v>
      </c>
      <c r="H499" s="75">
        <f t="shared" si="23"/>
        <v>1</v>
      </c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F499" s="1"/>
    </row>
    <row r="500" spans="1:58" s="22" customFormat="1" x14ac:dyDescent="0.25">
      <c r="A500" s="5" t="s">
        <v>15</v>
      </c>
      <c r="B500" s="4">
        <v>46181</v>
      </c>
      <c r="C500" s="2">
        <f t="shared" si="21"/>
        <v>24</v>
      </c>
      <c r="D500" s="3">
        <v>142</v>
      </c>
      <c r="E500" s="70">
        <f>[1]DETAY!$A$2</f>
        <v>0</v>
      </c>
      <c r="F500" s="71">
        <f t="shared" si="20"/>
        <v>105</v>
      </c>
      <c r="G500" s="72">
        <f t="shared" si="22"/>
        <v>37</v>
      </c>
      <c r="H500" s="75">
        <f t="shared" si="23"/>
        <v>0.73943661971830987</v>
      </c>
      <c r="I500" s="2"/>
      <c r="J500" s="2">
        <v>23</v>
      </c>
      <c r="K500" s="2"/>
      <c r="L500" s="2">
        <v>14</v>
      </c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F500" s="1"/>
    </row>
    <row r="501" spans="1:58" s="22" customFormat="1" x14ac:dyDescent="0.25">
      <c r="A501" s="5" t="s">
        <v>13</v>
      </c>
      <c r="B501" s="4">
        <v>46181</v>
      </c>
      <c r="C501" s="2">
        <f t="shared" si="21"/>
        <v>24</v>
      </c>
      <c r="D501" s="3">
        <v>960</v>
      </c>
      <c r="E501" s="70">
        <f>[1]DETAY!$A$2</f>
        <v>0</v>
      </c>
      <c r="F501" s="71">
        <f t="shared" si="20"/>
        <v>945</v>
      </c>
      <c r="G501" s="72">
        <f t="shared" si="22"/>
        <v>15</v>
      </c>
      <c r="H501" s="75">
        <f t="shared" si="23"/>
        <v>0.984375</v>
      </c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>
        <v>15</v>
      </c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F501" s="1"/>
    </row>
    <row r="502" spans="1:58" s="22" customFormat="1" x14ac:dyDescent="0.25">
      <c r="A502" s="5" t="s">
        <v>17</v>
      </c>
      <c r="B502" s="4">
        <v>46181</v>
      </c>
      <c r="C502" s="2">
        <f t="shared" si="21"/>
        <v>24</v>
      </c>
      <c r="D502" s="3">
        <v>1087</v>
      </c>
      <c r="E502" s="70">
        <f>[1]DETAY!$A$2</f>
        <v>0</v>
      </c>
      <c r="F502" s="71">
        <f t="shared" si="20"/>
        <v>1087</v>
      </c>
      <c r="G502" s="72">
        <f t="shared" si="22"/>
        <v>0</v>
      </c>
      <c r="H502" s="75">
        <f t="shared" si="23"/>
        <v>1</v>
      </c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F502" s="1"/>
    </row>
    <row r="503" spans="1:58" s="22" customFormat="1" x14ac:dyDescent="0.25">
      <c r="A503" s="5" t="s">
        <v>16</v>
      </c>
      <c r="B503" s="4">
        <v>46181</v>
      </c>
      <c r="C503" s="2">
        <f t="shared" si="21"/>
        <v>24</v>
      </c>
      <c r="D503" s="3">
        <v>1759</v>
      </c>
      <c r="E503" s="70">
        <f>[1]DETAY!$A$2</f>
        <v>0</v>
      </c>
      <c r="F503" s="71">
        <f t="shared" si="20"/>
        <v>1694</v>
      </c>
      <c r="G503" s="72">
        <f t="shared" si="22"/>
        <v>65</v>
      </c>
      <c r="H503" s="75">
        <f t="shared" si="23"/>
        <v>0.96304718590108018</v>
      </c>
      <c r="I503" s="2"/>
      <c r="J503" s="2"/>
      <c r="K503" s="2"/>
      <c r="L503" s="2"/>
      <c r="M503" s="2">
        <v>21</v>
      </c>
      <c r="N503" s="2"/>
      <c r="O503" s="2"/>
      <c r="P503" s="2"/>
      <c r="Q503" s="2">
        <v>2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>
        <v>2</v>
      </c>
      <c r="AG503" s="2"/>
      <c r="AH503" s="2"/>
      <c r="AI503" s="2"/>
      <c r="AJ503" s="2">
        <v>37</v>
      </c>
      <c r="AK503" s="2"/>
      <c r="AL503" s="2"/>
      <c r="AM503" s="2"/>
      <c r="AN503" s="2"/>
      <c r="AO503" s="2"/>
      <c r="AP503" s="2">
        <v>3</v>
      </c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F503" s="1"/>
    </row>
    <row r="504" spans="1:58" s="22" customFormat="1" x14ac:dyDescent="0.25">
      <c r="A504" s="5" t="s">
        <v>11</v>
      </c>
      <c r="B504" s="4">
        <v>46181</v>
      </c>
      <c r="C504" s="2">
        <f t="shared" si="21"/>
        <v>24</v>
      </c>
      <c r="D504" s="3">
        <v>298</v>
      </c>
      <c r="E504" s="70">
        <f>[1]DETAY!$A$2</f>
        <v>0</v>
      </c>
      <c r="F504" s="71">
        <f t="shared" si="20"/>
        <v>280</v>
      </c>
      <c r="G504" s="72">
        <f t="shared" si="22"/>
        <v>18</v>
      </c>
      <c r="H504" s="75">
        <f t="shared" si="23"/>
        <v>0.93959731543624159</v>
      </c>
      <c r="I504" s="2"/>
      <c r="J504" s="2"/>
      <c r="K504" s="2"/>
      <c r="L504" s="2">
        <v>15</v>
      </c>
      <c r="M504" s="2"/>
      <c r="N504" s="2"/>
      <c r="O504" s="2"/>
      <c r="P504" s="2"/>
      <c r="Q504" s="2"/>
      <c r="R504" s="2"/>
      <c r="S504" s="2"/>
      <c r="T504" s="2"/>
      <c r="U504" s="2"/>
      <c r="V504" s="2">
        <v>3</v>
      </c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F504" s="1"/>
    </row>
    <row r="505" spans="1:58" s="22" customFormat="1" x14ac:dyDescent="0.25">
      <c r="A505" s="5" t="s">
        <v>10</v>
      </c>
      <c r="B505" s="4">
        <v>46181</v>
      </c>
      <c r="C505" s="2">
        <f t="shared" si="21"/>
        <v>24</v>
      </c>
      <c r="D505" s="3">
        <v>310</v>
      </c>
      <c r="E505" s="70">
        <f>[1]DETAY!$A$2</f>
        <v>0</v>
      </c>
      <c r="F505" s="71">
        <f t="shared" si="20"/>
        <v>300</v>
      </c>
      <c r="G505" s="72">
        <f t="shared" si="22"/>
        <v>10</v>
      </c>
      <c r="H505" s="75">
        <f t="shared" si="23"/>
        <v>0.967741935483871</v>
      </c>
      <c r="I505" s="2"/>
      <c r="J505" s="2"/>
      <c r="K505" s="2"/>
      <c r="L505" s="2"/>
      <c r="M505" s="2">
        <v>10</v>
      </c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F505" s="1"/>
    </row>
    <row r="506" spans="1:58" s="22" customFormat="1" x14ac:dyDescent="0.25">
      <c r="A506" s="5" t="s">
        <v>9</v>
      </c>
      <c r="B506" s="4">
        <v>46181</v>
      </c>
      <c r="C506" s="2">
        <f t="shared" si="21"/>
        <v>24</v>
      </c>
      <c r="D506" s="3">
        <v>217</v>
      </c>
      <c r="E506" s="70">
        <f>[1]DETAY!$A$2</f>
        <v>0</v>
      </c>
      <c r="F506" s="71">
        <f t="shared" si="20"/>
        <v>208</v>
      </c>
      <c r="G506" s="72">
        <f t="shared" si="22"/>
        <v>9</v>
      </c>
      <c r="H506" s="75">
        <f t="shared" si="23"/>
        <v>0.95852534562211977</v>
      </c>
      <c r="I506" s="2"/>
      <c r="J506" s="2"/>
      <c r="K506" s="2"/>
      <c r="L506" s="2"/>
      <c r="M506" s="2">
        <v>9</v>
      </c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F506" s="1"/>
    </row>
    <row r="507" spans="1:58" s="22" customFormat="1" x14ac:dyDescent="0.25">
      <c r="A507" s="5" t="s">
        <v>1</v>
      </c>
      <c r="B507" s="4">
        <v>46181</v>
      </c>
      <c r="C507" s="2">
        <f t="shared" si="21"/>
        <v>24</v>
      </c>
      <c r="D507" s="3">
        <v>760</v>
      </c>
      <c r="E507" s="70">
        <f>[1]DETAY!$A$2</f>
        <v>0</v>
      </c>
      <c r="F507" s="71">
        <f t="shared" si="20"/>
        <v>380</v>
      </c>
      <c r="G507" s="72">
        <f t="shared" si="22"/>
        <v>380</v>
      </c>
      <c r="H507" s="75">
        <f t="shared" si="23"/>
        <v>0.5</v>
      </c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>
        <v>380</v>
      </c>
      <c r="AV507" s="2"/>
      <c r="AW507" s="2"/>
      <c r="AX507" s="2"/>
      <c r="AY507" s="2"/>
      <c r="AZ507" s="2"/>
      <c r="BA507" s="2"/>
      <c r="BB507" s="2"/>
      <c r="BC507" s="2"/>
      <c r="BD507" s="2"/>
      <c r="BF507" s="1"/>
    </row>
    <row r="508" spans="1:58" s="22" customFormat="1" x14ac:dyDescent="0.25">
      <c r="A508" s="5" t="s">
        <v>15</v>
      </c>
      <c r="B508" s="4">
        <v>46181</v>
      </c>
      <c r="C508" s="2">
        <f t="shared" si="21"/>
        <v>24</v>
      </c>
      <c r="D508" s="3">
        <v>220</v>
      </c>
      <c r="E508" s="70">
        <f>[1]DETAY!$A$2</f>
        <v>0</v>
      </c>
      <c r="F508" s="71">
        <f t="shared" si="20"/>
        <v>220</v>
      </c>
      <c r="G508" s="72">
        <f t="shared" si="22"/>
        <v>0</v>
      </c>
      <c r="H508" s="75">
        <f t="shared" si="23"/>
        <v>1</v>
      </c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F508" s="1"/>
    </row>
    <row r="509" spans="1:58" s="22" customFormat="1" x14ac:dyDescent="0.25">
      <c r="A509" s="5" t="s">
        <v>7</v>
      </c>
      <c r="B509" s="4">
        <v>46181</v>
      </c>
      <c r="C509" s="2">
        <f t="shared" si="21"/>
        <v>24</v>
      </c>
      <c r="D509" s="3">
        <v>267</v>
      </c>
      <c r="E509" s="70">
        <f>[1]DETAY!$A$2</f>
        <v>0</v>
      </c>
      <c r="F509" s="71">
        <f t="shared" si="20"/>
        <v>256</v>
      </c>
      <c r="G509" s="72">
        <f t="shared" si="22"/>
        <v>11</v>
      </c>
      <c r="H509" s="75">
        <f t="shared" si="23"/>
        <v>0.95880149812734083</v>
      </c>
      <c r="I509" s="2"/>
      <c r="J509" s="2"/>
      <c r="K509" s="2"/>
      <c r="L509" s="2"/>
      <c r="M509" s="2">
        <v>11</v>
      </c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F509" s="1"/>
    </row>
    <row r="510" spans="1:58" s="22" customFormat="1" x14ac:dyDescent="0.25">
      <c r="A510" s="5" t="s">
        <v>4</v>
      </c>
      <c r="B510" s="4">
        <v>46181</v>
      </c>
      <c r="C510" s="2">
        <f t="shared" si="21"/>
        <v>24</v>
      </c>
      <c r="D510" s="3">
        <v>540</v>
      </c>
      <c r="E510" s="70">
        <f>[1]DETAY!$A$2</f>
        <v>0</v>
      </c>
      <c r="F510" s="71">
        <f t="shared" si="20"/>
        <v>539</v>
      </c>
      <c r="G510" s="72">
        <f t="shared" si="22"/>
        <v>1</v>
      </c>
      <c r="H510" s="75">
        <f t="shared" si="23"/>
        <v>0.99814814814814812</v>
      </c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>
        <v>1</v>
      </c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F510" s="1"/>
    </row>
    <row r="511" spans="1:58" s="22" customFormat="1" x14ac:dyDescent="0.25">
      <c r="A511" s="5" t="s">
        <v>0</v>
      </c>
      <c r="B511" s="4">
        <v>46181</v>
      </c>
      <c r="C511" s="2">
        <f t="shared" si="21"/>
        <v>24</v>
      </c>
      <c r="D511" s="3">
        <v>84</v>
      </c>
      <c r="E511" s="70">
        <f>[1]DETAY!$A$2</f>
        <v>0</v>
      </c>
      <c r="F511" s="71">
        <f t="shared" si="20"/>
        <v>70</v>
      </c>
      <c r="G511" s="72">
        <f t="shared" si="22"/>
        <v>14</v>
      </c>
      <c r="H511" s="75">
        <f t="shared" si="23"/>
        <v>0.83333333333333337</v>
      </c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>
        <v>14</v>
      </c>
      <c r="AV511" s="2"/>
      <c r="AW511" s="2"/>
      <c r="AX511" s="2"/>
      <c r="AY511" s="2"/>
      <c r="AZ511" s="2"/>
      <c r="BA511" s="2"/>
      <c r="BB511" s="2"/>
      <c r="BC511" s="2"/>
      <c r="BD511" s="2"/>
      <c r="BF511" s="1"/>
    </row>
    <row r="512" spans="1:58" s="22" customFormat="1" x14ac:dyDescent="0.25">
      <c r="A512" s="5" t="s">
        <v>22</v>
      </c>
      <c r="B512" s="4">
        <v>46181</v>
      </c>
      <c r="C512" s="2">
        <f t="shared" si="21"/>
        <v>24</v>
      </c>
      <c r="D512" s="3">
        <v>1214</v>
      </c>
      <c r="E512" s="70">
        <f>[1]DETAY!$A$2</f>
        <v>0</v>
      </c>
      <c r="F512" s="71">
        <f t="shared" si="20"/>
        <v>1200</v>
      </c>
      <c r="G512" s="72">
        <f t="shared" si="22"/>
        <v>14</v>
      </c>
      <c r="H512" s="75">
        <f t="shared" si="23"/>
        <v>0.98846787479406917</v>
      </c>
      <c r="I512" s="2"/>
      <c r="J512" s="2"/>
      <c r="K512" s="2"/>
      <c r="L512" s="2">
        <v>14</v>
      </c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F512" s="1"/>
    </row>
    <row r="513" spans="1:58" s="22" customFormat="1" x14ac:dyDescent="0.25">
      <c r="A513" s="5" t="s">
        <v>17</v>
      </c>
      <c r="B513" s="4">
        <v>46181</v>
      </c>
      <c r="C513" s="2">
        <f t="shared" si="21"/>
        <v>24</v>
      </c>
      <c r="D513" s="3">
        <v>1415</v>
      </c>
      <c r="E513" s="70">
        <f>[1]DETAY!$A$2</f>
        <v>0</v>
      </c>
      <c r="F513" s="71">
        <f t="shared" si="20"/>
        <v>1339</v>
      </c>
      <c r="G513" s="72">
        <f t="shared" si="22"/>
        <v>76</v>
      </c>
      <c r="H513" s="75">
        <f t="shared" si="23"/>
        <v>0.94628975265017667</v>
      </c>
      <c r="I513" s="2"/>
      <c r="J513" s="2">
        <f>69+7</f>
        <v>76</v>
      </c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F513" s="1"/>
    </row>
    <row r="514" spans="1:58" s="22" customFormat="1" x14ac:dyDescent="0.25">
      <c r="A514" s="5" t="s">
        <v>10</v>
      </c>
      <c r="B514" s="4">
        <v>46181</v>
      </c>
      <c r="C514" s="2">
        <f t="shared" si="21"/>
        <v>24</v>
      </c>
      <c r="D514" s="3">
        <v>467</v>
      </c>
      <c r="E514" s="70">
        <f>[1]DETAY!$A$2</f>
        <v>0</v>
      </c>
      <c r="F514" s="71">
        <f t="shared" si="20"/>
        <v>458</v>
      </c>
      <c r="G514" s="72">
        <f t="shared" si="22"/>
        <v>9</v>
      </c>
      <c r="H514" s="75">
        <f t="shared" si="23"/>
        <v>0.98072805139186292</v>
      </c>
      <c r="I514" s="2"/>
      <c r="J514" s="2"/>
      <c r="K514" s="2"/>
      <c r="L514" s="2"/>
      <c r="M514" s="2">
        <v>9</v>
      </c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F514" s="1"/>
    </row>
    <row r="515" spans="1:58" s="22" customFormat="1" x14ac:dyDescent="0.25">
      <c r="A515" s="5" t="s">
        <v>9</v>
      </c>
      <c r="B515" s="4">
        <v>46181</v>
      </c>
      <c r="C515" s="2">
        <f t="shared" si="21"/>
        <v>24</v>
      </c>
      <c r="D515" s="3">
        <v>212</v>
      </c>
      <c r="E515" s="70">
        <f>[1]DETAY!$A$2</f>
        <v>0</v>
      </c>
      <c r="F515" s="71">
        <f t="shared" si="20"/>
        <v>210</v>
      </c>
      <c r="G515" s="72">
        <f t="shared" si="22"/>
        <v>2</v>
      </c>
      <c r="H515" s="75">
        <f t="shared" si="23"/>
        <v>0.99056603773584906</v>
      </c>
      <c r="I515" s="2"/>
      <c r="J515" s="2"/>
      <c r="K515" s="2"/>
      <c r="L515" s="2"/>
      <c r="M515" s="2">
        <v>2</v>
      </c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F515" s="1"/>
    </row>
    <row r="516" spans="1:58" s="22" customFormat="1" x14ac:dyDescent="0.25">
      <c r="A516" s="5" t="s">
        <v>22</v>
      </c>
      <c r="B516" s="4">
        <v>46181</v>
      </c>
      <c r="C516" s="2">
        <f t="shared" si="21"/>
        <v>24</v>
      </c>
      <c r="D516" s="3">
        <v>622</v>
      </c>
      <c r="E516" s="70">
        <f>[1]DETAY!$A$2</f>
        <v>0</v>
      </c>
      <c r="F516" s="71">
        <f t="shared" si="20"/>
        <v>600</v>
      </c>
      <c r="G516" s="72">
        <f t="shared" si="22"/>
        <v>22</v>
      </c>
      <c r="H516" s="75">
        <f t="shared" si="23"/>
        <v>0.96463022508038587</v>
      </c>
      <c r="I516" s="2"/>
      <c r="J516" s="2"/>
      <c r="K516" s="2"/>
      <c r="L516" s="2">
        <v>22</v>
      </c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F516" s="1"/>
    </row>
    <row r="517" spans="1:58" s="22" customFormat="1" x14ac:dyDescent="0.25">
      <c r="A517" s="5" t="s">
        <v>17</v>
      </c>
      <c r="B517" s="4">
        <v>46181</v>
      </c>
      <c r="C517" s="2">
        <f t="shared" si="21"/>
        <v>24</v>
      </c>
      <c r="D517" s="3">
        <v>812</v>
      </c>
      <c r="E517" s="70">
        <f>[1]DETAY!$A$2</f>
        <v>0</v>
      </c>
      <c r="F517" s="71">
        <f t="shared" si="20"/>
        <v>780</v>
      </c>
      <c r="G517" s="72">
        <f t="shared" si="22"/>
        <v>32</v>
      </c>
      <c r="H517" s="75">
        <f t="shared" si="23"/>
        <v>0.96059113300492616</v>
      </c>
      <c r="I517" s="2"/>
      <c r="J517" s="2">
        <v>24</v>
      </c>
      <c r="K517" s="2"/>
      <c r="L517" s="2">
        <v>8</v>
      </c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F517" s="1"/>
    </row>
    <row r="518" spans="1:58" s="22" customFormat="1" x14ac:dyDescent="0.25">
      <c r="A518" s="5" t="s">
        <v>16</v>
      </c>
      <c r="B518" s="4">
        <v>46181</v>
      </c>
      <c r="C518" s="2">
        <f t="shared" si="21"/>
        <v>24</v>
      </c>
      <c r="D518" s="3">
        <v>2613</v>
      </c>
      <c r="E518" s="70">
        <f>[1]DETAY!$A$2</f>
        <v>0</v>
      </c>
      <c r="F518" s="71">
        <f t="shared" si="20"/>
        <v>2590</v>
      </c>
      <c r="G518" s="72">
        <f t="shared" si="22"/>
        <v>23</v>
      </c>
      <c r="H518" s="75">
        <f t="shared" si="23"/>
        <v>0.99119785686949868</v>
      </c>
      <c r="I518" s="2"/>
      <c r="J518" s="2"/>
      <c r="K518" s="2"/>
      <c r="L518" s="2">
        <v>3</v>
      </c>
      <c r="M518" s="2"/>
      <c r="N518" s="2"/>
      <c r="O518" s="2"/>
      <c r="P518" s="2"/>
      <c r="Q518" s="2"/>
      <c r="R518" s="2"/>
      <c r="S518" s="2"/>
      <c r="T518" s="2">
        <v>4</v>
      </c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>
        <v>15</v>
      </c>
      <c r="AI518" s="2"/>
      <c r="AJ518" s="2">
        <v>1</v>
      </c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F518" s="1"/>
    </row>
    <row r="519" spans="1:58" s="22" customFormat="1" x14ac:dyDescent="0.25">
      <c r="A519" s="5" t="s">
        <v>11</v>
      </c>
      <c r="B519" s="4">
        <v>46181</v>
      </c>
      <c r="C519" s="2">
        <f t="shared" si="21"/>
        <v>24</v>
      </c>
      <c r="D519" s="3">
        <v>980</v>
      </c>
      <c r="E519" s="70">
        <f>[1]DETAY!$A$2</f>
        <v>0</v>
      </c>
      <c r="F519" s="71">
        <f t="shared" si="20"/>
        <v>980</v>
      </c>
      <c r="G519" s="72">
        <f t="shared" si="22"/>
        <v>0</v>
      </c>
      <c r="H519" s="75">
        <f t="shared" si="23"/>
        <v>1</v>
      </c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F519" s="1"/>
    </row>
    <row r="520" spans="1:58" s="22" customFormat="1" x14ac:dyDescent="0.25">
      <c r="A520" s="5" t="s">
        <v>10</v>
      </c>
      <c r="B520" s="4">
        <v>46181</v>
      </c>
      <c r="C520" s="2">
        <f t="shared" si="21"/>
        <v>24</v>
      </c>
      <c r="D520" s="3">
        <v>280</v>
      </c>
      <c r="E520" s="70">
        <f>[1]DETAY!$A$2</f>
        <v>0</v>
      </c>
      <c r="F520" s="71">
        <f t="shared" si="20"/>
        <v>271</v>
      </c>
      <c r="G520" s="72">
        <f t="shared" si="22"/>
        <v>9</v>
      </c>
      <c r="H520" s="75">
        <f t="shared" si="23"/>
        <v>0.96785714285714286</v>
      </c>
      <c r="I520" s="2"/>
      <c r="J520" s="2"/>
      <c r="K520" s="2"/>
      <c r="L520" s="2"/>
      <c r="M520" s="2">
        <v>9</v>
      </c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F520" s="1"/>
    </row>
    <row r="521" spans="1:58" s="22" customFormat="1" x14ac:dyDescent="0.25">
      <c r="A521" s="5" t="s">
        <v>9</v>
      </c>
      <c r="B521" s="4">
        <v>46181</v>
      </c>
      <c r="C521" s="2">
        <f t="shared" si="21"/>
        <v>24</v>
      </c>
      <c r="D521" s="3">
        <v>283</v>
      </c>
      <c r="E521" s="70">
        <f>[1]DETAY!$A$2</f>
        <v>0</v>
      </c>
      <c r="F521" s="71">
        <f t="shared" si="20"/>
        <v>273</v>
      </c>
      <c r="G521" s="72">
        <f t="shared" si="22"/>
        <v>10</v>
      </c>
      <c r="H521" s="75">
        <f t="shared" si="23"/>
        <v>0.96466431095406358</v>
      </c>
      <c r="I521" s="2"/>
      <c r="J521" s="2"/>
      <c r="K521" s="2"/>
      <c r="L521" s="2"/>
      <c r="M521" s="2">
        <v>10</v>
      </c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F521" s="1"/>
    </row>
    <row r="522" spans="1:58" s="22" customFormat="1" x14ac:dyDescent="0.25">
      <c r="A522" s="5" t="s">
        <v>8</v>
      </c>
      <c r="B522" s="4">
        <v>46181</v>
      </c>
      <c r="C522" s="2">
        <f t="shared" si="21"/>
        <v>24</v>
      </c>
      <c r="D522" s="3">
        <v>401</v>
      </c>
      <c r="E522" s="70">
        <f>[1]DETAY!$A$2</f>
        <v>0</v>
      </c>
      <c r="F522" s="71">
        <f t="shared" si="20"/>
        <v>400</v>
      </c>
      <c r="G522" s="72">
        <f t="shared" si="22"/>
        <v>1</v>
      </c>
      <c r="H522" s="75">
        <f t="shared" si="23"/>
        <v>0.99750623441396513</v>
      </c>
      <c r="I522" s="2"/>
      <c r="J522" s="2"/>
      <c r="K522" s="2"/>
      <c r="L522" s="2"/>
      <c r="M522" s="2">
        <v>1</v>
      </c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F522" s="1"/>
    </row>
    <row r="523" spans="1:58" s="22" customFormat="1" x14ac:dyDescent="0.25">
      <c r="A523" s="5" t="s">
        <v>15</v>
      </c>
      <c r="B523" s="4">
        <v>46181</v>
      </c>
      <c r="C523" s="2">
        <f t="shared" si="21"/>
        <v>24</v>
      </c>
      <c r="D523" s="3">
        <v>660</v>
      </c>
      <c r="E523" s="70">
        <f>[1]DETAY!$A$2</f>
        <v>0</v>
      </c>
      <c r="F523" s="71">
        <f t="shared" si="20"/>
        <v>660</v>
      </c>
      <c r="G523" s="72">
        <f t="shared" si="22"/>
        <v>0</v>
      </c>
      <c r="H523" s="75">
        <f t="shared" si="23"/>
        <v>1</v>
      </c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F523" s="1"/>
    </row>
    <row r="524" spans="1:58" s="22" customFormat="1" x14ac:dyDescent="0.25">
      <c r="A524" s="5" t="s">
        <v>14</v>
      </c>
      <c r="B524" s="4">
        <v>46181</v>
      </c>
      <c r="C524" s="2">
        <f t="shared" si="21"/>
        <v>24</v>
      </c>
      <c r="D524" s="3">
        <v>222</v>
      </c>
      <c r="E524" s="70">
        <f>[1]DETAY!$A$2</f>
        <v>0</v>
      </c>
      <c r="F524" s="71">
        <f t="shared" si="20"/>
        <v>220</v>
      </c>
      <c r="G524" s="72">
        <f t="shared" si="22"/>
        <v>2</v>
      </c>
      <c r="H524" s="75">
        <f t="shared" si="23"/>
        <v>0.99099099099099097</v>
      </c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>
        <v>2</v>
      </c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F524" s="1"/>
    </row>
    <row r="525" spans="1:58" s="22" customFormat="1" x14ac:dyDescent="0.25">
      <c r="A525" s="5" t="s">
        <v>7</v>
      </c>
      <c r="B525" s="4">
        <v>46181</v>
      </c>
      <c r="C525" s="2">
        <f t="shared" si="21"/>
        <v>24</v>
      </c>
      <c r="D525" s="3">
        <v>896</v>
      </c>
      <c r="E525" s="70">
        <f>[1]DETAY!$A$2</f>
        <v>0</v>
      </c>
      <c r="F525" s="71">
        <f t="shared" si="20"/>
        <v>896</v>
      </c>
      <c r="G525" s="72">
        <f t="shared" si="22"/>
        <v>0</v>
      </c>
      <c r="H525" s="75">
        <f t="shared" si="23"/>
        <v>1</v>
      </c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F525" s="1"/>
    </row>
    <row r="526" spans="1:58" s="22" customFormat="1" x14ac:dyDescent="0.25">
      <c r="A526" s="5" t="s">
        <v>85</v>
      </c>
      <c r="B526" s="4">
        <v>46181</v>
      </c>
      <c r="C526" s="2">
        <f t="shared" si="21"/>
        <v>24</v>
      </c>
      <c r="D526" s="3">
        <v>140</v>
      </c>
      <c r="E526" s="70">
        <f>[1]DETAY!$A$2</f>
        <v>0</v>
      </c>
      <c r="F526" s="71">
        <f t="shared" si="20"/>
        <v>140</v>
      </c>
      <c r="G526" s="72">
        <f t="shared" si="22"/>
        <v>0</v>
      </c>
      <c r="H526" s="75">
        <f t="shared" si="23"/>
        <v>1</v>
      </c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F526" s="1"/>
    </row>
    <row r="527" spans="1:58" s="22" customFormat="1" x14ac:dyDescent="0.25">
      <c r="A527" s="5" t="s">
        <v>4</v>
      </c>
      <c r="B527" s="4">
        <v>46181</v>
      </c>
      <c r="C527" s="2">
        <f t="shared" si="21"/>
        <v>24</v>
      </c>
      <c r="D527" s="3">
        <v>155</v>
      </c>
      <c r="E527" s="70">
        <f>[1]DETAY!$A$2</f>
        <v>0</v>
      </c>
      <c r="F527" s="71">
        <f t="shared" si="20"/>
        <v>154</v>
      </c>
      <c r="G527" s="72">
        <f t="shared" si="22"/>
        <v>1</v>
      </c>
      <c r="H527" s="75">
        <f t="shared" si="23"/>
        <v>0.99354838709677418</v>
      </c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>
        <v>1</v>
      </c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F527" s="1"/>
    </row>
    <row r="528" spans="1:58" s="22" customFormat="1" x14ac:dyDescent="0.25">
      <c r="A528" s="5" t="s">
        <v>1</v>
      </c>
      <c r="B528" s="4">
        <v>46181</v>
      </c>
      <c r="C528" s="2">
        <f t="shared" si="21"/>
        <v>24</v>
      </c>
      <c r="D528" s="3">
        <v>342</v>
      </c>
      <c r="E528" s="70">
        <f>[1]DETAY!$A$2</f>
        <v>0</v>
      </c>
      <c r="F528" s="71">
        <f t="shared" si="20"/>
        <v>315</v>
      </c>
      <c r="G528" s="72">
        <f t="shared" si="22"/>
        <v>27</v>
      </c>
      <c r="H528" s="75">
        <f t="shared" si="23"/>
        <v>0.92105263157894735</v>
      </c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>
        <v>27</v>
      </c>
      <c r="AV528" s="2"/>
      <c r="AW528" s="2"/>
      <c r="AX528" s="2"/>
      <c r="AY528" s="2"/>
      <c r="AZ528" s="2"/>
      <c r="BA528" s="2"/>
      <c r="BB528" s="2"/>
      <c r="BC528" s="2"/>
      <c r="BD528" s="2"/>
      <c r="BF528" s="1"/>
    </row>
    <row r="529" spans="1:58" s="22" customFormat="1" x14ac:dyDescent="0.25">
      <c r="A529" s="5" t="s">
        <v>0</v>
      </c>
      <c r="B529" s="4">
        <v>46181</v>
      </c>
      <c r="C529" s="2">
        <f t="shared" si="21"/>
        <v>24</v>
      </c>
      <c r="D529" s="3">
        <v>258</v>
      </c>
      <c r="E529" s="70">
        <f>[1]DETAY!$A$2</f>
        <v>0</v>
      </c>
      <c r="F529" s="71">
        <f t="shared" si="20"/>
        <v>245</v>
      </c>
      <c r="G529" s="72">
        <f t="shared" si="22"/>
        <v>13</v>
      </c>
      <c r="H529" s="75">
        <f t="shared" si="23"/>
        <v>0.94961240310077522</v>
      </c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>
        <v>13</v>
      </c>
      <c r="AV529" s="2"/>
      <c r="AW529" s="2"/>
      <c r="AX529" s="2"/>
      <c r="AY529" s="2"/>
      <c r="AZ529" s="2"/>
      <c r="BA529" s="2"/>
      <c r="BB529" s="2"/>
      <c r="BC529" s="2"/>
      <c r="BD529" s="2"/>
      <c r="BF529" s="1"/>
    </row>
    <row r="530" spans="1:58" s="22" customFormat="1" x14ac:dyDescent="0.25">
      <c r="A530" s="5" t="s">
        <v>18</v>
      </c>
      <c r="B530" s="4">
        <v>46182</v>
      </c>
      <c r="C530" s="2">
        <f t="shared" si="21"/>
        <v>24</v>
      </c>
      <c r="D530" s="3">
        <v>350</v>
      </c>
      <c r="E530" s="70">
        <f>[1]DETAY!$A$2</f>
        <v>0</v>
      </c>
      <c r="F530" s="71">
        <f t="shared" ref="F530:F593" si="24">D530-G530</f>
        <v>330</v>
      </c>
      <c r="G530" s="72">
        <f t="shared" si="22"/>
        <v>20</v>
      </c>
      <c r="H530" s="75">
        <f t="shared" si="23"/>
        <v>0.94285714285714284</v>
      </c>
      <c r="I530" s="2"/>
      <c r="J530" s="2">
        <v>12</v>
      </c>
      <c r="K530" s="2"/>
      <c r="L530" s="2">
        <v>8</v>
      </c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F530" s="1"/>
    </row>
    <row r="531" spans="1:58" s="22" customFormat="1" x14ac:dyDescent="0.25">
      <c r="A531" s="5" t="s">
        <v>22</v>
      </c>
      <c r="B531" s="4">
        <v>46182</v>
      </c>
      <c r="C531" s="2">
        <f t="shared" si="21"/>
        <v>24</v>
      </c>
      <c r="D531" s="3">
        <v>600</v>
      </c>
      <c r="E531" s="70">
        <f>[1]DETAY!$A$2</f>
        <v>0</v>
      </c>
      <c r="F531" s="71">
        <f t="shared" si="24"/>
        <v>600</v>
      </c>
      <c r="G531" s="72">
        <f t="shared" si="22"/>
        <v>0</v>
      </c>
      <c r="H531" s="75">
        <f t="shared" si="23"/>
        <v>1</v>
      </c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F531" s="1"/>
    </row>
    <row r="532" spans="1:58" s="22" customFormat="1" x14ac:dyDescent="0.25">
      <c r="A532" s="5" t="s">
        <v>21</v>
      </c>
      <c r="B532" s="4">
        <v>46182</v>
      </c>
      <c r="C532" s="2">
        <f t="shared" si="21"/>
        <v>24</v>
      </c>
      <c r="D532" s="3">
        <v>700</v>
      </c>
      <c r="E532" s="70">
        <f>[1]DETAY!$A$2</f>
        <v>0</v>
      </c>
      <c r="F532" s="71">
        <f t="shared" si="24"/>
        <v>675</v>
      </c>
      <c r="G532" s="72">
        <f t="shared" si="22"/>
        <v>25</v>
      </c>
      <c r="H532" s="75">
        <f t="shared" si="23"/>
        <v>0.9642857142857143</v>
      </c>
      <c r="I532" s="2"/>
      <c r="J532" s="2">
        <v>20</v>
      </c>
      <c r="K532" s="2"/>
      <c r="L532" s="2">
        <v>5</v>
      </c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F532" s="1"/>
    </row>
    <row r="533" spans="1:58" s="22" customFormat="1" x14ac:dyDescent="0.25">
      <c r="A533" s="5" t="s">
        <v>10</v>
      </c>
      <c r="B533" s="4">
        <v>46182</v>
      </c>
      <c r="C533" s="2">
        <f t="shared" si="21"/>
        <v>24</v>
      </c>
      <c r="D533" s="3">
        <v>451</v>
      </c>
      <c r="E533" s="70">
        <f>[1]DETAY!$A$2</f>
        <v>0</v>
      </c>
      <c r="F533" s="71">
        <f t="shared" si="24"/>
        <v>426</v>
      </c>
      <c r="G533" s="72">
        <f t="shared" si="22"/>
        <v>25</v>
      </c>
      <c r="H533" s="75">
        <f t="shared" si="23"/>
        <v>0.94456762749445677</v>
      </c>
      <c r="I533" s="2"/>
      <c r="J533" s="2"/>
      <c r="K533" s="2"/>
      <c r="L533" s="2"/>
      <c r="M533" s="2">
        <v>25</v>
      </c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F533" s="1"/>
    </row>
    <row r="534" spans="1:58" s="22" customFormat="1" x14ac:dyDescent="0.25">
      <c r="A534" s="5" t="s">
        <v>9</v>
      </c>
      <c r="B534" s="4">
        <v>46182</v>
      </c>
      <c r="C534" s="2">
        <f t="shared" si="21"/>
        <v>24</v>
      </c>
      <c r="D534" s="3">
        <v>267</v>
      </c>
      <c r="E534" s="70">
        <f>[1]DETAY!$A$2</f>
        <v>0</v>
      </c>
      <c r="F534" s="71">
        <f t="shared" si="24"/>
        <v>252</v>
      </c>
      <c r="G534" s="72">
        <f t="shared" si="22"/>
        <v>15</v>
      </c>
      <c r="H534" s="75">
        <f t="shared" si="23"/>
        <v>0.9438202247191011</v>
      </c>
      <c r="I534" s="2"/>
      <c r="J534" s="2"/>
      <c r="K534" s="2"/>
      <c r="L534" s="2"/>
      <c r="M534" s="2">
        <v>15</v>
      </c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F534" s="1"/>
    </row>
    <row r="535" spans="1:58" s="22" customFormat="1" x14ac:dyDescent="0.25">
      <c r="A535" s="5" t="s">
        <v>16</v>
      </c>
      <c r="B535" s="4">
        <v>46182</v>
      </c>
      <c r="C535" s="2">
        <f t="shared" si="21"/>
        <v>24</v>
      </c>
      <c r="D535" s="3">
        <v>2310</v>
      </c>
      <c r="E535" s="70">
        <f>[1]DETAY!$A$2</f>
        <v>0</v>
      </c>
      <c r="F535" s="71">
        <f t="shared" si="24"/>
        <v>2240</v>
      </c>
      <c r="G535" s="72">
        <f t="shared" si="22"/>
        <v>70</v>
      </c>
      <c r="H535" s="75">
        <f t="shared" si="23"/>
        <v>0.96969696969696972</v>
      </c>
      <c r="I535" s="2"/>
      <c r="J535" s="2"/>
      <c r="K535" s="2">
        <v>6</v>
      </c>
      <c r="L535" s="2"/>
      <c r="M535" s="2">
        <v>22</v>
      </c>
      <c r="N535" s="2"/>
      <c r="O535" s="2">
        <v>2</v>
      </c>
      <c r="P535" s="2"/>
      <c r="Q535" s="2"/>
      <c r="R535" s="2"/>
      <c r="S535" s="2"/>
      <c r="T535" s="2">
        <v>1</v>
      </c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>
        <v>10</v>
      </c>
      <c r="AI535" s="2"/>
      <c r="AJ535" s="2">
        <v>29</v>
      </c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F535" s="1"/>
    </row>
    <row r="536" spans="1:58" s="22" customFormat="1" x14ac:dyDescent="0.25">
      <c r="A536" s="5" t="s">
        <v>15</v>
      </c>
      <c r="B536" s="4">
        <v>46182</v>
      </c>
      <c r="C536" s="2">
        <f t="shared" si="21"/>
        <v>24</v>
      </c>
      <c r="D536" s="3">
        <v>440</v>
      </c>
      <c r="E536" s="70">
        <f>[1]DETAY!$A$2</f>
        <v>0</v>
      </c>
      <c r="F536" s="71">
        <f t="shared" si="24"/>
        <v>440</v>
      </c>
      <c r="G536" s="72">
        <f t="shared" si="22"/>
        <v>0</v>
      </c>
      <c r="H536" s="75">
        <f t="shared" si="23"/>
        <v>1</v>
      </c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F536" s="1"/>
    </row>
    <row r="537" spans="1:58" s="22" customFormat="1" x14ac:dyDescent="0.25">
      <c r="A537" s="5" t="s">
        <v>7</v>
      </c>
      <c r="B537" s="4">
        <v>46182</v>
      </c>
      <c r="C537" s="2">
        <f t="shared" si="21"/>
        <v>24</v>
      </c>
      <c r="D537" s="3">
        <v>192</v>
      </c>
      <c r="E537" s="70">
        <f>[1]DETAY!$A$2</f>
        <v>0</v>
      </c>
      <c r="F537" s="71">
        <f t="shared" si="24"/>
        <v>192</v>
      </c>
      <c r="G537" s="72">
        <f t="shared" si="22"/>
        <v>0</v>
      </c>
      <c r="H537" s="75">
        <f t="shared" si="23"/>
        <v>1</v>
      </c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F537" s="1"/>
    </row>
    <row r="538" spans="1:58" s="22" customFormat="1" x14ac:dyDescent="0.25">
      <c r="A538" s="5" t="s">
        <v>8</v>
      </c>
      <c r="B538" s="4">
        <v>46182</v>
      </c>
      <c r="C538" s="2">
        <f t="shared" si="21"/>
        <v>24</v>
      </c>
      <c r="D538" s="3">
        <v>650</v>
      </c>
      <c r="E538" s="70">
        <f>[1]DETAY!$A$2</f>
        <v>0</v>
      </c>
      <c r="F538" s="71">
        <f t="shared" si="24"/>
        <v>650</v>
      </c>
      <c r="G538" s="72">
        <f t="shared" si="22"/>
        <v>0</v>
      </c>
      <c r="H538" s="75">
        <f t="shared" si="23"/>
        <v>1</v>
      </c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F538" s="1"/>
    </row>
    <row r="539" spans="1:58" s="22" customFormat="1" x14ac:dyDescent="0.25">
      <c r="A539" s="5" t="s">
        <v>85</v>
      </c>
      <c r="B539" s="4">
        <v>46182</v>
      </c>
      <c r="C539" s="2">
        <f t="shared" si="21"/>
        <v>24</v>
      </c>
      <c r="D539" s="3">
        <v>220</v>
      </c>
      <c r="E539" s="70">
        <f>[1]DETAY!$A$2</f>
        <v>0</v>
      </c>
      <c r="F539" s="71">
        <f t="shared" si="24"/>
        <v>220</v>
      </c>
      <c r="G539" s="72">
        <f t="shared" si="22"/>
        <v>0</v>
      </c>
      <c r="H539" s="75">
        <f t="shared" si="23"/>
        <v>1</v>
      </c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F539" s="1"/>
    </row>
    <row r="540" spans="1:58" s="22" customFormat="1" x14ac:dyDescent="0.25">
      <c r="A540" s="5" t="s">
        <v>14</v>
      </c>
      <c r="B540" s="4">
        <v>46182</v>
      </c>
      <c r="C540" s="2">
        <f t="shared" si="21"/>
        <v>24</v>
      </c>
      <c r="D540" s="3">
        <v>162</v>
      </c>
      <c r="E540" s="70">
        <f>[1]DETAY!$A$2</f>
        <v>0</v>
      </c>
      <c r="F540" s="71">
        <f t="shared" si="24"/>
        <v>162</v>
      </c>
      <c r="G540" s="72">
        <f t="shared" si="22"/>
        <v>0</v>
      </c>
      <c r="H540" s="75">
        <f t="shared" si="23"/>
        <v>1</v>
      </c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F540" s="1"/>
    </row>
    <row r="541" spans="1:58" s="22" customFormat="1" x14ac:dyDescent="0.25">
      <c r="A541" s="5" t="s">
        <v>4</v>
      </c>
      <c r="B541" s="4">
        <v>46182</v>
      </c>
      <c r="C541" s="2">
        <f t="shared" si="21"/>
        <v>24</v>
      </c>
      <c r="D541" s="3">
        <v>230</v>
      </c>
      <c r="E541" s="70">
        <f>[1]DETAY!$A$2</f>
        <v>0</v>
      </c>
      <c r="F541" s="71">
        <f t="shared" si="24"/>
        <v>230</v>
      </c>
      <c r="G541" s="72">
        <f t="shared" si="22"/>
        <v>0</v>
      </c>
      <c r="H541" s="75">
        <f t="shared" si="23"/>
        <v>1</v>
      </c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F541" s="1"/>
    </row>
    <row r="542" spans="1:58" s="22" customFormat="1" x14ac:dyDescent="0.25">
      <c r="A542" s="5" t="s">
        <v>1</v>
      </c>
      <c r="B542" s="4">
        <v>46182</v>
      </c>
      <c r="C542" s="2">
        <f t="shared" si="21"/>
        <v>24</v>
      </c>
      <c r="D542" s="3">
        <f>315+120</f>
        <v>435</v>
      </c>
      <c r="E542" s="70">
        <f>[1]DETAY!$A$2</f>
        <v>0</v>
      </c>
      <c r="F542" s="71">
        <f t="shared" si="24"/>
        <v>315</v>
      </c>
      <c r="G542" s="72">
        <f t="shared" si="22"/>
        <v>120</v>
      </c>
      <c r="H542" s="75">
        <f t="shared" si="23"/>
        <v>0.72413793103448276</v>
      </c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>
        <v>120</v>
      </c>
      <c r="AV542" s="2"/>
      <c r="AW542" s="2"/>
      <c r="AX542" s="2"/>
      <c r="AY542" s="2"/>
      <c r="AZ542" s="2"/>
      <c r="BA542" s="2"/>
      <c r="BB542" s="2"/>
      <c r="BC542" s="2"/>
      <c r="BD542" s="2"/>
      <c r="BF542" s="1"/>
    </row>
    <row r="543" spans="1:58" s="22" customFormat="1" x14ac:dyDescent="0.25">
      <c r="A543" s="5" t="s">
        <v>0</v>
      </c>
      <c r="B543" s="4">
        <v>46182</v>
      </c>
      <c r="C543" s="2">
        <f t="shared" si="21"/>
        <v>24</v>
      </c>
      <c r="D543" s="3">
        <f>175+20</f>
        <v>195</v>
      </c>
      <c r="E543" s="70">
        <f>[1]DETAY!$A$2</f>
        <v>0</v>
      </c>
      <c r="F543" s="71">
        <f t="shared" si="24"/>
        <v>175</v>
      </c>
      <c r="G543" s="72">
        <f t="shared" si="22"/>
        <v>20</v>
      </c>
      <c r="H543" s="75">
        <f t="shared" si="23"/>
        <v>0.89743589743589747</v>
      </c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>
        <v>20</v>
      </c>
      <c r="AV543" s="2"/>
      <c r="AW543" s="2"/>
      <c r="AX543" s="2"/>
      <c r="AY543" s="2"/>
      <c r="AZ543" s="2"/>
      <c r="BA543" s="2"/>
      <c r="BB543" s="2"/>
      <c r="BC543" s="2"/>
      <c r="BD543" s="2"/>
      <c r="BF543" s="1"/>
    </row>
    <row r="544" spans="1:58" s="22" customFormat="1" x14ac:dyDescent="0.25">
      <c r="A544" s="5" t="s">
        <v>8</v>
      </c>
      <c r="B544" s="4">
        <v>46182</v>
      </c>
      <c r="C544" s="2">
        <f t="shared" si="21"/>
        <v>24</v>
      </c>
      <c r="D544" s="3">
        <v>300</v>
      </c>
      <c r="E544" s="70">
        <f>[1]DETAY!$A$2</f>
        <v>0</v>
      </c>
      <c r="F544" s="71">
        <f t="shared" si="24"/>
        <v>300</v>
      </c>
      <c r="G544" s="72">
        <f t="shared" si="22"/>
        <v>0</v>
      </c>
      <c r="H544" s="75">
        <f t="shared" si="23"/>
        <v>1</v>
      </c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F544" s="1"/>
    </row>
    <row r="545" spans="1:58" s="22" customFormat="1" x14ac:dyDescent="0.25">
      <c r="A545" s="5" t="s">
        <v>15</v>
      </c>
      <c r="B545" s="4">
        <v>46182</v>
      </c>
      <c r="C545" s="2">
        <f t="shared" si="21"/>
        <v>24</v>
      </c>
      <c r="D545" s="3">
        <v>454</v>
      </c>
      <c r="E545" s="70">
        <f>[1]DETAY!$A$2</f>
        <v>0</v>
      </c>
      <c r="F545" s="71">
        <f t="shared" si="24"/>
        <v>440</v>
      </c>
      <c r="G545" s="72">
        <f t="shared" si="22"/>
        <v>14</v>
      </c>
      <c r="H545" s="75">
        <f t="shared" si="23"/>
        <v>0.96916299559471364</v>
      </c>
      <c r="I545" s="2"/>
      <c r="J545" s="2"/>
      <c r="K545" s="2"/>
      <c r="L545" s="2"/>
      <c r="M545" s="2"/>
      <c r="N545" s="2"/>
      <c r="O545" s="2">
        <v>14</v>
      </c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F545" s="1"/>
    </row>
    <row r="546" spans="1:58" s="22" customFormat="1" x14ac:dyDescent="0.25">
      <c r="A546" s="5" t="s">
        <v>14</v>
      </c>
      <c r="B546" s="4">
        <v>46182</v>
      </c>
      <c r="C546" s="2">
        <f t="shared" si="21"/>
        <v>24</v>
      </c>
      <c r="D546" s="3">
        <v>220</v>
      </c>
      <c r="E546" s="70">
        <f>[1]DETAY!$A$2</f>
        <v>0</v>
      </c>
      <c r="F546" s="71">
        <f t="shared" si="24"/>
        <v>220</v>
      </c>
      <c r="G546" s="72">
        <f t="shared" si="22"/>
        <v>0</v>
      </c>
      <c r="H546" s="75">
        <f t="shared" si="23"/>
        <v>1</v>
      </c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F546" s="1"/>
    </row>
    <row r="547" spans="1:58" s="22" customFormat="1" x14ac:dyDescent="0.25">
      <c r="A547" s="5" t="s">
        <v>7</v>
      </c>
      <c r="B547" s="4">
        <v>46182</v>
      </c>
      <c r="C547" s="2">
        <f t="shared" si="21"/>
        <v>24</v>
      </c>
      <c r="D547" s="3">
        <v>256</v>
      </c>
      <c r="E547" s="70">
        <f>[1]DETAY!$A$2</f>
        <v>0</v>
      </c>
      <c r="F547" s="71">
        <f t="shared" si="24"/>
        <v>256</v>
      </c>
      <c r="G547" s="72">
        <f t="shared" si="22"/>
        <v>0</v>
      </c>
      <c r="H547" s="75">
        <f t="shared" si="23"/>
        <v>1</v>
      </c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F547" s="1"/>
    </row>
    <row r="548" spans="1:58" s="22" customFormat="1" x14ac:dyDescent="0.25">
      <c r="A548" s="5" t="s">
        <v>6</v>
      </c>
      <c r="B548" s="4">
        <v>46182</v>
      </c>
      <c r="C548" s="2">
        <f t="shared" si="21"/>
        <v>24</v>
      </c>
      <c r="D548" s="3">
        <v>231</v>
      </c>
      <c r="E548" s="70">
        <f>[1]DETAY!$A$2</f>
        <v>0</v>
      </c>
      <c r="F548" s="71">
        <f t="shared" si="24"/>
        <v>231</v>
      </c>
      <c r="G548" s="72">
        <f t="shared" si="22"/>
        <v>0</v>
      </c>
      <c r="H548" s="75">
        <f t="shared" si="23"/>
        <v>1</v>
      </c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F548" s="1"/>
    </row>
    <row r="549" spans="1:58" s="22" customFormat="1" x14ac:dyDescent="0.25">
      <c r="A549" s="5" t="s">
        <v>1</v>
      </c>
      <c r="B549" s="4">
        <v>46182</v>
      </c>
      <c r="C549" s="2">
        <f t="shared" si="21"/>
        <v>24</v>
      </c>
      <c r="D549" s="3">
        <v>154</v>
      </c>
      <c r="E549" s="70">
        <f>[1]DETAY!$A$2</f>
        <v>0</v>
      </c>
      <c r="F549" s="71">
        <f t="shared" si="24"/>
        <v>70</v>
      </c>
      <c r="G549" s="72">
        <f t="shared" si="22"/>
        <v>84</v>
      </c>
      <c r="H549" s="75">
        <f t="shared" si="23"/>
        <v>0.45454545454545453</v>
      </c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>
        <v>84</v>
      </c>
      <c r="AV549" s="2"/>
      <c r="AW549" s="2"/>
      <c r="AX549" s="2"/>
      <c r="AY549" s="2"/>
      <c r="AZ549" s="2"/>
      <c r="BA549" s="2"/>
      <c r="BB549" s="2"/>
      <c r="BC549" s="2"/>
      <c r="BD549" s="2"/>
      <c r="BF549" s="1"/>
    </row>
    <row r="550" spans="1:58" s="22" customFormat="1" x14ac:dyDescent="0.25">
      <c r="A550" s="5" t="s">
        <v>0</v>
      </c>
      <c r="B550" s="4">
        <v>46182</v>
      </c>
      <c r="C550" s="2">
        <f t="shared" si="21"/>
        <v>24</v>
      </c>
      <c r="D550" s="3">
        <v>70</v>
      </c>
      <c r="E550" s="70">
        <f>[1]DETAY!$A$2</f>
        <v>0</v>
      </c>
      <c r="F550" s="71">
        <f t="shared" si="24"/>
        <v>60</v>
      </c>
      <c r="G550" s="72">
        <f t="shared" si="22"/>
        <v>10</v>
      </c>
      <c r="H550" s="75">
        <f t="shared" si="23"/>
        <v>0.8571428571428571</v>
      </c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>
        <v>10</v>
      </c>
      <c r="AV550" s="2"/>
      <c r="AW550" s="2"/>
      <c r="AX550" s="2"/>
      <c r="AY550" s="2"/>
      <c r="AZ550" s="2"/>
      <c r="BA550" s="2"/>
      <c r="BB550" s="2"/>
      <c r="BC550" s="2"/>
      <c r="BD550" s="2"/>
      <c r="BF550" s="1"/>
    </row>
    <row r="551" spans="1:58" s="22" customFormat="1" x14ac:dyDescent="0.25">
      <c r="A551" s="5" t="s">
        <v>22</v>
      </c>
      <c r="B551" s="4">
        <v>46182</v>
      </c>
      <c r="C551" s="2">
        <f t="shared" si="21"/>
        <v>24</v>
      </c>
      <c r="D551" s="3">
        <v>1132</v>
      </c>
      <c r="E551" s="70">
        <f>[1]DETAY!$A$2</f>
        <v>0</v>
      </c>
      <c r="F551" s="71">
        <f t="shared" si="24"/>
        <v>1106</v>
      </c>
      <c r="G551" s="72">
        <f t="shared" si="22"/>
        <v>26</v>
      </c>
      <c r="H551" s="75">
        <f t="shared" si="23"/>
        <v>0.97703180212014129</v>
      </c>
      <c r="I551" s="2"/>
      <c r="J551" s="2"/>
      <c r="K551" s="2"/>
      <c r="L551" s="2">
        <v>26</v>
      </c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F551" s="1"/>
    </row>
    <row r="552" spans="1:58" s="22" customFormat="1" x14ac:dyDescent="0.25">
      <c r="A552" s="5" t="s">
        <v>21</v>
      </c>
      <c r="B552" s="4">
        <v>46182</v>
      </c>
      <c r="C552" s="2">
        <f t="shared" si="21"/>
        <v>24</v>
      </c>
      <c r="D552" s="3">
        <v>604</v>
      </c>
      <c r="E552" s="70">
        <f>[1]DETAY!$A$2</f>
        <v>0</v>
      </c>
      <c r="F552" s="71">
        <f t="shared" si="24"/>
        <v>600</v>
      </c>
      <c r="G552" s="72">
        <f t="shared" si="22"/>
        <v>4</v>
      </c>
      <c r="H552" s="75">
        <f t="shared" si="23"/>
        <v>0.99337748344370858</v>
      </c>
      <c r="I552" s="2"/>
      <c r="J552" s="2"/>
      <c r="K552" s="2"/>
      <c r="L552" s="2">
        <v>4</v>
      </c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F552" s="1"/>
    </row>
    <row r="553" spans="1:58" s="22" customFormat="1" x14ac:dyDescent="0.25">
      <c r="A553" s="5" t="s">
        <v>19</v>
      </c>
      <c r="B553" s="4">
        <v>46182</v>
      </c>
      <c r="C553" s="2">
        <f t="shared" si="21"/>
        <v>24</v>
      </c>
      <c r="D553" s="3">
        <v>1700</v>
      </c>
      <c r="E553" s="70">
        <f>[1]DETAY!$A$2</f>
        <v>0</v>
      </c>
      <c r="F553" s="71">
        <f t="shared" si="24"/>
        <v>1610</v>
      </c>
      <c r="G553" s="72">
        <f t="shared" si="22"/>
        <v>90</v>
      </c>
      <c r="H553" s="75">
        <f t="shared" si="23"/>
        <v>0.94705882352941173</v>
      </c>
      <c r="I553" s="2"/>
      <c r="J553" s="2">
        <v>88</v>
      </c>
      <c r="K553" s="2"/>
      <c r="L553" s="2">
        <v>2</v>
      </c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F553" s="1"/>
    </row>
    <row r="554" spans="1:58" s="22" customFormat="1" x14ac:dyDescent="0.25">
      <c r="A554" s="5" t="s">
        <v>17</v>
      </c>
      <c r="B554" s="4">
        <v>46182</v>
      </c>
      <c r="C554" s="2">
        <f t="shared" si="21"/>
        <v>24</v>
      </c>
      <c r="D554" s="3">
        <v>350</v>
      </c>
      <c r="E554" s="70">
        <f>[1]DETAY!$A$2</f>
        <v>0</v>
      </c>
      <c r="F554" s="71">
        <f t="shared" si="24"/>
        <v>350</v>
      </c>
      <c r="G554" s="72">
        <f t="shared" si="22"/>
        <v>0</v>
      </c>
      <c r="H554" s="75">
        <f t="shared" si="23"/>
        <v>1</v>
      </c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F554" s="1"/>
    </row>
    <row r="555" spans="1:58" s="22" customFormat="1" x14ac:dyDescent="0.25">
      <c r="A555" s="5" t="s">
        <v>16</v>
      </c>
      <c r="B555" s="4">
        <v>46182</v>
      </c>
      <c r="C555" s="2">
        <f t="shared" si="21"/>
        <v>24</v>
      </c>
      <c r="D555" s="3">
        <v>465</v>
      </c>
      <c r="E555" s="70">
        <f>[1]DETAY!$A$2</f>
        <v>0</v>
      </c>
      <c r="F555" s="71">
        <f t="shared" si="24"/>
        <v>455</v>
      </c>
      <c r="G555" s="72">
        <f t="shared" si="22"/>
        <v>10</v>
      </c>
      <c r="H555" s="75">
        <f t="shared" si="23"/>
        <v>0.978494623655914</v>
      </c>
      <c r="I555" s="2"/>
      <c r="J555" s="2"/>
      <c r="K555" s="2">
        <v>1</v>
      </c>
      <c r="L555" s="2">
        <v>1</v>
      </c>
      <c r="M555" s="2"/>
      <c r="N555" s="2"/>
      <c r="O555" s="2"/>
      <c r="P555" s="2"/>
      <c r="Q555" s="2">
        <v>1</v>
      </c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>
        <v>6</v>
      </c>
      <c r="AI555" s="2"/>
      <c r="AJ555" s="2">
        <v>1</v>
      </c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F555" s="1"/>
    </row>
    <row r="556" spans="1:58" s="22" customFormat="1" x14ac:dyDescent="0.25">
      <c r="A556" s="5" t="s">
        <v>10</v>
      </c>
      <c r="B556" s="4">
        <v>46182</v>
      </c>
      <c r="C556" s="2">
        <f t="shared" si="21"/>
        <v>24</v>
      </c>
      <c r="D556" s="3">
        <v>603</v>
      </c>
      <c r="E556" s="70">
        <f>[1]DETAY!$A$2</f>
        <v>0</v>
      </c>
      <c r="F556" s="71">
        <f t="shared" si="24"/>
        <v>600</v>
      </c>
      <c r="G556" s="72">
        <f t="shared" si="22"/>
        <v>3</v>
      </c>
      <c r="H556" s="75">
        <f t="shared" si="23"/>
        <v>0.99502487562189057</v>
      </c>
      <c r="I556" s="2"/>
      <c r="J556" s="2"/>
      <c r="K556" s="2"/>
      <c r="L556" s="2">
        <v>3</v>
      </c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F556" s="1"/>
    </row>
    <row r="557" spans="1:58" s="22" customFormat="1" x14ac:dyDescent="0.25">
      <c r="A557" s="5" t="s">
        <v>9</v>
      </c>
      <c r="B557" s="4">
        <v>46182</v>
      </c>
      <c r="C557" s="2">
        <f t="shared" ref="C557:C620" si="25">WEEKNUM(B557)</f>
        <v>24</v>
      </c>
      <c r="D557" s="3">
        <v>486</v>
      </c>
      <c r="E557" s="70">
        <f>[1]DETAY!$A$2</f>
        <v>0</v>
      </c>
      <c r="F557" s="71">
        <f t="shared" si="24"/>
        <v>480</v>
      </c>
      <c r="G557" s="72">
        <f t="shared" ref="G557:G620" si="26">SUBTOTAL(9,I557:BD557)</f>
        <v>6</v>
      </c>
      <c r="H557" s="75">
        <f t="shared" ref="H557:H620" si="27">F557/D557</f>
        <v>0.98765432098765427</v>
      </c>
      <c r="I557" s="2"/>
      <c r="J557" s="2"/>
      <c r="K557" s="2"/>
      <c r="L557" s="2">
        <v>6</v>
      </c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F557" s="1"/>
    </row>
    <row r="558" spans="1:58" s="22" customFormat="1" x14ac:dyDescent="0.25">
      <c r="A558" s="5" t="s">
        <v>8</v>
      </c>
      <c r="B558" s="4">
        <v>46182</v>
      </c>
      <c r="C558" s="2">
        <f t="shared" si="25"/>
        <v>24</v>
      </c>
      <c r="D558" s="3">
        <v>335</v>
      </c>
      <c r="E558" s="70">
        <f>[1]DETAY!$A$2</f>
        <v>0</v>
      </c>
      <c r="F558" s="71">
        <f t="shared" si="24"/>
        <v>300</v>
      </c>
      <c r="G558" s="72">
        <f t="shared" si="26"/>
        <v>35</v>
      </c>
      <c r="H558" s="75">
        <f t="shared" si="27"/>
        <v>0.89552238805970152</v>
      </c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>
        <v>35</v>
      </c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F558" s="1"/>
    </row>
    <row r="559" spans="1:58" s="22" customFormat="1" x14ac:dyDescent="0.25">
      <c r="A559" s="5" t="s">
        <v>15</v>
      </c>
      <c r="B559" s="4">
        <v>46182</v>
      </c>
      <c r="C559" s="2">
        <f t="shared" si="25"/>
        <v>24</v>
      </c>
      <c r="D559" s="3">
        <v>2290</v>
      </c>
      <c r="E559" s="70">
        <f>[1]DETAY!$A$2</f>
        <v>0</v>
      </c>
      <c r="F559" s="71">
        <f t="shared" si="24"/>
        <v>2200</v>
      </c>
      <c r="G559" s="72">
        <f t="shared" si="26"/>
        <v>90</v>
      </c>
      <c r="H559" s="75">
        <f t="shared" si="27"/>
        <v>0.9606986899563319</v>
      </c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>
        <v>90</v>
      </c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F559" s="1"/>
    </row>
    <row r="560" spans="1:58" s="22" customFormat="1" x14ac:dyDescent="0.25">
      <c r="A560" s="5" t="s">
        <v>81</v>
      </c>
      <c r="B560" s="4">
        <v>46182</v>
      </c>
      <c r="C560" s="2">
        <f t="shared" si="25"/>
        <v>24</v>
      </c>
      <c r="D560" s="3">
        <v>137</v>
      </c>
      <c r="E560" s="70">
        <f>[1]DETAY!$A$2</f>
        <v>0</v>
      </c>
      <c r="F560" s="71">
        <f t="shared" si="24"/>
        <v>137</v>
      </c>
      <c r="G560" s="72">
        <f t="shared" si="26"/>
        <v>0</v>
      </c>
      <c r="H560" s="75">
        <f t="shared" si="27"/>
        <v>1</v>
      </c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F560" s="1"/>
    </row>
    <row r="561" spans="1:58" s="22" customFormat="1" x14ac:dyDescent="0.25">
      <c r="A561" s="5" t="s">
        <v>14</v>
      </c>
      <c r="B561" s="4">
        <v>46182</v>
      </c>
      <c r="C561" s="2">
        <f t="shared" si="25"/>
        <v>24</v>
      </c>
      <c r="D561" s="3">
        <v>440</v>
      </c>
      <c r="E561" s="70">
        <f>[1]DETAY!$A$2</f>
        <v>0</v>
      </c>
      <c r="F561" s="71">
        <f t="shared" si="24"/>
        <v>440</v>
      </c>
      <c r="G561" s="72">
        <f t="shared" si="26"/>
        <v>0</v>
      </c>
      <c r="H561" s="75">
        <f t="shared" si="27"/>
        <v>1</v>
      </c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F561" s="1"/>
    </row>
    <row r="562" spans="1:58" s="22" customFormat="1" x14ac:dyDescent="0.25">
      <c r="A562" s="5" t="s">
        <v>7</v>
      </c>
      <c r="B562" s="4">
        <v>46182</v>
      </c>
      <c r="C562" s="2">
        <f t="shared" si="25"/>
        <v>24</v>
      </c>
      <c r="D562" s="3">
        <v>768</v>
      </c>
      <c r="E562" s="70">
        <f>[1]DETAY!$A$2</f>
        <v>0</v>
      </c>
      <c r="F562" s="71">
        <f t="shared" si="24"/>
        <v>768</v>
      </c>
      <c r="G562" s="72">
        <f t="shared" si="26"/>
        <v>0</v>
      </c>
      <c r="H562" s="75">
        <f t="shared" si="27"/>
        <v>1</v>
      </c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F562" s="1"/>
    </row>
    <row r="563" spans="1:58" s="22" customFormat="1" x14ac:dyDescent="0.25">
      <c r="A563" s="5" t="s">
        <v>3</v>
      </c>
      <c r="B563" s="4">
        <v>46182</v>
      </c>
      <c r="C563" s="2">
        <f t="shared" si="25"/>
        <v>24</v>
      </c>
      <c r="D563" s="3">
        <v>287</v>
      </c>
      <c r="E563" s="70">
        <f>[1]DETAY!$A$2</f>
        <v>0</v>
      </c>
      <c r="F563" s="71">
        <f t="shared" si="24"/>
        <v>287</v>
      </c>
      <c r="G563" s="72">
        <f t="shared" si="26"/>
        <v>0</v>
      </c>
      <c r="H563" s="75">
        <f t="shared" si="27"/>
        <v>1</v>
      </c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F563" s="1"/>
    </row>
    <row r="564" spans="1:58" s="22" customFormat="1" x14ac:dyDescent="0.25">
      <c r="A564" s="5" t="s">
        <v>4</v>
      </c>
      <c r="B564" s="4">
        <v>46182</v>
      </c>
      <c r="C564" s="2">
        <f t="shared" si="25"/>
        <v>24</v>
      </c>
      <c r="D564" s="3">
        <v>308</v>
      </c>
      <c r="E564" s="70">
        <f>[1]DETAY!$A$2</f>
        <v>0</v>
      </c>
      <c r="F564" s="71">
        <f t="shared" si="24"/>
        <v>308</v>
      </c>
      <c r="G564" s="72">
        <f t="shared" si="26"/>
        <v>0</v>
      </c>
      <c r="H564" s="75">
        <f t="shared" si="27"/>
        <v>1</v>
      </c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F564" s="1"/>
    </row>
    <row r="565" spans="1:58" s="22" customFormat="1" x14ac:dyDescent="0.25">
      <c r="A565" s="5" t="s">
        <v>6</v>
      </c>
      <c r="B565" s="4">
        <v>46182</v>
      </c>
      <c r="C565" s="2">
        <f t="shared" si="25"/>
        <v>24</v>
      </c>
      <c r="D565" s="3">
        <v>462</v>
      </c>
      <c r="E565" s="70">
        <f>[1]DETAY!$A$2</f>
        <v>0</v>
      </c>
      <c r="F565" s="71">
        <f t="shared" si="24"/>
        <v>462</v>
      </c>
      <c r="G565" s="72">
        <f t="shared" si="26"/>
        <v>0</v>
      </c>
      <c r="H565" s="75">
        <f t="shared" si="27"/>
        <v>1</v>
      </c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F565" s="1"/>
    </row>
    <row r="566" spans="1:58" s="22" customFormat="1" x14ac:dyDescent="0.25">
      <c r="A566" s="5" t="s">
        <v>1</v>
      </c>
      <c r="B566" s="4">
        <v>46182</v>
      </c>
      <c r="C566" s="2">
        <f t="shared" si="25"/>
        <v>24</v>
      </c>
      <c r="D566" s="3">
        <v>475</v>
      </c>
      <c r="E566" s="70">
        <f>[1]DETAY!$A$2</f>
        <v>0</v>
      </c>
      <c r="F566" s="71">
        <f t="shared" si="24"/>
        <v>245</v>
      </c>
      <c r="G566" s="72">
        <f t="shared" si="26"/>
        <v>230</v>
      </c>
      <c r="H566" s="75">
        <f t="shared" si="27"/>
        <v>0.51578947368421058</v>
      </c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>
        <v>230</v>
      </c>
      <c r="AV566" s="2"/>
      <c r="AW566" s="2"/>
      <c r="AX566" s="2"/>
      <c r="AY566" s="2"/>
      <c r="AZ566" s="2"/>
      <c r="BA566" s="2"/>
      <c r="BB566" s="2"/>
      <c r="BC566" s="2"/>
      <c r="BD566" s="2"/>
      <c r="BF566" s="1"/>
    </row>
    <row r="567" spans="1:58" s="22" customFormat="1" x14ac:dyDescent="0.25">
      <c r="A567" s="5" t="s">
        <v>8</v>
      </c>
      <c r="B567" s="4">
        <v>46183</v>
      </c>
      <c r="C567" s="2">
        <f t="shared" si="25"/>
        <v>24</v>
      </c>
      <c r="D567" s="3">
        <v>600</v>
      </c>
      <c r="E567" s="70">
        <f>[1]DETAY!$A$2</f>
        <v>0</v>
      </c>
      <c r="F567" s="71">
        <f t="shared" si="24"/>
        <v>600</v>
      </c>
      <c r="G567" s="72">
        <f t="shared" si="26"/>
        <v>0</v>
      </c>
      <c r="H567" s="75">
        <f t="shared" si="27"/>
        <v>1</v>
      </c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F567" s="1"/>
    </row>
    <row r="568" spans="1:58" s="22" customFormat="1" x14ac:dyDescent="0.25">
      <c r="A568" s="5" t="s">
        <v>15</v>
      </c>
      <c r="B568" s="4">
        <v>46183</v>
      </c>
      <c r="C568" s="2">
        <f t="shared" si="25"/>
        <v>24</v>
      </c>
      <c r="D568" s="3">
        <v>440</v>
      </c>
      <c r="E568" s="70">
        <f>[1]DETAY!$A$2</f>
        <v>0</v>
      </c>
      <c r="F568" s="71">
        <f t="shared" si="24"/>
        <v>440</v>
      </c>
      <c r="G568" s="72">
        <f t="shared" si="26"/>
        <v>0</v>
      </c>
      <c r="H568" s="75">
        <f t="shared" si="27"/>
        <v>1</v>
      </c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F568" s="1"/>
    </row>
    <row r="569" spans="1:58" s="22" customFormat="1" x14ac:dyDescent="0.25">
      <c r="A569" s="5" t="s">
        <v>81</v>
      </c>
      <c r="B569" s="4">
        <v>46183</v>
      </c>
      <c r="C569" s="2">
        <f t="shared" si="25"/>
        <v>24</v>
      </c>
      <c r="D569" s="3">
        <v>440</v>
      </c>
      <c r="E569" s="70">
        <f>[1]DETAY!$A$2</f>
        <v>0</v>
      </c>
      <c r="F569" s="71">
        <f t="shared" si="24"/>
        <v>440</v>
      </c>
      <c r="G569" s="72">
        <f t="shared" si="26"/>
        <v>0</v>
      </c>
      <c r="H569" s="75">
        <f t="shared" si="27"/>
        <v>1</v>
      </c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F569" s="1"/>
    </row>
    <row r="570" spans="1:58" s="22" customFormat="1" x14ac:dyDescent="0.25">
      <c r="A570" s="5" t="s">
        <v>7</v>
      </c>
      <c r="B570" s="4">
        <v>46183</v>
      </c>
      <c r="C570" s="2">
        <f t="shared" si="25"/>
        <v>24</v>
      </c>
      <c r="D570" s="3">
        <v>260</v>
      </c>
      <c r="E570" s="70">
        <f>[1]DETAY!$A$2</f>
        <v>0</v>
      </c>
      <c r="F570" s="71">
        <f t="shared" si="24"/>
        <v>256</v>
      </c>
      <c r="G570" s="72">
        <f t="shared" si="26"/>
        <v>4</v>
      </c>
      <c r="H570" s="75">
        <f t="shared" si="27"/>
        <v>0.98461538461538467</v>
      </c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>
        <v>4</v>
      </c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F570" s="1"/>
    </row>
    <row r="571" spans="1:58" s="22" customFormat="1" x14ac:dyDescent="0.25">
      <c r="A571" s="5" t="s">
        <v>6</v>
      </c>
      <c r="B571" s="4">
        <v>46183</v>
      </c>
      <c r="C571" s="2">
        <f t="shared" si="25"/>
        <v>24</v>
      </c>
      <c r="D571" s="3">
        <v>154</v>
      </c>
      <c r="E571" s="70">
        <f>[1]DETAY!$A$2</f>
        <v>0</v>
      </c>
      <c r="F571" s="71">
        <f t="shared" si="24"/>
        <v>154</v>
      </c>
      <c r="G571" s="72">
        <f t="shared" si="26"/>
        <v>0</v>
      </c>
      <c r="H571" s="75">
        <f t="shared" si="27"/>
        <v>1</v>
      </c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F571" s="1"/>
    </row>
    <row r="572" spans="1:58" s="22" customFormat="1" x14ac:dyDescent="0.25">
      <c r="A572" s="5" t="s">
        <v>21</v>
      </c>
      <c r="B572" s="4">
        <v>46183</v>
      </c>
      <c r="C572" s="2">
        <f t="shared" si="25"/>
        <v>24</v>
      </c>
      <c r="D572" s="3">
        <v>1202</v>
      </c>
      <c r="E572" s="70">
        <f>[1]DETAY!$A$2</f>
        <v>0</v>
      </c>
      <c r="F572" s="71">
        <f t="shared" si="24"/>
        <v>1200</v>
      </c>
      <c r="G572" s="72">
        <f t="shared" si="26"/>
        <v>2</v>
      </c>
      <c r="H572" s="75">
        <f t="shared" si="27"/>
        <v>0.99833610648918469</v>
      </c>
      <c r="I572" s="2"/>
      <c r="J572" s="2"/>
      <c r="K572" s="2"/>
      <c r="L572" s="2">
        <v>2</v>
      </c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F572" s="1"/>
    </row>
    <row r="573" spans="1:58" s="22" customFormat="1" x14ac:dyDescent="0.25">
      <c r="A573" s="5" t="s">
        <v>19</v>
      </c>
      <c r="B573" s="4">
        <v>46183</v>
      </c>
      <c r="C573" s="2">
        <f t="shared" si="25"/>
        <v>24</v>
      </c>
      <c r="D573" s="3">
        <v>744</v>
      </c>
      <c r="E573" s="70">
        <f>[1]DETAY!$A$2</f>
        <v>0</v>
      </c>
      <c r="F573" s="71">
        <f t="shared" si="24"/>
        <v>700</v>
      </c>
      <c r="G573" s="72">
        <f t="shared" si="26"/>
        <v>44</v>
      </c>
      <c r="H573" s="75">
        <f t="shared" si="27"/>
        <v>0.94086021505376349</v>
      </c>
      <c r="I573" s="2"/>
      <c r="J573" s="2">
        <v>40</v>
      </c>
      <c r="K573" s="2">
        <v>2</v>
      </c>
      <c r="L573" s="2">
        <v>2</v>
      </c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F573" s="1"/>
    </row>
    <row r="574" spans="1:58" s="22" customFormat="1" x14ac:dyDescent="0.25">
      <c r="A574" s="5" t="s">
        <v>16</v>
      </c>
      <c r="B574" s="4">
        <v>46183</v>
      </c>
      <c r="C574" s="2">
        <f t="shared" si="25"/>
        <v>24</v>
      </c>
      <c r="D574" s="3">
        <v>1481</v>
      </c>
      <c r="E574" s="70">
        <f>[1]DETAY!$A$2</f>
        <v>0</v>
      </c>
      <c r="F574" s="71">
        <f t="shared" si="24"/>
        <v>1435</v>
      </c>
      <c r="G574" s="72">
        <f t="shared" si="26"/>
        <v>46</v>
      </c>
      <c r="H574" s="75">
        <f t="shared" si="27"/>
        <v>0.96893990546927755</v>
      </c>
      <c r="I574" s="2"/>
      <c r="J574" s="2"/>
      <c r="K574" s="2">
        <v>3</v>
      </c>
      <c r="L574" s="2"/>
      <c r="M574" s="2">
        <v>15</v>
      </c>
      <c r="N574" s="2"/>
      <c r="O574" s="2"/>
      <c r="P574" s="2"/>
      <c r="Q574" s="2"/>
      <c r="R574" s="2"/>
      <c r="S574" s="2"/>
      <c r="T574" s="2"/>
      <c r="U574" s="2">
        <v>1</v>
      </c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>
        <v>7</v>
      </c>
      <c r="AI574" s="2"/>
      <c r="AJ574" s="2">
        <v>20</v>
      </c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F574" s="1"/>
    </row>
    <row r="575" spans="1:58" s="22" customFormat="1" x14ac:dyDescent="0.25">
      <c r="A575" s="5" t="s">
        <v>10</v>
      </c>
      <c r="B575" s="4">
        <v>46183</v>
      </c>
      <c r="C575" s="2">
        <f t="shared" si="25"/>
        <v>24</v>
      </c>
      <c r="D575" s="3">
        <v>124</v>
      </c>
      <c r="E575" s="70">
        <f>[1]DETAY!$A$2</f>
        <v>0</v>
      </c>
      <c r="F575" s="71">
        <f t="shared" si="24"/>
        <v>120</v>
      </c>
      <c r="G575" s="72">
        <f t="shared" si="26"/>
        <v>4</v>
      </c>
      <c r="H575" s="75">
        <f t="shared" si="27"/>
        <v>0.967741935483871</v>
      </c>
      <c r="I575" s="2"/>
      <c r="J575" s="2"/>
      <c r="K575" s="2"/>
      <c r="L575" s="2"/>
      <c r="M575" s="2">
        <v>4</v>
      </c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F575" s="1"/>
    </row>
    <row r="576" spans="1:58" s="22" customFormat="1" x14ac:dyDescent="0.25">
      <c r="A576" s="5" t="s">
        <v>9</v>
      </c>
      <c r="B576" s="4">
        <v>46183</v>
      </c>
      <c r="C576" s="2">
        <f t="shared" si="25"/>
        <v>24</v>
      </c>
      <c r="D576" s="3">
        <v>570</v>
      </c>
      <c r="E576" s="70">
        <f>[1]DETAY!$A$2</f>
        <v>0</v>
      </c>
      <c r="F576" s="71">
        <f t="shared" si="24"/>
        <v>540</v>
      </c>
      <c r="G576" s="72">
        <f t="shared" si="26"/>
        <v>30</v>
      </c>
      <c r="H576" s="75">
        <f t="shared" si="27"/>
        <v>0.94736842105263153</v>
      </c>
      <c r="I576" s="2"/>
      <c r="J576" s="2"/>
      <c r="K576" s="2"/>
      <c r="L576" s="2"/>
      <c r="M576" s="2">
        <v>30</v>
      </c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F576" s="1"/>
    </row>
    <row r="577" spans="1:58" s="22" customFormat="1" x14ac:dyDescent="0.25">
      <c r="A577" s="5" t="s">
        <v>1</v>
      </c>
      <c r="B577" s="4">
        <v>46183</v>
      </c>
      <c r="C577" s="2">
        <f t="shared" si="25"/>
        <v>24</v>
      </c>
      <c r="D577" s="3">
        <v>865</v>
      </c>
      <c r="E577" s="70">
        <f>[1]DETAY!$A$2</f>
        <v>0</v>
      </c>
      <c r="F577" s="71">
        <f t="shared" si="24"/>
        <v>565</v>
      </c>
      <c r="G577" s="72">
        <f t="shared" si="26"/>
        <v>300</v>
      </c>
      <c r="H577" s="75">
        <f t="shared" si="27"/>
        <v>0.65317919075144504</v>
      </c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>
        <v>300</v>
      </c>
      <c r="AV577" s="2"/>
      <c r="AW577" s="2"/>
      <c r="AX577" s="2"/>
      <c r="AY577" s="2"/>
      <c r="AZ577" s="2"/>
      <c r="BA577" s="2"/>
      <c r="BB577" s="2"/>
      <c r="BC577" s="2"/>
      <c r="BD577" s="2"/>
      <c r="BF577" s="1"/>
    </row>
    <row r="578" spans="1:58" s="22" customFormat="1" x14ac:dyDescent="0.25">
      <c r="A578" s="5" t="s">
        <v>8</v>
      </c>
      <c r="B578" s="4">
        <v>46183</v>
      </c>
      <c r="C578" s="2">
        <f t="shared" si="25"/>
        <v>24</v>
      </c>
      <c r="D578" s="3">
        <v>150</v>
      </c>
      <c r="E578" s="70">
        <f>[1]DETAY!$A$2</f>
        <v>0</v>
      </c>
      <c r="F578" s="71">
        <f t="shared" si="24"/>
        <v>150</v>
      </c>
      <c r="G578" s="72">
        <f t="shared" si="26"/>
        <v>0</v>
      </c>
      <c r="H578" s="75">
        <f t="shared" si="27"/>
        <v>1</v>
      </c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F578" s="1"/>
    </row>
    <row r="579" spans="1:58" s="22" customFormat="1" x14ac:dyDescent="0.25">
      <c r="A579" s="5" t="s">
        <v>15</v>
      </c>
      <c r="B579" s="4">
        <v>46183</v>
      </c>
      <c r="C579" s="2">
        <f t="shared" si="25"/>
        <v>24</v>
      </c>
      <c r="D579" s="3">
        <v>660</v>
      </c>
      <c r="E579" s="70">
        <f>[1]DETAY!$A$2</f>
        <v>0</v>
      </c>
      <c r="F579" s="71">
        <f t="shared" si="24"/>
        <v>660</v>
      </c>
      <c r="G579" s="72">
        <f t="shared" si="26"/>
        <v>0</v>
      </c>
      <c r="H579" s="75">
        <f t="shared" si="27"/>
        <v>1</v>
      </c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F579" s="1"/>
    </row>
    <row r="580" spans="1:58" s="22" customFormat="1" x14ac:dyDescent="0.25">
      <c r="A580" s="5" t="s">
        <v>81</v>
      </c>
      <c r="B580" s="4">
        <v>46183</v>
      </c>
      <c r="C580" s="2">
        <f t="shared" si="25"/>
        <v>24</v>
      </c>
      <c r="D580" s="3">
        <v>220</v>
      </c>
      <c r="E580" s="70">
        <f>[1]DETAY!$A$2</f>
        <v>0</v>
      </c>
      <c r="F580" s="71">
        <f t="shared" si="24"/>
        <v>220</v>
      </c>
      <c r="G580" s="72">
        <f t="shared" si="26"/>
        <v>0</v>
      </c>
      <c r="H580" s="75">
        <f t="shared" si="27"/>
        <v>1</v>
      </c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F580" s="1"/>
    </row>
    <row r="581" spans="1:58" s="22" customFormat="1" x14ac:dyDescent="0.25">
      <c r="A581" s="5" t="s">
        <v>6</v>
      </c>
      <c r="B581" s="4">
        <v>46183</v>
      </c>
      <c r="C581" s="2">
        <f t="shared" si="25"/>
        <v>24</v>
      </c>
      <c r="D581" s="3">
        <v>308</v>
      </c>
      <c r="E581" s="70">
        <f>[1]DETAY!$A$2</f>
        <v>0</v>
      </c>
      <c r="F581" s="71">
        <f t="shared" si="24"/>
        <v>308</v>
      </c>
      <c r="G581" s="72">
        <f t="shared" si="26"/>
        <v>0</v>
      </c>
      <c r="H581" s="75">
        <f t="shared" si="27"/>
        <v>1</v>
      </c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F581" s="1"/>
    </row>
    <row r="582" spans="1:58" s="22" customFormat="1" x14ac:dyDescent="0.25">
      <c r="A582" s="5" t="s">
        <v>22</v>
      </c>
      <c r="B582" s="4">
        <v>46183</v>
      </c>
      <c r="C582" s="2">
        <f t="shared" si="25"/>
        <v>24</v>
      </c>
      <c r="D582" s="3">
        <v>1022</v>
      </c>
      <c r="E582" s="70">
        <f>[1]DETAY!$A$2</f>
        <v>0</v>
      </c>
      <c r="F582" s="71">
        <f t="shared" si="24"/>
        <v>1000</v>
      </c>
      <c r="G582" s="72">
        <f t="shared" si="26"/>
        <v>22</v>
      </c>
      <c r="H582" s="75">
        <f t="shared" si="27"/>
        <v>0.97847358121330719</v>
      </c>
      <c r="I582" s="2"/>
      <c r="J582" s="2"/>
      <c r="K582" s="2"/>
      <c r="L582" s="2">
        <v>22</v>
      </c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F582" s="1"/>
    </row>
    <row r="583" spans="1:58" s="22" customFormat="1" x14ac:dyDescent="0.25">
      <c r="A583" s="5" t="s">
        <v>21</v>
      </c>
      <c r="B583" s="4">
        <v>46183</v>
      </c>
      <c r="C583" s="2">
        <f t="shared" si="25"/>
        <v>24</v>
      </c>
      <c r="D583" s="3">
        <v>71</v>
      </c>
      <c r="E583" s="70">
        <f>[1]DETAY!$A$2</f>
        <v>0</v>
      </c>
      <c r="F583" s="71">
        <f t="shared" si="24"/>
        <v>68</v>
      </c>
      <c r="G583" s="72">
        <f t="shared" si="26"/>
        <v>3</v>
      </c>
      <c r="H583" s="75">
        <f t="shared" si="27"/>
        <v>0.95774647887323938</v>
      </c>
      <c r="I583" s="2"/>
      <c r="J583" s="2"/>
      <c r="K583" s="2"/>
      <c r="L583" s="2">
        <v>3</v>
      </c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F583" s="1"/>
    </row>
    <row r="584" spans="1:58" s="22" customFormat="1" x14ac:dyDescent="0.25">
      <c r="A584" s="5" t="s">
        <v>20</v>
      </c>
      <c r="B584" s="4">
        <v>46183</v>
      </c>
      <c r="C584" s="2">
        <f t="shared" si="25"/>
        <v>24</v>
      </c>
      <c r="D584" s="3">
        <v>1568</v>
      </c>
      <c r="E584" s="70">
        <f>[1]DETAY!$A$2</f>
        <v>0</v>
      </c>
      <c r="F584" s="71">
        <f t="shared" si="24"/>
        <v>1519</v>
      </c>
      <c r="G584" s="72">
        <f t="shared" si="26"/>
        <v>49</v>
      </c>
      <c r="H584" s="75">
        <f t="shared" si="27"/>
        <v>0.96875</v>
      </c>
      <c r="I584" s="2"/>
      <c r="J584" s="2">
        <v>49</v>
      </c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F584" s="1"/>
    </row>
    <row r="585" spans="1:58" s="22" customFormat="1" x14ac:dyDescent="0.25">
      <c r="A585" s="5" t="s">
        <v>19</v>
      </c>
      <c r="B585" s="4">
        <v>46183</v>
      </c>
      <c r="C585" s="2">
        <f t="shared" si="25"/>
        <v>24</v>
      </c>
      <c r="D585" s="3">
        <v>380</v>
      </c>
      <c r="E585" s="70">
        <f>[1]DETAY!$A$2</f>
        <v>0</v>
      </c>
      <c r="F585" s="71">
        <f t="shared" si="24"/>
        <v>331</v>
      </c>
      <c r="G585" s="72">
        <f t="shared" si="26"/>
        <v>49</v>
      </c>
      <c r="H585" s="75">
        <f t="shared" si="27"/>
        <v>0.87105263157894741</v>
      </c>
      <c r="I585" s="2"/>
      <c r="J585" s="2">
        <v>33</v>
      </c>
      <c r="K585" s="2">
        <v>3</v>
      </c>
      <c r="L585" s="2">
        <v>8</v>
      </c>
      <c r="M585" s="2"/>
      <c r="N585" s="2"/>
      <c r="O585" s="2"/>
      <c r="P585" s="2"/>
      <c r="Q585" s="2"/>
      <c r="R585" s="2">
        <v>4</v>
      </c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>
        <v>1</v>
      </c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F585" s="1"/>
    </row>
    <row r="586" spans="1:58" s="22" customFormat="1" x14ac:dyDescent="0.25">
      <c r="A586" s="5" t="s">
        <v>18</v>
      </c>
      <c r="B586" s="4">
        <v>46183</v>
      </c>
      <c r="C586" s="2">
        <f t="shared" si="25"/>
        <v>24</v>
      </c>
      <c r="D586" s="3">
        <v>153</v>
      </c>
      <c r="E586" s="70">
        <f>[1]DETAY!$A$2</f>
        <v>0</v>
      </c>
      <c r="F586" s="71">
        <f t="shared" si="24"/>
        <v>139</v>
      </c>
      <c r="G586" s="72">
        <f t="shared" si="26"/>
        <v>14</v>
      </c>
      <c r="H586" s="75">
        <f t="shared" si="27"/>
        <v>0.90849673202614378</v>
      </c>
      <c r="I586" s="2"/>
      <c r="J586" s="2">
        <v>10</v>
      </c>
      <c r="K586" s="2"/>
      <c r="L586" s="2">
        <v>2</v>
      </c>
      <c r="M586" s="2"/>
      <c r="N586" s="2"/>
      <c r="O586" s="2"/>
      <c r="P586" s="2"/>
      <c r="Q586" s="2"/>
      <c r="R586" s="2">
        <v>2</v>
      </c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F586" s="1"/>
    </row>
    <row r="587" spans="1:58" s="22" customFormat="1" x14ac:dyDescent="0.25">
      <c r="A587" s="5" t="s">
        <v>17</v>
      </c>
      <c r="B587" s="4">
        <v>46183</v>
      </c>
      <c r="C587" s="2">
        <f t="shared" si="25"/>
        <v>24</v>
      </c>
      <c r="D587" s="3">
        <v>81</v>
      </c>
      <c r="E587" s="70">
        <f>[1]DETAY!$A$2</f>
        <v>0</v>
      </c>
      <c r="F587" s="71">
        <f t="shared" si="24"/>
        <v>46</v>
      </c>
      <c r="G587" s="72">
        <f t="shared" si="26"/>
        <v>35</v>
      </c>
      <c r="H587" s="75">
        <f t="shared" si="27"/>
        <v>0.5679012345679012</v>
      </c>
      <c r="I587" s="2"/>
      <c r="J587" s="2">
        <v>31</v>
      </c>
      <c r="K587" s="2"/>
      <c r="L587" s="2">
        <v>1</v>
      </c>
      <c r="M587" s="2"/>
      <c r="N587" s="2"/>
      <c r="O587" s="2"/>
      <c r="P587" s="2"/>
      <c r="Q587" s="2"/>
      <c r="R587" s="2"/>
      <c r="S587" s="2"/>
      <c r="T587" s="2">
        <v>3</v>
      </c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F587" s="1"/>
    </row>
    <row r="588" spans="1:58" s="22" customFormat="1" x14ac:dyDescent="0.25">
      <c r="A588" s="5" t="s">
        <v>10</v>
      </c>
      <c r="B588" s="4">
        <v>46183</v>
      </c>
      <c r="C588" s="2">
        <f t="shared" si="25"/>
        <v>24</v>
      </c>
      <c r="D588" s="3">
        <v>1165</v>
      </c>
      <c r="E588" s="70">
        <f>[1]DETAY!$A$2</f>
        <v>0</v>
      </c>
      <c r="F588" s="71">
        <f t="shared" si="24"/>
        <v>1140</v>
      </c>
      <c r="G588" s="72">
        <f t="shared" si="26"/>
        <v>25</v>
      </c>
      <c r="H588" s="75">
        <f t="shared" si="27"/>
        <v>0.97854077253218885</v>
      </c>
      <c r="I588" s="2"/>
      <c r="J588" s="2"/>
      <c r="K588" s="2"/>
      <c r="L588" s="2"/>
      <c r="M588" s="2">
        <v>25</v>
      </c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F588" s="1"/>
    </row>
    <row r="589" spans="1:58" s="22" customFormat="1" x14ac:dyDescent="0.25">
      <c r="A589" s="5" t="s">
        <v>9</v>
      </c>
      <c r="B589" s="4">
        <v>46183</v>
      </c>
      <c r="C589" s="2">
        <f t="shared" si="25"/>
        <v>24</v>
      </c>
      <c r="D589" s="3">
        <v>184</v>
      </c>
      <c r="E589" s="70">
        <f>[1]DETAY!$A$2</f>
        <v>0</v>
      </c>
      <c r="F589" s="71">
        <f t="shared" si="24"/>
        <v>180</v>
      </c>
      <c r="G589" s="72">
        <f t="shared" si="26"/>
        <v>4</v>
      </c>
      <c r="H589" s="75">
        <f t="shared" si="27"/>
        <v>0.97826086956521741</v>
      </c>
      <c r="I589" s="2"/>
      <c r="J589" s="2"/>
      <c r="K589" s="2"/>
      <c r="L589" s="2"/>
      <c r="M589" s="2">
        <v>4</v>
      </c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F589" s="1"/>
    </row>
    <row r="590" spans="1:58" s="22" customFormat="1" x14ac:dyDescent="0.25">
      <c r="A590" s="5" t="s">
        <v>5</v>
      </c>
      <c r="B590" s="4">
        <v>46183</v>
      </c>
      <c r="C590" s="2">
        <f t="shared" si="25"/>
        <v>24</v>
      </c>
      <c r="D590" s="3">
        <v>539</v>
      </c>
      <c r="E590" s="70">
        <f>[1]DETAY!$A$2</f>
        <v>0</v>
      </c>
      <c r="F590" s="71">
        <f t="shared" si="24"/>
        <v>539</v>
      </c>
      <c r="G590" s="72">
        <f t="shared" si="26"/>
        <v>0</v>
      </c>
      <c r="H590" s="75">
        <f t="shared" si="27"/>
        <v>1</v>
      </c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F590" s="1"/>
    </row>
    <row r="591" spans="1:58" s="22" customFormat="1" x14ac:dyDescent="0.25">
      <c r="A591" s="5" t="s">
        <v>15</v>
      </c>
      <c r="B591" s="4">
        <v>46183</v>
      </c>
      <c r="C591" s="2">
        <f t="shared" si="25"/>
        <v>24</v>
      </c>
      <c r="D591" s="3">
        <v>660</v>
      </c>
      <c r="E591" s="70">
        <f>[1]DETAY!$A$2</f>
        <v>0</v>
      </c>
      <c r="F591" s="71">
        <f t="shared" si="24"/>
        <v>660</v>
      </c>
      <c r="G591" s="72">
        <f t="shared" si="26"/>
        <v>0</v>
      </c>
      <c r="H591" s="75">
        <f t="shared" si="27"/>
        <v>1</v>
      </c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F591" s="1"/>
    </row>
    <row r="592" spans="1:58" s="22" customFormat="1" x14ac:dyDescent="0.25">
      <c r="A592" s="5" t="s">
        <v>14</v>
      </c>
      <c r="B592" s="4">
        <v>46183</v>
      </c>
      <c r="C592" s="2">
        <f t="shared" si="25"/>
        <v>24</v>
      </c>
      <c r="D592" s="3">
        <v>440</v>
      </c>
      <c r="E592" s="70">
        <f>[1]DETAY!$A$2</f>
        <v>0</v>
      </c>
      <c r="F592" s="71">
        <f t="shared" si="24"/>
        <v>440</v>
      </c>
      <c r="G592" s="72">
        <f t="shared" si="26"/>
        <v>0</v>
      </c>
      <c r="H592" s="75">
        <f t="shared" si="27"/>
        <v>1</v>
      </c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F592" s="1"/>
    </row>
    <row r="593" spans="1:58" s="22" customFormat="1" x14ac:dyDescent="0.25">
      <c r="A593" s="5" t="s">
        <v>12</v>
      </c>
      <c r="B593" s="4">
        <v>46183</v>
      </c>
      <c r="C593" s="2">
        <f t="shared" si="25"/>
        <v>24</v>
      </c>
      <c r="D593" s="3">
        <v>660</v>
      </c>
      <c r="E593" s="70">
        <f>[1]DETAY!$A$2</f>
        <v>0</v>
      </c>
      <c r="F593" s="71">
        <f t="shared" si="24"/>
        <v>660</v>
      </c>
      <c r="G593" s="72">
        <f t="shared" si="26"/>
        <v>0</v>
      </c>
      <c r="H593" s="75">
        <f t="shared" si="27"/>
        <v>1</v>
      </c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F593" s="1"/>
    </row>
    <row r="594" spans="1:58" s="22" customFormat="1" x14ac:dyDescent="0.25">
      <c r="A594" s="5" t="s">
        <v>8</v>
      </c>
      <c r="B594" s="4">
        <v>46183</v>
      </c>
      <c r="C594" s="2">
        <f t="shared" si="25"/>
        <v>24</v>
      </c>
      <c r="D594" s="3">
        <v>170</v>
      </c>
      <c r="E594" s="70">
        <f>[1]DETAY!$A$2</f>
        <v>0</v>
      </c>
      <c r="F594" s="71">
        <f t="shared" ref="F594:F657" si="28">D594-G594</f>
        <v>152</v>
      </c>
      <c r="G594" s="72">
        <f t="shared" si="26"/>
        <v>18</v>
      </c>
      <c r="H594" s="75">
        <f t="shared" si="27"/>
        <v>0.89411764705882357</v>
      </c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>
        <v>18</v>
      </c>
      <c r="AZ594" s="2"/>
      <c r="BA594" s="2"/>
      <c r="BB594" s="2"/>
      <c r="BC594" s="2"/>
      <c r="BD594" s="2"/>
      <c r="BF594" s="1"/>
    </row>
    <row r="595" spans="1:58" s="22" customFormat="1" x14ac:dyDescent="0.25">
      <c r="A595" s="5" t="s">
        <v>13</v>
      </c>
      <c r="B595" s="4">
        <v>46183</v>
      </c>
      <c r="C595" s="2">
        <f t="shared" si="25"/>
        <v>24</v>
      </c>
      <c r="D595" s="3">
        <v>960</v>
      </c>
      <c r="E595" s="70">
        <f>[1]DETAY!$A$2</f>
        <v>0</v>
      </c>
      <c r="F595" s="71">
        <f t="shared" si="28"/>
        <v>960</v>
      </c>
      <c r="G595" s="72">
        <f t="shared" si="26"/>
        <v>0</v>
      </c>
      <c r="H595" s="75">
        <f t="shared" si="27"/>
        <v>1</v>
      </c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F595" s="1"/>
    </row>
    <row r="596" spans="1:58" s="22" customFormat="1" x14ac:dyDescent="0.25">
      <c r="A596" s="5" t="s">
        <v>20</v>
      </c>
      <c r="B596" s="4">
        <v>46183</v>
      </c>
      <c r="C596" s="2">
        <f t="shared" si="25"/>
        <v>24</v>
      </c>
      <c r="D596" s="3">
        <v>354</v>
      </c>
      <c r="E596" s="70">
        <f>[1]DETAY!$A$2</f>
        <v>0</v>
      </c>
      <c r="F596" s="71">
        <f t="shared" si="28"/>
        <v>349</v>
      </c>
      <c r="G596" s="72">
        <f t="shared" si="26"/>
        <v>5</v>
      </c>
      <c r="H596" s="75">
        <f t="shared" si="27"/>
        <v>0.98587570621468923</v>
      </c>
      <c r="I596" s="2"/>
      <c r="J596" s="2">
        <v>4</v>
      </c>
      <c r="K596" s="2"/>
      <c r="L596" s="2">
        <v>1</v>
      </c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F596" s="1"/>
    </row>
    <row r="597" spans="1:58" s="22" customFormat="1" x14ac:dyDescent="0.25">
      <c r="A597" s="5" t="s">
        <v>10</v>
      </c>
      <c r="B597" s="4">
        <v>46183</v>
      </c>
      <c r="C597" s="2">
        <f t="shared" si="25"/>
        <v>24</v>
      </c>
      <c r="D597" s="3">
        <v>483</v>
      </c>
      <c r="E597" s="70">
        <f>[1]DETAY!$A$2</f>
        <v>0</v>
      </c>
      <c r="F597" s="71">
        <f t="shared" si="28"/>
        <v>480</v>
      </c>
      <c r="G597" s="72">
        <f t="shared" si="26"/>
        <v>3</v>
      </c>
      <c r="H597" s="75">
        <f t="shared" si="27"/>
        <v>0.99378881987577639</v>
      </c>
      <c r="I597" s="2"/>
      <c r="J597" s="2"/>
      <c r="K597" s="2"/>
      <c r="L597" s="2"/>
      <c r="M597" s="2">
        <v>3</v>
      </c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F597" s="1"/>
    </row>
    <row r="598" spans="1:58" s="22" customFormat="1" x14ac:dyDescent="0.25">
      <c r="A598" s="5" t="s">
        <v>9</v>
      </c>
      <c r="B598" s="4">
        <v>46183</v>
      </c>
      <c r="C598" s="2">
        <f t="shared" si="25"/>
        <v>24</v>
      </c>
      <c r="D598" s="3">
        <v>312</v>
      </c>
      <c r="E598" s="70">
        <f>[1]DETAY!$A$2</f>
        <v>0</v>
      </c>
      <c r="F598" s="71">
        <f t="shared" si="28"/>
        <v>300</v>
      </c>
      <c r="G598" s="72">
        <f t="shared" si="26"/>
        <v>12</v>
      </c>
      <c r="H598" s="75">
        <f t="shared" si="27"/>
        <v>0.96153846153846156</v>
      </c>
      <c r="I598" s="2"/>
      <c r="J598" s="2"/>
      <c r="K598" s="2"/>
      <c r="L598" s="2"/>
      <c r="M598" s="2">
        <v>12</v>
      </c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F598" s="1"/>
    </row>
    <row r="599" spans="1:58" s="22" customFormat="1" x14ac:dyDescent="0.25">
      <c r="A599" s="5" t="s">
        <v>1</v>
      </c>
      <c r="B599" s="4">
        <v>46183</v>
      </c>
      <c r="C599" s="2">
        <f t="shared" si="25"/>
        <v>24</v>
      </c>
      <c r="D599" s="3">
        <v>452</v>
      </c>
      <c r="E599" s="70">
        <f>[1]DETAY!$A$2</f>
        <v>0</v>
      </c>
      <c r="F599" s="71">
        <f t="shared" si="28"/>
        <v>245</v>
      </c>
      <c r="G599" s="72">
        <f t="shared" si="26"/>
        <v>207</v>
      </c>
      <c r="H599" s="75">
        <f t="shared" si="27"/>
        <v>0.54203539823008851</v>
      </c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>
        <v>207</v>
      </c>
      <c r="AV599" s="2"/>
      <c r="AW599" s="2"/>
      <c r="AX599" s="2"/>
      <c r="AY599" s="2"/>
      <c r="AZ599" s="2"/>
      <c r="BA599" s="2"/>
      <c r="BB599" s="2"/>
      <c r="BC599" s="2"/>
      <c r="BD599" s="2"/>
      <c r="BF599" s="1"/>
    </row>
    <row r="600" spans="1:58" s="22" customFormat="1" x14ac:dyDescent="0.25">
      <c r="A600" s="5" t="s">
        <v>0</v>
      </c>
      <c r="B600" s="4">
        <v>46183</v>
      </c>
      <c r="C600" s="2">
        <f t="shared" si="25"/>
        <v>24</v>
      </c>
      <c r="D600" s="3">
        <v>35</v>
      </c>
      <c r="E600" s="70">
        <f>[1]DETAY!$A$2</f>
        <v>0</v>
      </c>
      <c r="F600" s="71">
        <f t="shared" si="28"/>
        <v>35</v>
      </c>
      <c r="G600" s="72">
        <f t="shared" si="26"/>
        <v>0</v>
      </c>
      <c r="H600" s="75">
        <f t="shared" si="27"/>
        <v>1</v>
      </c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F600" s="1"/>
    </row>
    <row r="601" spans="1:58" s="22" customFormat="1" x14ac:dyDescent="0.25">
      <c r="A601" s="5" t="s">
        <v>22</v>
      </c>
      <c r="B601" s="4">
        <v>46184</v>
      </c>
      <c r="C601" s="2">
        <f t="shared" si="25"/>
        <v>24</v>
      </c>
      <c r="D601" s="3">
        <v>610</v>
      </c>
      <c r="E601" s="70">
        <f>[1]DETAY!$A$2</f>
        <v>0</v>
      </c>
      <c r="F601" s="71">
        <f t="shared" si="28"/>
        <v>600</v>
      </c>
      <c r="G601" s="72">
        <f t="shared" si="26"/>
        <v>10</v>
      </c>
      <c r="H601" s="75">
        <f t="shared" si="27"/>
        <v>0.98360655737704916</v>
      </c>
      <c r="I601" s="2"/>
      <c r="J601" s="2"/>
      <c r="K601" s="2"/>
      <c r="L601" s="2">
        <v>10</v>
      </c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F601" s="1"/>
    </row>
    <row r="602" spans="1:58" s="22" customFormat="1" x14ac:dyDescent="0.25">
      <c r="A602" s="5" t="s">
        <v>16</v>
      </c>
      <c r="B602" s="4">
        <v>46184</v>
      </c>
      <c r="C602" s="2">
        <f t="shared" si="25"/>
        <v>24</v>
      </c>
      <c r="D602" s="3">
        <v>2257</v>
      </c>
      <c r="E602" s="70">
        <f>[1]DETAY!$A$2</f>
        <v>0</v>
      </c>
      <c r="F602" s="71">
        <f t="shared" si="28"/>
        <v>2170</v>
      </c>
      <c r="G602" s="72">
        <f t="shared" si="26"/>
        <v>87</v>
      </c>
      <c r="H602" s="75">
        <f t="shared" si="27"/>
        <v>0.96145325653522373</v>
      </c>
      <c r="I602" s="2"/>
      <c r="J602" s="2"/>
      <c r="K602" s="2"/>
      <c r="L602" s="2">
        <v>4</v>
      </c>
      <c r="M602" s="2">
        <v>23</v>
      </c>
      <c r="N602" s="2"/>
      <c r="O602" s="2"/>
      <c r="P602" s="2"/>
      <c r="Q602" s="2"/>
      <c r="R602" s="2"/>
      <c r="S602" s="2"/>
      <c r="T602" s="2">
        <v>2</v>
      </c>
      <c r="U602" s="2"/>
      <c r="V602" s="2"/>
      <c r="W602" s="2"/>
      <c r="X602" s="2"/>
      <c r="Y602" s="2">
        <v>1</v>
      </c>
      <c r="Z602" s="2"/>
      <c r="AA602" s="2"/>
      <c r="AB602" s="2"/>
      <c r="AC602" s="2"/>
      <c r="AD602" s="2"/>
      <c r="AE602" s="2"/>
      <c r="AF602" s="2"/>
      <c r="AG602" s="2"/>
      <c r="AH602" s="2">
        <v>5</v>
      </c>
      <c r="AI602" s="2"/>
      <c r="AJ602" s="2">
        <v>52</v>
      </c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F602" s="1"/>
    </row>
    <row r="603" spans="1:58" s="22" customFormat="1" x14ac:dyDescent="0.25">
      <c r="A603" s="5" t="s">
        <v>10</v>
      </c>
      <c r="B603" s="4">
        <v>46184</v>
      </c>
      <c r="C603" s="2">
        <f t="shared" si="25"/>
        <v>24</v>
      </c>
      <c r="D603" s="3">
        <v>307</v>
      </c>
      <c r="E603" s="70">
        <f>[1]DETAY!$A$2</f>
        <v>0</v>
      </c>
      <c r="F603" s="71">
        <f t="shared" si="28"/>
        <v>300</v>
      </c>
      <c r="G603" s="72">
        <f t="shared" si="26"/>
        <v>7</v>
      </c>
      <c r="H603" s="75">
        <f t="shared" si="27"/>
        <v>0.9771986970684039</v>
      </c>
      <c r="I603" s="2"/>
      <c r="J603" s="2"/>
      <c r="K603" s="2"/>
      <c r="L603" s="2"/>
      <c r="M603" s="2">
        <v>7</v>
      </c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F603" s="1"/>
    </row>
    <row r="604" spans="1:58" s="22" customFormat="1" x14ac:dyDescent="0.25">
      <c r="A604" s="5" t="s">
        <v>9</v>
      </c>
      <c r="B604" s="4">
        <v>46184</v>
      </c>
      <c r="C604" s="2">
        <f t="shared" si="25"/>
        <v>24</v>
      </c>
      <c r="D604" s="3">
        <v>486</v>
      </c>
      <c r="E604" s="70">
        <f>[1]DETAY!$A$2</f>
        <v>0</v>
      </c>
      <c r="F604" s="71">
        <f t="shared" si="28"/>
        <v>480</v>
      </c>
      <c r="G604" s="72">
        <f t="shared" si="26"/>
        <v>6</v>
      </c>
      <c r="H604" s="75">
        <f t="shared" si="27"/>
        <v>0.98765432098765427</v>
      </c>
      <c r="I604" s="2"/>
      <c r="J604" s="2"/>
      <c r="K604" s="2"/>
      <c r="L604" s="2"/>
      <c r="M604" s="2">
        <v>6</v>
      </c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F604" s="1"/>
    </row>
    <row r="605" spans="1:58" s="22" customFormat="1" x14ac:dyDescent="0.25">
      <c r="A605" s="5" t="s">
        <v>0</v>
      </c>
      <c r="B605" s="4">
        <v>46184</v>
      </c>
      <c r="C605" s="2">
        <f t="shared" si="25"/>
        <v>24</v>
      </c>
      <c r="D605" s="3">
        <v>630</v>
      </c>
      <c r="E605" s="70">
        <f>[1]DETAY!$A$2</f>
        <v>0</v>
      </c>
      <c r="F605" s="71">
        <f t="shared" si="28"/>
        <v>565</v>
      </c>
      <c r="G605" s="72">
        <f t="shared" si="26"/>
        <v>65</v>
      </c>
      <c r="H605" s="75">
        <f t="shared" si="27"/>
        <v>0.89682539682539686</v>
      </c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>
        <v>65</v>
      </c>
      <c r="AV605" s="2"/>
      <c r="AW605" s="2"/>
      <c r="AX605" s="2"/>
      <c r="AY605" s="2"/>
      <c r="AZ605" s="2"/>
      <c r="BA605" s="2"/>
      <c r="BB605" s="2"/>
      <c r="BC605" s="2"/>
      <c r="BD605" s="2"/>
      <c r="BF605" s="1"/>
    </row>
    <row r="606" spans="1:58" s="22" customFormat="1" x14ac:dyDescent="0.25">
      <c r="A606" s="5" t="s">
        <v>8</v>
      </c>
      <c r="B606" s="4">
        <v>46184</v>
      </c>
      <c r="C606" s="2">
        <f t="shared" si="25"/>
        <v>24</v>
      </c>
      <c r="D606" s="3">
        <v>307</v>
      </c>
      <c r="E606" s="70">
        <f>[1]DETAY!$A$2</f>
        <v>0</v>
      </c>
      <c r="F606" s="71">
        <f t="shared" si="28"/>
        <v>300</v>
      </c>
      <c r="G606" s="72">
        <f t="shared" si="26"/>
        <v>7</v>
      </c>
      <c r="H606" s="73">
        <f t="shared" si="27"/>
        <v>0.9771986970684039</v>
      </c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>
        <v>7</v>
      </c>
      <c r="AZ606" s="2"/>
      <c r="BA606" s="2"/>
      <c r="BB606" s="2"/>
      <c r="BC606" s="2"/>
      <c r="BD606" s="2"/>
      <c r="BF606" s="1"/>
    </row>
    <row r="607" spans="1:58" s="22" customFormat="1" x14ac:dyDescent="0.25">
      <c r="A607" s="5" t="s">
        <v>15</v>
      </c>
      <c r="B607" s="4">
        <v>46184</v>
      </c>
      <c r="C607" s="2">
        <f t="shared" si="25"/>
        <v>24</v>
      </c>
      <c r="D607" s="3">
        <v>220</v>
      </c>
      <c r="E607" s="70">
        <f>[1]DETAY!$A$2</f>
        <v>0</v>
      </c>
      <c r="F607" s="71">
        <f t="shared" si="28"/>
        <v>220</v>
      </c>
      <c r="G607" s="72">
        <f t="shared" si="26"/>
        <v>0</v>
      </c>
      <c r="H607" s="73">
        <f t="shared" si="27"/>
        <v>1</v>
      </c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F607" s="1"/>
    </row>
    <row r="608" spans="1:58" s="22" customFormat="1" x14ac:dyDescent="0.25">
      <c r="A608" s="5" t="s">
        <v>14</v>
      </c>
      <c r="B608" s="4">
        <v>46184</v>
      </c>
      <c r="C608" s="2">
        <f t="shared" si="25"/>
        <v>24</v>
      </c>
      <c r="D608" s="3">
        <v>440</v>
      </c>
      <c r="E608" s="70">
        <f>[1]DETAY!$A$2</f>
        <v>0</v>
      </c>
      <c r="F608" s="71">
        <f t="shared" si="28"/>
        <v>440</v>
      </c>
      <c r="G608" s="72">
        <f t="shared" si="26"/>
        <v>0</v>
      </c>
      <c r="H608" s="73">
        <f t="shared" si="27"/>
        <v>1</v>
      </c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F608" s="1"/>
    </row>
    <row r="609" spans="1:58" s="22" customFormat="1" x14ac:dyDescent="0.25">
      <c r="A609" s="5" t="s">
        <v>13</v>
      </c>
      <c r="B609" s="4">
        <v>46184</v>
      </c>
      <c r="C609" s="2">
        <f t="shared" si="25"/>
        <v>24</v>
      </c>
      <c r="D609" s="3">
        <v>480</v>
      </c>
      <c r="E609" s="70">
        <f>[1]DETAY!$A$2</f>
        <v>0</v>
      </c>
      <c r="F609" s="71">
        <f t="shared" si="28"/>
        <v>480</v>
      </c>
      <c r="G609" s="72">
        <f t="shared" si="26"/>
        <v>0</v>
      </c>
      <c r="H609" s="73">
        <f t="shared" si="27"/>
        <v>1</v>
      </c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F609" s="1"/>
    </row>
    <row r="610" spans="1:58" s="22" customFormat="1" x14ac:dyDescent="0.25">
      <c r="A610" s="5" t="s">
        <v>12</v>
      </c>
      <c r="B610" s="4">
        <v>46184</v>
      </c>
      <c r="C610" s="2">
        <f t="shared" si="25"/>
        <v>24</v>
      </c>
      <c r="D610" s="3">
        <v>154</v>
      </c>
      <c r="E610" s="70">
        <f>[1]DETAY!$A$2</f>
        <v>0</v>
      </c>
      <c r="F610" s="71">
        <f t="shared" si="28"/>
        <v>154</v>
      </c>
      <c r="G610" s="72">
        <f t="shared" si="26"/>
        <v>0</v>
      </c>
      <c r="H610" s="73">
        <f t="shared" si="27"/>
        <v>1</v>
      </c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F610" s="1"/>
    </row>
    <row r="611" spans="1:58" s="22" customFormat="1" x14ac:dyDescent="0.25">
      <c r="A611" s="5" t="s">
        <v>4</v>
      </c>
      <c r="B611" s="4">
        <v>46184</v>
      </c>
      <c r="C611" s="2">
        <f t="shared" si="25"/>
        <v>24</v>
      </c>
      <c r="D611" s="3">
        <v>231</v>
      </c>
      <c r="E611" s="70">
        <f>[1]DETAY!$A$2</f>
        <v>0</v>
      </c>
      <c r="F611" s="71">
        <f t="shared" si="28"/>
        <v>231</v>
      </c>
      <c r="G611" s="72">
        <f t="shared" si="26"/>
        <v>0</v>
      </c>
      <c r="H611" s="73">
        <f t="shared" si="27"/>
        <v>1</v>
      </c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F611" s="1"/>
    </row>
    <row r="612" spans="1:58" s="22" customFormat="1" x14ac:dyDescent="0.25">
      <c r="A612" s="5" t="s">
        <v>15</v>
      </c>
      <c r="B612" s="4">
        <v>46184</v>
      </c>
      <c r="C612" s="2">
        <f t="shared" si="25"/>
        <v>24</v>
      </c>
      <c r="D612" s="3">
        <v>660</v>
      </c>
      <c r="E612" s="70">
        <f>[1]DETAY!$A$2</f>
        <v>0</v>
      </c>
      <c r="F612" s="71">
        <f t="shared" si="28"/>
        <v>660</v>
      </c>
      <c r="G612" s="72">
        <f t="shared" si="26"/>
        <v>0</v>
      </c>
      <c r="H612" s="73">
        <f t="shared" si="27"/>
        <v>1</v>
      </c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F612" s="1"/>
    </row>
    <row r="613" spans="1:58" s="22" customFormat="1" x14ac:dyDescent="0.25">
      <c r="A613" s="5" t="s">
        <v>7</v>
      </c>
      <c r="B613" s="4">
        <v>46184</v>
      </c>
      <c r="C613" s="2">
        <f t="shared" si="25"/>
        <v>24</v>
      </c>
      <c r="D613" s="3">
        <v>192</v>
      </c>
      <c r="E613" s="70">
        <f>[1]DETAY!$A$2</f>
        <v>0</v>
      </c>
      <c r="F613" s="71">
        <f t="shared" si="28"/>
        <v>192</v>
      </c>
      <c r="G613" s="72">
        <f t="shared" si="26"/>
        <v>0</v>
      </c>
      <c r="H613" s="73">
        <f t="shared" si="27"/>
        <v>1</v>
      </c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F613" s="1"/>
    </row>
    <row r="614" spans="1:58" s="22" customFormat="1" x14ac:dyDescent="0.25">
      <c r="A614" s="5" t="s">
        <v>3</v>
      </c>
      <c r="B614" s="4">
        <v>46184</v>
      </c>
      <c r="C614" s="2">
        <f t="shared" si="25"/>
        <v>24</v>
      </c>
      <c r="D614" s="3">
        <v>200</v>
      </c>
      <c r="E614" s="70">
        <f>[1]DETAY!$A$2</f>
        <v>0</v>
      </c>
      <c r="F614" s="71">
        <f t="shared" si="28"/>
        <v>200</v>
      </c>
      <c r="G614" s="72">
        <f t="shared" si="26"/>
        <v>0</v>
      </c>
      <c r="H614" s="73">
        <f t="shared" si="27"/>
        <v>1</v>
      </c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F614" s="1"/>
    </row>
    <row r="615" spans="1:58" s="22" customFormat="1" x14ac:dyDescent="0.25">
      <c r="A615" s="5" t="s">
        <v>4</v>
      </c>
      <c r="B615" s="4">
        <v>46184</v>
      </c>
      <c r="C615" s="2">
        <f t="shared" si="25"/>
        <v>24</v>
      </c>
      <c r="D615" s="3">
        <v>231</v>
      </c>
      <c r="E615" s="70">
        <f>[1]DETAY!$A$2</f>
        <v>0</v>
      </c>
      <c r="F615" s="71">
        <f t="shared" si="28"/>
        <v>231</v>
      </c>
      <c r="G615" s="72">
        <f t="shared" si="26"/>
        <v>0</v>
      </c>
      <c r="H615" s="73">
        <f t="shared" si="27"/>
        <v>1</v>
      </c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F615" s="1"/>
    </row>
    <row r="616" spans="1:58" s="22" customFormat="1" x14ac:dyDescent="0.25">
      <c r="A616" s="5" t="s">
        <v>1</v>
      </c>
      <c r="B616" s="4">
        <v>46184</v>
      </c>
      <c r="C616" s="2">
        <f t="shared" si="25"/>
        <v>24</v>
      </c>
      <c r="D616" s="3">
        <v>230</v>
      </c>
      <c r="E616" s="70">
        <f>[1]DETAY!$A$2</f>
        <v>0</v>
      </c>
      <c r="F616" s="71">
        <f t="shared" si="28"/>
        <v>140</v>
      </c>
      <c r="G616" s="72">
        <f t="shared" si="26"/>
        <v>90</v>
      </c>
      <c r="H616" s="73">
        <f t="shared" si="27"/>
        <v>0.60869565217391308</v>
      </c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>
        <v>90</v>
      </c>
      <c r="AV616" s="2"/>
      <c r="AW616" s="2"/>
      <c r="AX616" s="2"/>
      <c r="AY616" s="2"/>
      <c r="AZ616" s="2"/>
      <c r="BA616" s="2"/>
      <c r="BB616" s="2"/>
      <c r="BC616" s="2"/>
      <c r="BD616" s="2"/>
      <c r="BF616" s="1"/>
    </row>
    <row r="617" spans="1:58" s="22" customFormat="1" x14ac:dyDescent="0.25">
      <c r="A617" s="5" t="s">
        <v>0</v>
      </c>
      <c r="B617" s="4">
        <v>46184</v>
      </c>
      <c r="C617" s="2">
        <f t="shared" si="25"/>
        <v>24</v>
      </c>
      <c r="D617" s="3">
        <v>153</v>
      </c>
      <c r="E617" s="70">
        <f>[1]DETAY!$A$2</f>
        <v>0</v>
      </c>
      <c r="F617" s="71">
        <f t="shared" si="28"/>
        <v>120</v>
      </c>
      <c r="G617" s="72">
        <f t="shared" si="26"/>
        <v>33</v>
      </c>
      <c r="H617" s="73">
        <f t="shared" si="27"/>
        <v>0.78431372549019607</v>
      </c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>
        <v>33</v>
      </c>
      <c r="AV617" s="2"/>
      <c r="AW617" s="2"/>
      <c r="AX617" s="2"/>
      <c r="AY617" s="2"/>
      <c r="AZ617" s="2"/>
      <c r="BA617" s="2"/>
      <c r="BB617" s="2"/>
      <c r="BC617" s="2"/>
      <c r="BD617" s="2"/>
      <c r="BF617" s="1"/>
    </row>
    <row r="618" spans="1:58" s="22" customFormat="1" x14ac:dyDescent="0.25">
      <c r="A618" s="5" t="s">
        <v>22</v>
      </c>
      <c r="B618" s="4">
        <v>46184</v>
      </c>
      <c r="C618" s="2">
        <f t="shared" si="25"/>
        <v>24</v>
      </c>
      <c r="D618" s="3">
        <v>306</v>
      </c>
      <c r="E618" s="70">
        <f>[1]DETAY!$A$2</f>
        <v>0</v>
      </c>
      <c r="F618" s="71">
        <f t="shared" si="28"/>
        <v>300</v>
      </c>
      <c r="G618" s="72">
        <f t="shared" si="26"/>
        <v>6</v>
      </c>
      <c r="H618" s="73">
        <f t="shared" si="27"/>
        <v>0.98039215686274506</v>
      </c>
      <c r="I618" s="2"/>
      <c r="J618" s="2"/>
      <c r="K618" s="2"/>
      <c r="L618" s="2">
        <v>6</v>
      </c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F618" s="1"/>
    </row>
    <row r="619" spans="1:58" s="22" customFormat="1" x14ac:dyDescent="0.25">
      <c r="A619" s="5" t="s">
        <v>21</v>
      </c>
      <c r="B619" s="4">
        <v>46184</v>
      </c>
      <c r="C619" s="2">
        <f t="shared" si="25"/>
        <v>24</v>
      </c>
      <c r="D619" s="3">
        <v>1207</v>
      </c>
      <c r="E619" s="70">
        <f>[1]DETAY!$A$2</f>
        <v>0</v>
      </c>
      <c r="F619" s="71">
        <f t="shared" si="28"/>
        <v>1200</v>
      </c>
      <c r="G619" s="72">
        <f t="shared" si="26"/>
        <v>7</v>
      </c>
      <c r="H619" s="73">
        <f t="shared" si="27"/>
        <v>0.9942004971002486</v>
      </c>
      <c r="I619" s="2"/>
      <c r="J619" s="2"/>
      <c r="K619" s="2"/>
      <c r="L619" s="2">
        <v>7</v>
      </c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F619" s="1"/>
    </row>
    <row r="620" spans="1:58" s="22" customFormat="1" x14ac:dyDescent="0.25">
      <c r="A620" s="5" t="s">
        <v>20</v>
      </c>
      <c r="B620" s="4">
        <v>46184</v>
      </c>
      <c r="C620" s="2">
        <f t="shared" si="25"/>
        <v>24</v>
      </c>
      <c r="D620" s="3">
        <v>1199</v>
      </c>
      <c r="E620" s="70">
        <f>[1]DETAY!$A$2</f>
        <v>0</v>
      </c>
      <c r="F620" s="71">
        <f t="shared" si="28"/>
        <v>1168</v>
      </c>
      <c r="G620" s="72">
        <f t="shared" si="26"/>
        <v>31</v>
      </c>
      <c r="H620" s="73">
        <f t="shared" si="27"/>
        <v>0.97414512093411176</v>
      </c>
      <c r="I620" s="2"/>
      <c r="J620" s="2">
        <v>25</v>
      </c>
      <c r="K620" s="2"/>
      <c r="L620" s="2">
        <v>6</v>
      </c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F620" s="1"/>
    </row>
    <row r="621" spans="1:58" s="22" customFormat="1" x14ac:dyDescent="0.25">
      <c r="A621" s="5" t="s">
        <v>18</v>
      </c>
      <c r="B621" s="4">
        <v>46184</v>
      </c>
      <c r="C621" s="2">
        <f t="shared" ref="C621:C684" si="29">WEEKNUM(B621)</f>
        <v>24</v>
      </c>
      <c r="D621" s="3">
        <v>574</v>
      </c>
      <c r="E621" s="70">
        <f>[1]DETAY!$A$2</f>
        <v>0</v>
      </c>
      <c r="F621" s="71">
        <f t="shared" si="28"/>
        <v>570</v>
      </c>
      <c r="G621" s="72">
        <f t="shared" ref="G621:G684" si="30">SUBTOTAL(9,I621:BD621)</f>
        <v>4</v>
      </c>
      <c r="H621" s="73">
        <f t="shared" ref="H621:H684" si="31">F621/D621</f>
        <v>0.99303135888501737</v>
      </c>
      <c r="I621" s="2"/>
      <c r="J621" s="2">
        <v>3</v>
      </c>
      <c r="K621" s="2"/>
      <c r="L621" s="2">
        <v>1</v>
      </c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F621" s="1"/>
    </row>
    <row r="622" spans="1:58" s="22" customFormat="1" x14ac:dyDescent="0.25">
      <c r="A622" s="5" t="s">
        <v>10</v>
      </c>
      <c r="B622" s="4">
        <v>46184</v>
      </c>
      <c r="C622" s="2">
        <f t="shared" si="29"/>
        <v>24</v>
      </c>
      <c r="D622" s="3">
        <v>424</v>
      </c>
      <c r="E622" s="70">
        <f>[1]DETAY!$A$2</f>
        <v>0</v>
      </c>
      <c r="F622" s="71">
        <f t="shared" si="28"/>
        <v>420</v>
      </c>
      <c r="G622" s="72">
        <f t="shared" si="30"/>
        <v>4</v>
      </c>
      <c r="H622" s="73">
        <f t="shared" si="31"/>
        <v>0.99056603773584906</v>
      </c>
      <c r="I622" s="2"/>
      <c r="J622" s="2"/>
      <c r="K622" s="2"/>
      <c r="L622" s="2"/>
      <c r="M622" s="2">
        <v>4</v>
      </c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F622" s="1"/>
    </row>
    <row r="623" spans="1:58" s="22" customFormat="1" x14ac:dyDescent="0.25">
      <c r="A623" s="5" t="s">
        <v>9</v>
      </c>
      <c r="B623" s="4">
        <v>46184</v>
      </c>
      <c r="C623" s="2">
        <f t="shared" si="29"/>
        <v>24</v>
      </c>
      <c r="D623" s="3">
        <v>423</v>
      </c>
      <c r="E623" s="70">
        <f>[1]DETAY!$A$2</f>
        <v>0</v>
      </c>
      <c r="F623" s="71">
        <f t="shared" si="28"/>
        <v>420</v>
      </c>
      <c r="G623" s="72">
        <f t="shared" si="30"/>
        <v>3</v>
      </c>
      <c r="H623" s="73">
        <f t="shared" si="31"/>
        <v>0.99290780141843971</v>
      </c>
      <c r="I623" s="2"/>
      <c r="J623" s="2"/>
      <c r="K623" s="2"/>
      <c r="L623" s="2"/>
      <c r="M623" s="2">
        <v>3</v>
      </c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F623" s="1"/>
    </row>
    <row r="624" spans="1:58" s="22" customFormat="1" x14ac:dyDescent="0.25">
      <c r="A624" s="5" t="s">
        <v>22</v>
      </c>
      <c r="B624" s="4">
        <v>46184</v>
      </c>
      <c r="C624" s="2">
        <f t="shared" si="29"/>
        <v>24</v>
      </c>
      <c r="D624" s="3">
        <v>60</v>
      </c>
      <c r="E624" s="70">
        <f>[1]DETAY!$A$2</f>
        <v>0</v>
      </c>
      <c r="F624" s="71">
        <f t="shared" si="28"/>
        <v>60</v>
      </c>
      <c r="G624" s="72">
        <f t="shared" si="30"/>
        <v>0</v>
      </c>
      <c r="H624" s="73">
        <f t="shared" si="31"/>
        <v>1</v>
      </c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F624" s="1"/>
    </row>
    <row r="625" spans="1:58" s="22" customFormat="1" x14ac:dyDescent="0.25">
      <c r="A625" s="5" t="s">
        <v>21</v>
      </c>
      <c r="B625" s="4">
        <v>46184</v>
      </c>
      <c r="C625" s="2">
        <f t="shared" si="29"/>
        <v>24</v>
      </c>
      <c r="D625" s="3">
        <v>607</v>
      </c>
      <c r="E625" s="70">
        <f>[1]DETAY!$A$2</f>
        <v>0</v>
      </c>
      <c r="F625" s="71">
        <f t="shared" si="28"/>
        <v>607</v>
      </c>
      <c r="G625" s="72">
        <f t="shared" si="30"/>
        <v>0</v>
      </c>
      <c r="H625" s="73">
        <f t="shared" si="31"/>
        <v>1</v>
      </c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F625" s="1"/>
    </row>
    <row r="626" spans="1:58" s="22" customFormat="1" x14ac:dyDescent="0.25">
      <c r="A626" s="5" t="s">
        <v>20</v>
      </c>
      <c r="B626" s="4">
        <v>46184</v>
      </c>
      <c r="C626" s="2">
        <f t="shared" si="29"/>
        <v>24</v>
      </c>
      <c r="D626" s="3">
        <v>480</v>
      </c>
      <c r="E626" s="70">
        <f>[1]DETAY!$A$2</f>
        <v>0</v>
      </c>
      <c r="F626" s="71">
        <f t="shared" si="28"/>
        <v>480</v>
      </c>
      <c r="G626" s="72">
        <f t="shared" si="30"/>
        <v>0</v>
      </c>
      <c r="H626" s="73">
        <f t="shared" si="31"/>
        <v>1</v>
      </c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F626" s="1"/>
    </row>
    <row r="627" spans="1:58" s="22" customFormat="1" x14ac:dyDescent="0.25">
      <c r="A627" s="5" t="s">
        <v>19</v>
      </c>
      <c r="B627" s="4">
        <v>46184</v>
      </c>
      <c r="C627" s="2">
        <f t="shared" si="29"/>
        <v>24</v>
      </c>
      <c r="D627" s="3">
        <v>854</v>
      </c>
      <c r="E627" s="70">
        <f>[1]DETAY!$A$2</f>
        <v>0</v>
      </c>
      <c r="F627" s="71">
        <f t="shared" si="28"/>
        <v>854</v>
      </c>
      <c r="G627" s="72">
        <f t="shared" si="30"/>
        <v>0</v>
      </c>
      <c r="H627" s="73">
        <f t="shared" si="31"/>
        <v>1</v>
      </c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F627" s="1"/>
    </row>
    <row r="628" spans="1:58" s="22" customFormat="1" x14ac:dyDescent="0.25">
      <c r="A628" s="5" t="s">
        <v>18</v>
      </c>
      <c r="B628" s="4">
        <v>46184</v>
      </c>
      <c r="C628" s="2">
        <f t="shared" si="29"/>
        <v>24</v>
      </c>
      <c r="D628" s="3">
        <v>1336</v>
      </c>
      <c r="E628" s="70">
        <f>[1]DETAY!$A$2</f>
        <v>0</v>
      </c>
      <c r="F628" s="71">
        <f t="shared" si="28"/>
        <v>1336</v>
      </c>
      <c r="G628" s="72">
        <f t="shared" si="30"/>
        <v>0</v>
      </c>
      <c r="H628" s="73">
        <f t="shared" si="31"/>
        <v>1</v>
      </c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F628" s="1"/>
    </row>
    <row r="629" spans="1:58" s="22" customFormat="1" x14ac:dyDescent="0.25">
      <c r="A629" s="5" t="s">
        <v>10</v>
      </c>
      <c r="B629" s="4">
        <v>46184</v>
      </c>
      <c r="C629" s="2">
        <f t="shared" si="29"/>
        <v>24</v>
      </c>
      <c r="D629" s="3">
        <v>486</v>
      </c>
      <c r="E629" s="70">
        <f>[1]DETAY!$A$2</f>
        <v>0</v>
      </c>
      <c r="F629" s="71">
        <f t="shared" si="28"/>
        <v>486</v>
      </c>
      <c r="G629" s="72">
        <f t="shared" si="30"/>
        <v>0</v>
      </c>
      <c r="H629" s="73">
        <f t="shared" si="31"/>
        <v>1</v>
      </c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F629" s="1"/>
    </row>
    <row r="630" spans="1:58" s="22" customFormat="1" x14ac:dyDescent="0.25">
      <c r="A630" s="5" t="s">
        <v>9</v>
      </c>
      <c r="B630" s="4">
        <v>46184</v>
      </c>
      <c r="C630" s="2">
        <f t="shared" si="29"/>
        <v>24</v>
      </c>
      <c r="D630" s="3">
        <v>363</v>
      </c>
      <c r="E630" s="70">
        <f>[1]DETAY!$A$2</f>
        <v>0</v>
      </c>
      <c r="F630" s="71">
        <f t="shared" si="28"/>
        <v>363</v>
      </c>
      <c r="G630" s="72">
        <f t="shared" si="30"/>
        <v>0</v>
      </c>
      <c r="H630" s="73">
        <f t="shared" si="31"/>
        <v>1</v>
      </c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F630" s="1"/>
    </row>
    <row r="631" spans="1:58" s="22" customFormat="1" x14ac:dyDescent="0.25">
      <c r="A631" s="5" t="s">
        <v>1</v>
      </c>
      <c r="B631" s="4">
        <v>46184</v>
      </c>
      <c r="C631" s="2">
        <f t="shared" si="29"/>
        <v>24</v>
      </c>
      <c r="D631" s="3">
        <v>360</v>
      </c>
      <c r="E631" s="70">
        <f>[1]DETAY!$A$2</f>
        <v>0</v>
      </c>
      <c r="F631" s="71">
        <f t="shared" si="28"/>
        <v>360</v>
      </c>
      <c r="G631" s="72">
        <f t="shared" si="30"/>
        <v>0</v>
      </c>
      <c r="H631" s="73">
        <f t="shared" si="31"/>
        <v>1</v>
      </c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F631" s="1"/>
    </row>
    <row r="632" spans="1:58" s="22" customFormat="1" x14ac:dyDescent="0.25">
      <c r="A632" s="5" t="s">
        <v>0</v>
      </c>
      <c r="B632" s="4">
        <v>46184</v>
      </c>
      <c r="C632" s="2">
        <f t="shared" si="29"/>
        <v>24</v>
      </c>
      <c r="D632" s="3">
        <v>313</v>
      </c>
      <c r="E632" s="70">
        <f>[1]DETAY!$A$2</f>
        <v>0</v>
      </c>
      <c r="F632" s="71">
        <f t="shared" si="28"/>
        <v>313</v>
      </c>
      <c r="G632" s="72">
        <f t="shared" si="30"/>
        <v>0</v>
      </c>
      <c r="H632" s="73">
        <f t="shared" si="31"/>
        <v>1</v>
      </c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F632" s="1"/>
    </row>
    <row r="633" spans="1:58" s="22" customFormat="1" x14ac:dyDescent="0.25">
      <c r="A633" s="5" t="s">
        <v>15</v>
      </c>
      <c r="B633" s="4">
        <v>46184</v>
      </c>
      <c r="C633" s="2">
        <f t="shared" si="29"/>
        <v>24</v>
      </c>
      <c r="D633" s="3">
        <v>1320</v>
      </c>
      <c r="E633" s="70">
        <f>[1]DETAY!$A$2</f>
        <v>0</v>
      </c>
      <c r="F633" s="71">
        <f t="shared" si="28"/>
        <v>1320</v>
      </c>
      <c r="G633" s="72">
        <f t="shared" si="30"/>
        <v>0</v>
      </c>
      <c r="H633" s="73">
        <f t="shared" si="31"/>
        <v>1</v>
      </c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F633" s="1"/>
    </row>
    <row r="634" spans="1:58" s="22" customFormat="1" x14ac:dyDescent="0.25">
      <c r="A634" s="5" t="s">
        <v>14</v>
      </c>
      <c r="B634" s="4">
        <v>46184</v>
      </c>
      <c r="C634" s="2">
        <f t="shared" si="29"/>
        <v>24</v>
      </c>
      <c r="D634" s="3">
        <v>220</v>
      </c>
      <c r="E634" s="70">
        <f>[1]DETAY!$A$2</f>
        <v>0</v>
      </c>
      <c r="F634" s="71">
        <f t="shared" si="28"/>
        <v>220</v>
      </c>
      <c r="G634" s="72">
        <f t="shared" si="30"/>
        <v>0</v>
      </c>
      <c r="H634" s="73">
        <f t="shared" si="31"/>
        <v>1</v>
      </c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F634" s="1"/>
    </row>
    <row r="635" spans="1:58" s="22" customFormat="1" x14ac:dyDescent="0.25">
      <c r="A635" s="5" t="s">
        <v>7</v>
      </c>
      <c r="B635" s="4">
        <v>46184</v>
      </c>
      <c r="C635" s="2">
        <f t="shared" si="29"/>
        <v>24</v>
      </c>
      <c r="D635" s="3">
        <v>384</v>
      </c>
      <c r="E635" s="70">
        <f>[1]DETAY!$A$2</f>
        <v>0</v>
      </c>
      <c r="F635" s="71">
        <f t="shared" si="28"/>
        <v>384</v>
      </c>
      <c r="G635" s="72">
        <f t="shared" si="30"/>
        <v>0</v>
      </c>
      <c r="H635" s="73">
        <f t="shared" si="31"/>
        <v>1</v>
      </c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F635" s="1"/>
    </row>
    <row r="636" spans="1:58" s="22" customFormat="1" x14ac:dyDescent="0.25">
      <c r="A636" s="5" t="s">
        <v>13</v>
      </c>
      <c r="B636" s="4">
        <v>46184</v>
      </c>
      <c r="C636" s="2">
        <f t="shared" si="29"/>
        <v>24</v>
      </c>
      <c r="D636" s="3">
        <v>720</v>
      </c>
      <c r="E636" s="70">
        <f>[1]DETAY!$A$2</f>
        <v>0</v>
      </c>
      <c r="F636" s="71">
        <f t="shared" si="28"/>
        <v>720</v>
      </c>
      <c r="G636" s="72">
        <f t="shared" si="30"/>
        <v>0</v>
      </c>
      <c r="H636" s="73">
        <f t="shared" si="31"/>
        <v>1</v>
      </c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F636" s="1"/>
    </row>
    <row r="637" spans="1:58" s="22" customFormat="1" x14ac:dyDescent="0.25">
      <c r="A637" s="5" t="s">
        <v>4</v>
      </c>
      <c r="B637" s="4">
        <v>46184</v>
      </c>
      <c r="C637" s="2">
        <f t="shared" si="29"/>
        <v>24</v>
      </c>
      <c r="D637" s="3">
        <v>539</v>
      </c>
      <c r="E637" s="70">
        <f>[1]DETAY!$A$2</f>
        <v>0</v>
      </c>
      <c r="F637" s="71">
        <f t="shared" si="28"/>
        <v>539</v>
      </c>
      <c r="G637" s="72">
        <f t="shared" si="30"/>
        <v>0</v>
      </c>
      <c r="H637" s="73">
        <f t="shared" si="31"/>
        <v>1</v>
      </c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F637" s="1"/>
    </row>
    <row r="638" spans="1:58" s="22" customFormat="1" x14ac:dyDescent="0.25">
      <c r="A638" s="5" t="s">
        <v>15</v>
      </c>
      <c r="B638" s="4">
        <v>46185</v>
      </c>
      <c r="C638" s="2">
        <f t="shared" si="29"/>
        <v>24</v>
      </c>
      <c r="D638" s="3">
        <v>222</v>
      </c>
      <c r="E638" s="70">
        <f>[1]DETAY!$A$2</f>
        <v>0</v>
      </c>
      <c r="F638" s="71">
        <f t="shared" si="28"/>
        <v>220</v>
      </c>
      <c r="G638" s="72">
        <f t="shared" si="30"/>
        <v>2</v>
      </c>
      <c r="H638" s="73">
        <f t="shared" si="31"/>
        <v>0.99099099099099097</v>
      </c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>
        <v>2</v>
      </c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F638" s="1"/>
    </row>
    <row r="639" spans="1:58" s="22" customFormat="1" x14ac:dyDescent="0.25">
      <c r="A639" s="5" t="s">
        <v>14</v>
      </c>
      <c r="B639" s="4">
        <v>46185</v>
      </c>
      <c r="C639" s="2">
        <f t="shared" si="29"/>
        <v>24</v>
      </c>
      <c r="D639" s="3">
        <v>220</v>
      </c>
      <c r="E639" s="70">
        <f>[1]DETAY!$A$2</f>
        <v>0</v>
      </c>
      <c r="F639" s="71">
        <f t="shared" si="28"/>
        <v>220</v>
      </c>
      <c r="G639" s="72">
        <f t="shared" si="30"/>
        <v>0</v>
      </c>
      <c r="H639" s="73">
        <f t="shared" si="31"/>
        <v>1</v>
      </c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F639" s="1"/>
    </row>
    <row r="640" spans="1:58" s="22" customFormat="1" x14ac:dyDescent="0.25">
      <c r="A640" s="5" t="s">
        <v>7</v>
      </c>
      <c r="B640" s="4">
        <v>46185</v>
      </c>
      <c r="C640" s="2">
        <f t="shared" si="29"/>
        <v>24</v>
      </c>
      <c r="D640" s="3">
        <v>577</v>
      </c>
      <c r="E640" s="70">
        <f>[1]DETAY!$A$2</f>
        <v>0</v>
      </c>
      <c r="F640" s="71">
        <f t="shared" si="28"/>
        <v>577</v>
      </c>
      <c r="G640" s="72">
        <f t="shared" si="30"/>
        <v>0</v>
      </c>
      <c r="H640" s="73">
        <f t="shared" si="31"/>
        <v>1</v>
      </c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F640" s="1"/>
    </row>
    <row r="641" spans="1:58" s="22" customFormat="1" x14ac:dyDescent="0.25">
      <c r="A641" s="5" t="s">
        <v>4</v>
      </c>
      <c r="B641" s="4">
        <v>46185</v>
      </c>
      <c r="C641" s="2">
        <f t="shared" si="29"/>
        <v>24</v>
      </c>
      <c r="D641" s="3">
        <v>385</v>
      </c>
      <c r="E641" s="70">
        <f>[1]DETAY!$A$2</f>
        <v>0</v>
      </c>
      <c r="F641" s="71">
        <f t="shared" si="28"/>
        <v>385</v>
      </c>
      <c r="G641" s="72">
        <f t="shared" si="30"/>
        <v>0</v>
      </c>
      <c r="H641" s="73">
        <f t="shared" si="31"/>
        <v>1</v>
      </c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F641" s="1"/>
    </row>
    <row r="642" spans="1:58" s="22" customFormat="1" x14ac:dyDescent="0.25">
      <c r="A642" s="5" t="s">
        <v>6</v>
      </c>
      <c r="B642" s="4">
        <v>46185</v>
      </c>
      <c r="C642" s="2">
        <f t="shared" si="29"/>
        <v>24</v>
      </c>
      <c r="D642" s="3">
        <v>154</v>
      </c>
      <c r="E642" s="70">
        <f>[1]DETAY!$A$2</f>
        <v>0</v>
      </c>
      <c r="F642" s="71">
        <f t="shared" si="28"/>
        <v>154</v>
      </c>
      <c r="G642" s="72">
        <f t="shared" si="30"/>
        <v>0</v>
      </c>
      <c r="H642" s="73">
        <f t="shared" si="31"/>
        <v>1</v>
      </c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F642" s="1"/>
    </row>
    <row r="643" spans="1:58" s="22" customFormat="1" x14ac:dyDescent="0.25">
      <c r="A643" s="5" t="s">
        <v>21</v>
      </c>
      <c r="B643" s="4">
        <v>46185</v>
      </c>
      <c r="C643" s="2">
        <f t="shared" si="29"/>
        <v>24</v>
      </c>
      <c r="D643" s="3">
        <v>617</v>
      </c>
      <c r="E643" s="70">
        <f>[1]DETAY!$A$2</f>
        <v>0</v>
      </c>
      <c r="F643" s="71">
        <f t="shared" si="28"/>
        <v>600</v>
      </c>
      <c r="G643" s="72">
        <f t="shared" si="30"/>
        <v>17</v>
      </c>
      <c r="H643" s="73">
        <f t="shared" si="31"/>
        <v>0.97244732576985415</v>
      </c>
      <c r="I643" s="2"/>
      <c r="J643" s="2"/>
      <c r="K643" s="2"/>
      <c r="L643" s="2">
        <v>17</v>
      </c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F643" s="1"/>
    </row>
    <row r="644" spans="1:58" s="22" customFormat="1" x14ac:dyDescent="0.25">
      <c r="A644" s="5" t="s">
        <v>20</v>
      </c>
      <c r="B644" s="4">
        <v>46185</v>
      </c>
      <c r="C644" s="2">
        <f t="shared" si="29"/>
        <v>24</v>
      </c>
      <c r="D644" s="3">
        <v>395</v>
      </c>
      <c r="E644" s="70">
        <f>[1]DETAY!$A$2</f>
        <v>0</v>
      </c>
      <c r="F644" s="71">
        <f t="shared" si="28"/>
        <v>350</v>
      </c>
      <c r="G644" s="72">
        <f t="shared" si="30"/>
        <v>45</v>
      </c>
      <c r="H644" s="73">
        <f t="shared" si="31"/>
        <v>0.88607594936708856</v>
      </c>
      <c r="I644" s="2"/>
      <c r="J644" s="2">
        <v>17</v>
      </c>
      <c r="K644" s="2"/>
      <c r="L644" s="2">
        <v>28</v>
      </c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F644" s="1"/>
    </row>
    <row r="645" spans="1:58" s="22" customFormat="1" x14ac:dyDescent="0.25">
      <c r="A645" s="5" t="s">
        <v>17</v>
      </c>
      <c r="B645" s="4">
        <v>46185</v>
      </c>
      <c r="C645" s="2">
        <f t="shared" si="29"/>
        <v>24</v>
      </c>
      <c r="D645" s="3">
        <v>1835</v>
      </c>
      <c r="E645" s="70">
        <f>[1]DETAY!$A$2</f>
        <v>0</v>
      </c>
      <c r="F645" s="71">
        <f t="shared" si="28"/>
        <v>1750</v>
      </c>
      <c r="G645" s="72">
        <f t="shared" si="30"/>
        <v>85</v>
      </c>
      <c r="H645" s="73">
        <f t="shared" si="31"/>
        <v>0.9536784741144414</v>
      </c>
      <c r="I645" s="2"/>
      <c r="J645" s="2">
        <v>43</v>
      </c>
      <c r="K645" s="2"/>
      <c r="L645" s="2">
        <v>41</v>
      </c>
      <c r="M645" s="2">
        <v>1</v>
      </c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F645" s="1"/>
    </row>
    <row r="646" spans="1:58" s="22" customFormat="1" x14ac:dyDescent="0.25">
      <c r="A646" s="5" t="s">
        <v>11</v>
      </c>
      <c r="B646" s="4">
        <v>46185</v>
      </c>
      <c r="C646" s="2">
        <f t="shared" si="29"/>
        <v>24</v>
      </c>
      <c r="D646" s="3">
        <v>1306</v>
      </c>
      <c r="E646" s="70">
        <f>[1]DETAY!$A$2</f>
        <v>0</v>
      </c>
      <c r="F646" s="71">
        <f t="shared" si="28"/>
        <v>1260</v>
      </c>
      <c r="G646" s="72">
        <f t="shared" si="30"/>
        <v>46</v>
      </c>
      <c r="H646" s="73">
        <f t="shared" si="31"/>
        <v>0.96477794793261873</v>
      </c>
      <c r="I646" s="2"/>
      <c r="J646" s="2"/>
      <c r="K646" s="2">
        <v>1</v>
      </c>
      <c r="L646" s="2">
        <v>22</v>
      </c>
      <c r="M646" s="2"/>
      <c r="N646" s="2"/>
      <c r="O646" s="2"/>
      <c r="P646" s="2"/>
      <c r="Q646" s="2"/>
      <c r="R646" s="2"/>
      <c r="S646" s="2"/>
      <c r="T646" s="2"/>
      <c r="U646" s="2">
        <v>8</v>
      </c>
      <c r="V646" s="2">
        <v>15</v>
      </c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F646" s="1"/>
    </row>
    <row r="647" spans="1:58" s="22" customFormat="1" x14ac:dyDescent="0.25">
      <c r="A647" s="5" t="s">
        <v>10</v>
      </c>
      <c r="B647" s="4">
        <v>46185</v>
      </c>
      <c r="C647" s="2">
        <f t="shared" si="29"/>
        <v>24</v>
      </c>
      <c r="D647" s="3">
        <v>307</v>
      </c>
      <c r="E647" s="70">
        <f>[1]DETAY!$A$2</f>
        <v>0</v>
      </c>
      <c r="F647" s="71">
        <f t="shared" si="28"/>
        <v>300</v>
      </c>
      <c r="G647" s="72">
        <f t="shared" si="30"/>
        <v>7</v>
      </c>
      <c r="H647" s="73">
        <f t="shared" si="31"/>
        <v>0.9771986970684039</v>
      </c>
      <c r="I647" s="2"/>
      <c r="J647" s="2"/>
      <c r="K647" s="2"/>
      <c r="L647" s="2"/>
      <c r="M647" s="2">
        <v>7</v>
      </c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F647" s="1"/>
    </row>
    <row r="648" spans="1:58" s="22" customFormat="1" x14ac:dyDescent="0.25">
      <c r="A648" s="5" t="s">
        <v>9</v>
      </c>
      <c r="B648" s="4">
        <v>46185</v>
      </c>
      <c r="C648" s="2">
        <f t="shared" si="29"/>
        <v>24</v>
      </c>
      <c r="D648" s="3">
        <v>262</v>
      </c>
      <c r="E648" s="70">
        <f>[1]DETAY!$A$2</f>
        <v>0</v>
      </c>
      <c r="F648" s="71">
        <f t="shared" si="28"/>
        <v>240</v>
      </c>
      <c r="G648" s="72">
        <f t="shared" si="30"/>
        <v>22</v>
      </c>
      <c r="H648" s="73">
        <f t="shared" si="31"/>
        <v>0.91603053435114501</v>
      </c>
      <c r="I648" s="2"/>
      <c r="J648" s="2"/>
      <c r="K648" s="2"/>
      <c r="L648" s="2"/>
      <c r="M648" s="2">
        <v>22</v>
      </c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F648" s="1"/>
    </row>
    <row r="649" spans="1:58" s="22" customFormat="1" x14ac:dyDescent="0.25">
      <c r="A649" s="5" t="s">
        <v>0</v>
      </c>
      <c r="B649" s="4">
        <v>46185</v>
      </c>
      <c r="C649" s="2">
        <f t="shared" si="29"/>
        <v>24</v>
      </c>
      <c r="D649" s="3">
        <v>665</v>
      </c>
      <c r="E649" s="70">
        <f>[1]DETAY!$A$2</f>
        <v>0</v>
      </c>
      <c r="F649" s="71">
        <f t="shared" si="28"/>
        <v>515</v>
      </c>
      <c r="G649" s="72">
        <f t="shared" si="30"/>
        <v>150</v>
      </c>
      <c r="H649" s="73">
        <f t="shared" si="31"/>
        <v>0.77443609022556392</v>
      </c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>
        <v>150</v>
      </c>
      <c r="AV649" s="2"/>
      <c r="AW649" s="2"/>
      <c r="AX649" s="2"/>
      <c r="AY649" s="2"/>
      <c r="AZ649" s="2"/>
      <c r="BA649" s="2"/>
      <c r="BB649" s="2"/>
      <c r="BC649" s="2"/>
      <c r="BD649" s="2"/>
      <c r="BF649" s="1"/>
    </row>
    <row r="650" spans="1:58" s="22" customFormat="1" x14ac:dyDescent="0.25">
      <c r="A650" s="5" t="s">
        <v>22</v>
      </c>
      <c r="B650" s="4">
        <v>46185</v>
      </c>
      <c r="C650" s="2">
        <f t="shared" si="29"/>
        <v>24</v>
      </c>
      <c r="D650" s="3">
        <v>632</v>
      </c>
      <c r="E650" s="70">
        <f>[1]DETAY!$A$2</f>
        <v>0</v>
      </c>
      <c r="F650" s="71">
        <f t="shared" si="28"/>
        <v>600</v>
      </c>
      <c r="G650" s="72">
        <f t="shared" si="30"/>
        <v>32</v>
      </c>
      <c r="H650" s="73">
        <f t="shared" si="31"/>
        <v>0.94936708860759489</v>
      </c>
      <c r="I650" s="2"/>
      <c r="J650" s="2"/>
      <c r="K650" s="2"/>
      <c r="L650" s="2">
        <v>32</v>
      </c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F650" s="1"/>
    </row>
    <row r="651" spans="1:58" s="22" customFormat="1" x14ac:dyDescent="0.25">
      <c r="A651" s="5" t="s">
        <v>21</v>
      </c>
      <c r="B651" s="4">
        <v>46185</v>
      </c>
      <c r="C651" s="2">
        <f t="shared" si="29"/>
        <v>24</v>
      </c>
      <c r="D651" s="3">
        <v>142</v>
      </c>
      <c r="E651" s="70">
        <f>[1]DETAY!$A$2</f>
        <v>0</v>
      </c>
      <c r="F651" s="71">
        <f t="shared" si="28"/>
        <v>142</v>
      </c>
      <c r="G651" s="72">
        <f t="shared" si="30"/>
        <v>0</v>
      </c>
      <c r="H651" s="73">
        <f t="shared" si="31"/>
        <v>1</v>
      </c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F651" s="1"/>
    </row>
    <row r="652" spans="1:58" s="22" customFormat="1" x14ac:dyDescent="0.25">
      <c r="A652" s="5" t="s">
        <v>20</v>
      </c>
      <c r="B652" s="4">
        <v>46185</v>
      </c>
      <c r="C652" s="2">
        <f t="shared" si="29"/>
        <v>24</v>
      </c>
      <c r="D652" s="3">
        <v>722</v>
      </c>
      <c r="E652" s="70">
        <f>[1]DETAY!$A$2</f>
        <v>0</v>
      </c>
      <c r="F652" s="71">
        <f t="shared" si="28"/>
        <v>700</v>
      </c>
      <c r="G652" s="72">
        <f t="shared" si="30"/>
        <v>22</v>
      </c>
      <c r="H652" s="73">
        <f t="shared" si="31"/>
        <v>0.96952908587257614</v>
      </c>
      <c r="I652" s="2"/>
      <c r="J652" s="2">
        <v>18</v>
      </c>
      <c r="K652" s="2"/>
      <c r="L652" s="2">
        <v>4</v>
      </c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F652" s="1"/>
    </row>
    <row r="653" spans="1:58" s="22" customFormat="1" x14ac:dyDescent="0.25">
      <c r="A653" s="5" t="s">
        <v>19</v>
      </c>
      <c r="B653" s="4">
        <v>46185</v>
      </c>
      <c r="C653" s="2">
        <f t="shared" si="29"/>
        <v>24</v>
      </c>
      <c r="D653" s="3">
        <v>1101</v>
      </c>
      <c r="E653" s="70">
        <f>[1]DETAY!$A$2</f>
        <v>0</v>
      </c>
      <c r="F653" s="71">
        <f t="shared" si="28"/>
        <v>1050</v>
      </c>
      <c r="G653" s="72">
        <f t="shared" si="30"/>
        <v>51</v>
      </c>
      <c r="H653" s="73">
        <f t="shared" si="31"/>
        <v>0.9536784741144414</v>
      </c>
      <c r="I653" s="2"/>
      <c r="J653" s="2">
        <v>41</v>
      </c>
      <c r="K653" s="2"/>
      <c r="L653" s="2">
        <v>10</v>
      </c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F653" s="1"/>
    </row>
    <row r="654" spans="1:58" s="22" customFormat="1" x14ac:dyDescent="0.25">
      <c r="A654" s="5" t="s">
        <v>18</v>
      </c>
      <c r="B654" s="4">
        <v>46185</v>
      </c>
      <c r="C654" s="2">
        <f t="shared" si="29"/>
        <v>24</v>
      </c>
      <c r="D654" s="3">
        <v>352</v>
      </c>
      <c r="E654" s="70">
        <f>[1]DETAY!$A$2</f>
        <v>0</v>
      </c>
      <c r="F654" s="71">
        <f t="shared" si="28"/>
        <v>350</v>
      </c>
      <c r="G654" s="72">
        <f t="shared" si="30"/>
        <v>2</v>
      </c>
      <c r="H654" s="73">
        <f t="shared" si="31"/>
        <v>0.99431818181818177</v>
      </c>
      <c r="I654" s="2"/>
      <c r="J654" s="2">
        <v>1</v>
      </c>
      <c r="K654" s="2"/>
      <c r="L654" s="2">
        <v>1</v>
      </c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F654" s="1"/>
    </row>
    <row r="655" spans="1:58" s="22" customFormat="1" x14ac:dyDescent="0.25">
      <c r="A655" s="5" t="s">
        <v>17</v>
      </c>
      <c r="B655" s="4">
        <v>46185</v>
      </c>
      <c r="C655" s="2">
        <f t="shared" si="29"/>
        <v>24</v>
      </c>
      <c r="D655" s="3">
        <v>1887</v>
      </c>
      <c r="E655" s="70">
        <f>[1]DETAY!$A$2</f>
        <v>0</v>
      </c>
      <c r="F655" s="71">
        <f t="shared" si="28"/>
        <v>1850</v>
      </c>
      <c r="G655" s="72">
        <f t="shared" si="30"/>
        <v>37</v>
      </c>
      <c r="H655" s="73">
        <f t="shared" si="31"/>
        <v>0.98039215686274506</v>
      </c>
      <c r="I655" s="2"/>
      <c r="J655" s="2">
        <v>33</v>
      </c>
      <c r="K655" s="2"/>
      <c r="L655" s="2">
        <v>4</v>
      </c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F655" s="1"/>
    </row>
    <row r="656" spans="1:58" s="22" customFormat="1" x14ac:dyDescent="0.25">
      <c r="A656" s="5" t="s">
        <v>16</v>
      </c>
      <c r="B656" s="4">
        <v>46185</v>
      </c>
      <c r="C656" s="2">
        <f t="shared" si="29"/>
        <v>24</v>
      </c>
      <c r="D656" s="3">
        <v>741</v>
      </c>
      <c r="E656" s="70">
        <f>[1]DETAY!$A$2</f>
        <v>0</v>
      </c>
      <c r="F656" s="71">
        <f t="shared" si="28"/>
        <v>735</v>
      </c>
      <c r="G656" s="72">
        <f t="shared" si="30"/>
        <v>6</v>
      </c>
      <c r="H656" s="73">
        <f t="shared" si="31"/>
        <v>0.9919028340080972</v>
      </c>
      <c r="I656" s="2"/>
      <c r="J656" s="2"/>
      <c r="K656" s="2"/>
      <c r="L656" s="2"/>
      <c r="M656" s="2"/>
      <c r="N656" s="2"/>
      <c r="O656" s="2"/>
      <c r="P656" s="2"/>
      <c r="Q656" s="2">
        <v>3</v>
      </c>
      <c r="R656" s="2"/>
      <c r="S656" s="2"/>
      <c r="T656" s="2"/>
      <c r="U656" s="2">
        <v>1</v>
      </c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>
        <v>2</v>
      </c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F656" s="1"/>
    </row>
    <row r="657" spans="1:58" s="22" customFormat="1" x14ac:dyDescent="0.25">
      <c r="A657" s="5" t="s">
        <v>10</v>
      </c>
      <c r="B657" s="4">
        <v>46185</v>
      </c>
      <c r="C657" s="2">
        <f t="shared" si="29"/>
        <v>24</v>
      </c>
      <c r="D657" s="3">
        <v>421</v>
      </c>
      <c r="E657" s="70">
        <f>[1]DETAY!$A$2</f>
        <v>0</v>
      </c>
      <c r="F657" s="71">
        <f t="shared" si="28"/>
        <v>420</v>
      </c>
      <c r="G657" s="72">
        <f t="shared" si="30"/>
        <v>1</v>
      </c>
      <c r="H657" s="73">
        <f t="shared" si="31"/>
        <v>0.99762470308788598</v>
      </c>
      <c r="I657" s="2"/>
      <c r="J657" s="2"/>
      <c r="K657" s="2"/>
      <c r="L657" s="2"/>
      <c r="M657" s="2">
        <v>1</v>
      </c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F657" s="1"/>
    </row>
    <row r="658" spans="1:58" s="22" customFormat="1" x14ac:dyDescent="0.25">
      <c r="A658" s="5" t="s">
        <v>9</v>
      </c>
      <c r="B658" s="4">
        <v>46185</v>
      </c>
      <c r="C658" s="2">
        <f t="shared" si="29"/>
        <v>24</v>
      </c>
      <c r="D658" s="3">
        <v>551</v>
      </c>
      <c r="E658" s="70">
        <f>[1]DETAY!$A$2</f>
        <v>0</v>
      </c>
      <c r="F658" s="71">
        <f t="shared" ref="F658:F721" si="32">D658-G658</f>
        <v>540</v>
      </c>
      <c r="G658" s="72">
        <f t="shared" si="30"/>
        <v>11</v>
      </c>
      <c r="H658" s="73">
        <f t="shared" si="31"/>
        <v>0.98003629764065336</v>
      </c>
      <c r="I658" s="2"/>
      <c r="J658" s="2"/>
      <c r="K658" s="2"/>
      <c r="L658" s="2"/>
      <c r="M658" s="2">
        <v>8</v>
      </c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>
        <v>3</v>
      </c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F658" s="1"/>
    </row>
    <row r="659" spans="1:58" s="22" customFormat="1" x14ac:dyDescent="0.25">
      <c r="A659" s="5" t="s">
        <v>15</v>
      </c>
      <c r="B659" s="4">
        <v>46185</v>
      </c>
      <c r="C659" s="2">
        <f t="shared" si="29"/>
        <v>24</v>
      </c>
      <c r="D659" s="3">
        <v>660</v>
      </c>
      <c r="E659" s="70">
        <f>[1]DETAY!$A$2</f>
        <v>0</v>
      </c>
      <c r="F659" s="71">
        <f t="shared" si="32"/>
        <v>660</v>
      </c>
      <c r="G659" s="72">
        <f t="shared" si="30"/>
        <v>0</v>
      </c>
      <c r="H659" s="73">
        <f t="shared" si="31"/>
        <v>1</v>
      </c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F659" s="1"/>
    </row>
    <row r="660" spans="1:58" s="22" customFormat="1" x14ac:dyDescent="0.25">
      <c r="A660" s="5" t="s">
        <v>14</v>
      </c>
      <c r="B660" s="4">
        <v>46185</v>
      </c>
      <c r="C660" s="2">
        <f t="shared" si="29"/>
        <v>24</v>
      </c>
      <c r="D660" s="3">
        <v>440</v>
      </c>
      <c r="E660" s="70">
        <f>[1]DETAY!$A$2</f>
        <v>0</v>
      </c>
      <c r="F660" s="71">
        <f t="shared" si="32"/>
        <v>440</v>
      </c>
      <c r="G660" s="72">
        <f t="shared" si="30"/>
        <v>0</v>
      </c>
      <c r="H660" s="73">
        <f t="shared" si="31"/>
        <v>1</v>
      </c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F660" s="1"/>
    </row>
    <row r="661" spans="1:58" s="22" customFormat="1" x14ac:dyDescent="0.25">
      <c r="A661" s="5" t="s">
        <v>7</v>
      </c>
      <c r="B661" s="4">
        <v>46185</v>
      </c>
      <c r="C661" s="2">
        <f t="shared" si="29"/>
        <v>24</v>
      </c>
      <c r="D661" s="3">
        <v>128</v>
      </c>
      <c r="E661" s="70">
        <f>[1]DETAY!$A$2</f>
        <v>0</v>
      </c>
      <c r="F661" s="71">
        <f t="shared" si="32"/>
        <v>128</v>
      </c>
      <c r="G661" s="72">
        <f t="shared" si="30"/>
        <v>0</v>
      </c>
      <c r="H661" s="73">
        <f t="shared" si="31"/>
        <v>1</v>
      </c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F661" s="1"/>
    </row>
    <row r="662" spans="1:58" s="22" customFormat="1" x14ac:dyDescent="0.25">
      <c r="A662" s="5" t="s">
        <v>4</v>
      </c>
      <c r="B662" s="4">
        <v>46185</v>
      </c>
      <c r="C662" s="2">
        <f t="shared" si="29"/>
        <v>24</v>
      </c>
      <c r="D662" s="3">
        <v>154</v>
      </c>
      <c r="E662" s="70">
        <f>[1]DETAY!$A$2</f>
        <v>0</v>
      </c>
      <c r="F662" s="71">
        <f t="shared" si="32"/>
        <v>154</v>
      </c>
      <c r="G662" s="72">
        <f t="shared" si="30"/>
        <v>0</v>
      </c>
      <c r="H662" s="73">
        <f t="shared" si="31"/>
        <v>1</v>
      </c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F662" s="1"/>
    </row>
    <row r="663" spans="1:58" s="22" customFormat="1" x14ac:dyDescent="0.25">
      <c r="A663" s="5" t="s">
        <v>0</v>
      </c>
      <c r="B663" s="4">
        <v>46185</v>
      </c>
      <c r="C663" s="2">
        <f t="shared" si="29"/>
        <v>24</v>
      </c>
      <c r="D663" s="3">
        <v>156</v>
      </c>
      <c r="E663" s="70">
        <f>[1]DETAY!$A$2</f>
        <v>0</v>
      </c>
      <c r="F663" s="71">
        <f t="shared" si="32"/>
        <v>120</v>
      </c>
      <c r="G663" s="72">
        <f t="shared" si="30"/>
        <v>36</v>
      </c>
      <c r="H663" s="73">
        <f t="shared" si="31"/>
        <v>0.76923076923076927</v>
      </c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>
        <v>36</v>
      </c>
      <c r="AV663" s="2"/>
      <c r="AW663" s="2"/>
      <c r="AX663" s="2"/>
      <c r="AY663" s="2"/>
      <c r="AZ663" s="2"/>
      <c r="BA663" s="2"/>
      <c r="BB663" s="2"/>
      <c r="BC663" s="2"/>
      <c r="BD663" s="2"/>
      <c r="BF663" s="1"/>
    </row>
    <row r="664" spans="1:58" s="22" customFormat="1" x14ac:dyDescent="0.25">
      <c r="A664" s="5" t="s">
        <v>22</v>
      </c>
      <c r="B664" s="4">
        <v>46185</v>
      </c>
      <c r="C664" s="2">
        <f t="shared" si="29"/>
        <v>24</v>
      </c>
      <c r="D664" s="3">
        <v>417</v>
      </c>
      <c r="E664" s="70">
        <f>[1]DETAY!$A$2</f>
        <v>0</v>
      </c>
      <c r="F664" s="71">
        <f t="shared" si="32"/>
        <v>410</v>
      </c>
      <c r="G664" s="72">
        <f t="shared" si="30"/>
        <v>7</v>
      </c>
      <c r="H664" s="73">
        <f t="shared" si="31"/>
        <v>0.98321342925659472</v>
      </c>
      <c r="I664" s="2"/>
      <c r="J664" s="2"/>
      <c r="K664" s="2"/>
      <c r="L664" s="2">
        <v>7</v>
      </c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F664" s="1"/>
    </row>
    <row r="665" spans="1:58" s="22" customFormat="1" x14ac:dyDescent="0.25">
      <c r="A665" s="5" t="s">
        <v>20</v>
      </c>
      <c r="B665" s="4">
        <v>46185</v>
      </c>
      <c r="C665" s="2">
        <f t="shared" si="29"/>
        <v>24</v>
      </c>
      <c r="D665" s="3">
        <v>150</v>
      </c>
      <c r="E665" s="70">
        <f>[1]DETAY!$A$2</f>
        <v>0</v>
      </c>
      <c r="F665" s="71">
        <f t="shared" si="32"/>
        <v>135</v>
      </c>
      <c r="G665" s="72">
        <f t="shared" si="30"/>
        <v>15</v>
      </c>
      <c r="H665" s="73">
        <f t="shared" si="31"/>
        <v>0.9</v>
      </c>
      <c r="I665" s="2"/>
      <c r="J665" s="2"/>
      <c r="K665" s="2"/>
      <c r="L665" s="2">
        <v>15</v>
      </c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F665" s="1"/>
    </row>
    <row r="666" spans="1:58" s="22" customFormat="1" x14ac:dyDescent="0.25">
      <c r="A666" s="5" t="s">
        <v>19</v>
      </c>
      <c r="B666" s="4">
        <v>46185</v>
      </c>
      <c r="C666" s="2">
        <f t="shared" si="29"/>
        <v>24</v>
      </c>
      <c r="D666" s="3">
        <v>462</v>
      </c>
      <c r="E666" s="70">
        <f>[1]DETAY!$A$2</f>
        <v>0</v>
      </c>
      <c r="F666" s="71">
        <f t="shared" si="32"/>
        <v>460</v>
      </c>
      <c r="G666" s="72">
        <f t="shared" si="30"/>
        <v>2</v>
      </c>
      <c r="H666" s="73">
        <f t="shared" si="31"/>
        <v>0.99567099567099571</v>
      </c>
      <c r="I666" s="2"/>
      <c r="J666" s="2">
        <v>2</v>
      </c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F666" s="1"/>
    </row>
    <row r="667" spans="1:58" s="22" customFormat="1" x14ac:dyDescent="0.25">
      <c r="A667" s="5" t="s">
        <v>11</v>
      </c>
      <c r="B667" s="4">
        <v>46185</v>
      </c>
      <c r="C667" s="2">
        <f t="shared" si="29"/>
        <v>24</v>
      </c>
      <c r="D667" s="3">
        <v>496</v>
      </c>
      <c r="E667" s="70">
        <f>[1]DETAY!$A$2</f>
        <v>0</v>
      </c>
      <c r="F667" s="71">
        <f t="shared" si="32"/>
        <v>490</v>
      </c>
      <c r="G667" s="72">
        <f t="shared" si="30"/>
        <v>6</v>
      </c>
      <c r="H667" s="73">
        <f t="shared" si="31"/>
        <v>0.98790322580645162</v>
      </c>
      <c r="I667" s="2"/>
      <c r="J667" s="2"/>
      <c r="K667" s="2"/>
      <c r="L667" s="2">
        <v>6</v>
      </c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F667" s="1"/>
    </row>
    <row r="668" spans="1:58" s="22" customFormat="1" x14ac:dyDescent="0.25">
      <c r="A668" s="5" t="s">
        <v>10</v>
      </c>
      <c r="B668" s="4">
        <v>46185</v>
      </c>
      <c r="C668" s="2">
        <f t="shared" si="29"/>
        <v>24</v>
      </c>
      <c r="D668" s="3">
        <v>424</v>
      </c>
      <c r="E668" s="70">
        <f>[1]DETAY!$A$2</f>
        <v>0</v>
      </c>
      <c r="F668" s="71">
        <f t="shared" si="32"/>
        <v>420</v>
      </c>
      <c r="G668" s="72">
        <f t="shared" si="30"/>
        <v>4</v>
      </c>
      <c r="H668" s="73">
        <f t="shared" si="31"/>
        <v>0.99056603773584906</v>
      </c>
      <c r="I668" s="2"/>
      <c r="J668" s="2"/>
      <c r="K668" s="2"/>
      <c r="L668" s="2"/>
      <c r="M668" s="2">
        <v>4</v>
      </c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F668" s="1"/>
    </row>
    <row r="669" spans="1:58" s="22" customFormat="1" x14ac:dyDescent="0.25">
      <c r="A669" s="5" t="s">
        <v>9</v>
      </c>
      <c r="B669" s="4">
        <v>46185</v>
      </c>
      <c r="C669" s="2">
        <f t="shared" si="29"/>
        <v>24</v>
      </c>
      <c r="D669" s="3">
        <v>548</v>
      </c>
      <c r="E669" s="70">
        <f>[1]DETAY!$A$2</f>
        <v>0</v>
      </c>
      <c r="F669" s="71">
        <f t="shared" si="32"/>
        <v>540</v>
      </c>
      <c r="G669" s="72">
        <f t="shared" si="30"/>
        <v>8</v>
      </c>
      <c r="H669" s="73">
        <f t="shared" si="31"/>
        <v>0.98540145985401462</v>
      </c>
      <c r="I669" s="2"/>
      <c r="J669" s="2"/>
      <c r="K669" s="2"/>
      <c r="L669" s="2"/>
      <c r="M669" s="2">
        <v>8</v>
      </c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F669" s="1"/>
    </row>
    <row r="670" spans="1:58" s="22" customFormat="1" x14ac:dyDescent="0.25">
      <c r="A670" s="5" t="s">
        <v>1</v>
      </c>
      <c r="B670" s="4">
        <v>46185</v>
      </c>
      <c r="C670" s="2">
        <f t="shared" si="29"/>
        <v>24</v>
      </c>
      <c r="D670" s="3">
        <v>400</v>
      </c>
      <c r="E670" s="70">
        <f>[1]DETAY!$A$2</f>
        <v>0</v>
      </c>
      <c r="F670" s="71">
        <f t="shared" si="32"/>
        <v>350</v>
      </c>
      <c r="G670" s="72">
        <f t="shared" si="30"/>
        <v>50</v>
      </c>
      <c r="H670" s="73">
        <f t="shared" si="31"/>
        <v>0.875</v>
      </c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>
        <v>50</v>
      </c>
      <c r="AV670" s="2"/>
      <c r="AW670" s="2"/>
      <c r="AX670" s="2"/>
      <c r="AY670" s="2"/>
      <c r="AZ670" s="2"/>
      <c r="BA670" s="2"/>
      <c r="BB670" s="2"/>
      <c r="BC670" s="2"/>
      <c r="BD670" s="2"/>
      <c r="BF670" s="1"/>
    </row>
    <row r="671" spans="1:58" s="22" customFormat="1" x14ac:dyDescent="0.25">
      <c r="A671" s="5" t="s">
        <v>0</v>
      </c>
      <c r="B671" s="4">
        <v>46185</v>
      </c>
      <c r="C671" s="2">
        <f t="shared" si="29"/>
        <v>24</v>
      </c>
      <c r="D671" s="3">
        <v>410</v>
      </c>
      <c r="E671" s="70">
        <f>[1]DETAY!$A$2</f>
        <v>0</v>
      </c>
      <c r="F671" s="71">
        <f t="shared" si="32"/>
        <v>340</v>
      </c>
      <c r="G671" s="72">
        <f t="shared" si="30"/>
        <v>70</v>
      </c>
      <c r="H671" s="73">
        <f t="shared" si="31"/>
        <v>0.82926829268292679</v>
      </c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>
        <v>70</v>
      </c>
      <c r="AV671" s="2"/>
      <c r="AW671" s="2"/>
      <c r="AX671" s="2"/>
      <c r="AY671" s="2"/>
      <c r="AZ671" s="2"/>
      <c r="BA671" s="2"/>
      <c r="BB671" s="2"/>
      <c r="BC671" s="2"/>
      <c r="BD671" s="2"/>
      <c r="BF671" s="1"/>
    </row>
    <row r="672" spans="1:58" s="22" customFormat="1" x14ac:dyDescent="0.25">
      <c r="A672" s="5" t="s">
        <v>15</v>
      </c>
      <c r="B672" s="4">
        <v>46185</v>
      </c>
      <c r="C672" s="2">
        <f t="shared" si="29"/>
        <v>24</v>
      </c>
      <c r="D672" s="3">
        <v>1920</v>
      </c>
      <c r="E672" s="70">
        <f>[1]DETAY!$A$2</f>
        <v>0</v>
      </c>
      <c r="F672" s="71">
        <f t="shared" si="32"/>
        <v>1920</v>
      </c>
      <c r="G672" s="72">
        <f t="shared" si="30"/>
        <v>0</v>
      </c>
      <c r="H672" s="73">
        <f t="shared" si="31"/>
        <v>1</v>
      </c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F672" s="1"/>
    </row>
    <row r="673" spans="1:58" s="22" customFormat="1" x14ac:dyDescent="0.25">
      <c r="A673" s="5" t="s">
        <v>14</v>
      </c>
      <c r="B673" s="4">
        <v>46185</v>
      </c>
      <c r="C673" s="2">
        <f t="shared" si="29"/>
        <v>24</v>
      </c>
      <c r="D673" s="3">
        <v>1100</v>
      </c>
      <c r="E673" s="70">
        <f>[1]DETAY!$A$2</f>
        <v>0</v>
      </c>
      <c r="F673" s="71">
        <f t="shared" si="32"/>
        <v>1100</v>
      </c>
      <c r="G673" s="72">
        <f t="shared" si="30"/>
        <v>0</v>
      </c>
      <c r="H673" s="73">
        <f t="shared" si="31"/>
        <v>1</v>
      </c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F673" s="1"/>
    </row>
    <row r="674" spans="1:58" s="22" customFormat="1" x14ac:dyDescent="0.25">
      <c r="A674" s="5" t="s">
        <v>7</v>
      </c>
      <c r="B674" s="4">
        <v>46185</v>
      </c>
      <c r="C674" s="2">
        <f t="shared" si="29"/>
        <v>24</v>
      </c>
      <c r="D674" s="3">
        <v>192</v>
      </c>
      <c r="E674" s="70">
        <f>[1]DETAY!$A$2</f>
        <v>0</v>
      </c>
      <c r="F674" s="71">
        <f t="shared" si="32"/>
        <v>192</v>
      </c>
      <c r="G674" s="72">
        <f t="shared" si="30"/>
        <v>0</v>
      </c>
      <c r="H674" s="73">
        <f t="shared" si="31"/>
        <v>1</v>
      </c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F674" s="1"/>
    </row>
    <row r="675" spans="1:58" s="22" customFormat="1" x14ac:dyDescent="0.25">
      <c r="A675" s="5" t="s">
        <v>4</v>
      </c>
      <c r="B675" s="4">
        <v>46185</v>
      </c>
      <c r="C675" s="2">
        <f t="shared" si="29"/>
        <v>24</v>
      </c>
      <c r="D675" s="3">
        <v>308</v>
      </c>
      <c r="E675" s="70">
        <f>[1]DETAY!$A$2</f>
        <v>0</v>
      </c>
      <c r="F675" s="71">
        <f t="shared" si="32"/>
        <v>308</v>
      </c>
      <c r="G675" s="72">
        <f t="shared" si="30"/>
        <v>0</v>
      </c>
      <c r="H675" s="73">
        <f t="shared" si="31"/>
        <v>1</v>
      </c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F675" s="1"/>
    </row>
    <row r="676" spans="1:58" s="22" customFormat="1" x14ac:dyDescent="0.25">
      <c r="A676" s="5" t="s">
        <v>22</v>
      </c>
      <c r="B676" s="4">
        <v>46186</v>
      </c>
      <c r="C676" s="2">
        <f t="shared" si="29"/>
        <v>24</v>
      </c>
      <c r="D676" s="3">
        <v>626</v>
      </c>
      <c r="E676" s="70">
        <f>[1]DETAY!$A$2</f>
        <v>0</v>
      </c>
      <c r="F676" s="71">
        <f t="shared" si="32"/>
        <v>600</v>
      </c>
      <c r="G676" s="72">
        <f t="shared" si="30"/>
        <v>26</v>
      </c>
      <c r="H676" s="73">
        <f t="shared" si="31"/>
        <v>0.95846645367412142</v>
      </c>
      <c r="I676" s="2"/>
      <c r="J676" s="2"/>
      <c r="K676" s="2"/>
      <c r="L676" s="2">
        <v>26</v>
      </c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F676" s="1"/>
    </row>
    <row r="677" spans="1:58" s="22" customFormat="1" x14ac:dyDescent="0.25">
      <c r="A677" s="5" t="s">
        <v>20</v>
      </c>
      <c r="B677" s="4">
        <v>46186</v>
      </c>
      <c r="C677" s="2">
        <f t="shared" si="29"/>
        <v>24</v>
      </c>
      <c r="D677" s="3">
        <v>2368</v>
      </c>
      <c r="E677" s="70">
        <f>[1]DETAY!$A$2</f>
        <v>0</v>
      </c>
      <c r="F677" s="71">
        <f t="shared" si="32"/>
        <v>2248</v>
      </c>
      <c r="G677" s="72">
        <f t="shared" si="30"/>
        <v>120</v>
      </c>
      <c r="H677" s="73">
        <f t="shared" si="31"/>
        <v>0.94932432432432434</v>
      </c>
      <c r="I677" s="2"/>
      <c r="J677" s="2">
        <v>44</v>
      </c>
      <c r="K677" s="2"/>
      <c r="L677" s="2">
        <v>71</v>
      </c>
      <c r="M677" s="2">
        <v>3</v>
      </c>
      <c r="N677" s="2"/>
      <c r="O677" s="2"/>
      <c r="P677" s="2"/>
      <c r="Q677" s="2"/>
      <c r="R677" s="2"/>
      <c r="S677" s="2"/>
      <c r="T677" s="2">
        <v>2</v>
      </c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F677" s="1"/>
    </row>
    <row r="678" spans="1:58" s="22" customFormat="1" x14ac:dyDescent="0.25">
      <c r="A678" s="5" t="s">
        <v>16</v>
      </c>
      <c r="B678" s="4">
        <v>46186</v>
      </c>
      <c r="C678" s="2">
        <f t="shared" si="29"/>
        <v>24</v>
      </c>
      <c r="D678" s="3">
        <v>650</v>
      </c>
      <c r="E678" s="70">
        <f>[1]DETAY!$A$2</f>
        <v>0</v>
      </c>
      <c r="F678" s="71">
        <f t="shared" si="32"/>
        <v>630</v>
      </c>
      <c r="G678" s="72">
        <f t="shared" si="30"/>
        <v>20</v>
      </c>
      <c r="H678" s="73">
        <f t="shared" si="31"/>
        <v>0.96923076923076923</v>
      </c>
      <c r="I678" s="2"/>
      <c r="J678" s="2"/>
      <c r="K678" s="2">
        <v>4</v>
      </c>
      <c r="L678" s="2"/>
      <c r="M678" s="2">
        <v>9</v>
      </c>
      <c r="N678" s="2"/>
      <c r="O678" s="2">
        <v>3</v>
      </c>
      <c r="P678" s="2"/>
      <c r="Q678" s="2">
        <v>1</v>
      </c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>
        <v>3</v>
      </c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F678" s="1"/>
    </row>
    <row r="679" spans="1:58" s="22" customFormat="1" x14ac:dyDescent="0.25">
      <c r="A679" s="5" t="s">
        <v>10</v>
      </c>
      <c r="B679" s="4">
        <v>46186</v>
      </c>
      <c r="C679" s="2">
        <f t="shared" si="29"/>
        <v>24</v>
      </c>
      <c r="D679" s="3">
        <v>431</v>
      </c>
      <c r="E679" s="70">
        <f>[1]DETAY!$A$2</f>
        <v>0</v>
      </c>
      <c r="F679" s="71">
        <f t="shared" si="32"/>
        <v>420</v>
      </c>
      <c r="G679" s="72">
        <f t="shared" si="30"/>
        <v>11</v>
      </c>
      <c r="H679" s="73">
        <f t="shared" si="31"/>
        <v>0.97447795823665895</v>
      </c>
      <c r="I679" s="2"/>
      <c r="J679" s="2"/>
      <c r="K679" s="2"/>
      <c r="L679" s="2"/>
      <c r="M679" s="2">
        <v>11</v>
      </c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F679" s="1"/>
    </row>
    <row r="680" spans="1:58" s="22" customFormat="1" x14ac:dyDescent="0.25">
      <c r="A680" s="5" t="s">
        <v>9</v>
      </c>
      <c r="B680" s="4">
        <v>46186</v>
      </c>
      <c r="C680" s="2">
        <f t="shared" si="29"/>
        <v>24</v>
      </c>
      <c r="D680" s="3">
        <v>374</v>
      </c>
      <c r="E680" s="70">
        <f>[1]DETAY!$A$2</f>
        <v>0</v>
      </c>
      <c r="F680" s="71">
        <f t="shared" si="32"/>
        <v>360</v>
      </c>
      <c r="G680" s="72">
        <f t="shared" si="30"/>
        <v>14</v>
      </c>
      <c r="H680" s="73">
        <f t="shared" si="31"/>
        <v>0.96256684491978606</v>
      </c>
      <c r="I680" s="2"/>
      <c r="J680" s="2"/>
      <c r="K680" s="2"/>
      <c r="L680" s="2"/>
      <c r="M680" s="2">
        <v>14</v>
      </c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F680" s="1"/>
    </row>
    <row r="681" spans="1:58" s="22" customFormat="1" x14ac:dyDescent="0.25">
      <c r="A681" s="5" t="s">
        <v>0</v>
      </c>
      <c r="B681" s="4">
        <v>46186</v>
      </c>
      <c r="C681" s="2">
        <f t="shared" si="29"/>
        <v>24</v>
      </c>
      <c r="D681" s="3">
        <v>683</v>
      </c>
      <c r="E681" s="70">
        <f>[1]DETAY!$A$2</f>
        <v>0</v>
      </c>
      <c r="F681" s="71">
        <f t="shared" si="32"/>
        <v>315</v>
      </c>
      <c r="G681" s="72">
        <f t="shared" si="30"/>
        <v>368</v>
      </c>
      <c r="H681" s="73">
        <f t="shared" si="31"/>
        <v>0.46120058565153732</v>
      </c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>
        <v>368</v>
      </c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F681" s="1"/>
    </row>
    <row r="682" spans="1:58" s="22" customFormat="1" x14ac:dyDescent="0.25">
      <c r="A682" s="5" t="s">
        <v>1</v>
      </c>
      <c r="B682" s="4">
        <v>46186</v>
      </c>
      <c r="C682" s="2">
        <f t="shared" si="29"/>
        <v>24</v>
      </c>
      <c r="D682" s="3">
        <v>165</v>
      </c>
      <c r="E682" s="70">
        <f>[1]DETAY!$A$2</f>
        <v>0</v>
      </c>
      <c r="F682" s="71">
        <f t="shared" si="32"/>
        <v>165</v>
      </c>
      <c r="G682" s="72">
        <f t="shared" si="30"/>
        <v>0</v>
      </c>
      <c r="H682" s="73">
        <f t="shared" si="31"/>
        <v>1</v>
      </c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F682" s="1"/>
    </row>
    <row r="683" spans="1:58" s="22" customFormat="1" x14ac:dyDescent="0.25">
      <c r="A683" s="5" t="s">
        <v>4</v>
      </c>
      <c r="B683" s="4">
        <v>46186</v>
      </c>
      <c r="C683" s="2">
        <f t="shared" si="29"/>
        <v>24</v>
      </c>
      <c r="D683" s="3">
        <v>539</v>
      </c>
      <c r="E683" s="70">
        <f>[1]DETAY!$A$2</f>
        <v>0</v>
      </c>
      <c r="F683" s="71">
        <f t="shared" si="32"/>
        <v>539</v>
      </c>
      <c r="G683" s="72">
        <f t="shared" si="30"/>
        <v>0</v>
      </c>
      <c r="H683" s="73">
        <f t="shared" si="31"/>
        <v>1</v>
      </c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F683" s="1"/>
    </row>
    <row r="684" spans="1:58" s="22" customFormat="1" x14ac:dyDescent="0.25">
      <c r="A684" s="5" t="s">
        <v>15</v>
      </c>
      <c r="B684" s="4">
        <v>46186</v>
      </c>
      <c r="C684" s="2">
        <f t="shared" si="29"/>
        <v>24</v>
      </c>
      <c r="D684" s="3">
        <v>440</v>
      </c>
      <c r="E684" s="70">
        <f>[1]DETAY!$A$2</f>
        <v>0</v>
      </c>
      <c r="F684" s="71">
        <f t="shared" si="32"/>
        <v>440</v>
      </c>
      <c r="G684" s="72">
        <f t="shared" si="30"/>
        <v>0</v>
      </c>
      <c r="H684" s="73">
        <f t="shared" si="31"/>
        <v>1</v>
      </c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F684" s="1"/>
    </row>
    <row r="685" spans="1:58" s="22" customFormat="1" x14ac:dyDescent="0.25">
      <c r="A685" s="5" t="s">
        <v>14</v>
      </c>
      <c r="B685" s="4">
        <v>46186</v>
      </c>
      <c r="C685" s="2">
        <f t="shared" ref="C685:C748" si="33">WEEKNUM(B685)</f>
        <v>24</v>
      </c>
      <c r="D685" s="3">
        <v>440</v>
      </c>
      <c r="E685" s="70">
        <f>[1]DETAY!$A$2</f>
        <v>0</v>
      </c>
      <c r="F685" s="71">
        <f t="shared" si="32"/>
        <v>440</v>
      </c>
      <c r="G685" s="72">
        <f t="shared" ref="G685:G748" si="34">SUBTOTAL(9,I685:BD685)</f>
        <v>0</v>
      </c>
      <c r="H685" s="73">
        <f t="shared" ref="H685:H748" si="35">F685/D685</f>
        <v>1</v>
      </c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F685" s="1"/>
    </row>
    <row r="686" spans="1:58" s="22" customFormat="1" x14ac:dyDescent="0.25">
      <c r="A686" s="5" t="s">
        <v>4</v>
      </c>
      <c r="B686" s="4">
        <v>46186</v>
      </c>
      <c r="C686" s="2">
        <f t="shared" si="33"/>
        <v>24</v>
      </c>
      <c r="D686" s="3">
        <v>880</v>
      </c>
      <c r="E686" s="70">
        <f>[1]DETAY!$A$2</f>
        <v>0</v>
      </c>
      <c r="F686" s="71">
        <f t="shared" si="32"/>
        <v>880</v>
      </c>
      <c r="G686" s="72">
        <f t="shared" si="34"/>
        <v>0</v>
      </c>
      <c r="H686" s="73">
        <f t="shared" si="35"/>
        <v>1</v>
      </c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F686" s="1"/>
    </row>
    <row r="687" spans="1:58" s="22" customFormat="1" x14ac:dyDescent="0.25">
      <c r="A687" s="5" t="s">
        <v>15</v>
      </c>
      <c r="B687" s="4">
        <v>46186</v>
      </c>
      <c r="C687" s="2">
        <f t="shared" si="33"/>
        <v>24</v>
      </c>
      <c r="D687" s="3">
        <v>231</v>
      </c>
      <c r="E687" s="70">
        <f>[1]DETAY!$A$2</f>
        <v>0</v>
      </c>
      <c r="F687" s="71">
        <f t="shared" si="32"/>
        <v>231</v>
      </c>
      <c r="G687" s="72">
        <f t="shared" si="34"/>
        <v>0</v>
      </c>
      <c r="H687" s="73">
        <f t="shared" si="35"/>
        <v>1</v>
      </c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F687" s="1"/>
    </row>
    <row r="688" spans="1:58" s="22" customFormat="1" x14ac:dyDescent="0.25">
      <c r="A688" s="5" t="s">
        <v>22</v>
      </c>
      <c r="B688" s="4">
        <v>46186</v>
      </c>
      <c r="C688" s="2">
        <f t="shared" si="33"/>
        <v>24</v>
      </c>
      <c r="D688" s="3">
        <v>753</v>
      </c>
      <c r="E688" s="70">
        <f>[1]DETAY!$A$2</f>
        <v>0</v>
      </c>
      <c r="F688" s="71">
        <f t="shared" si="32"/>
        <v>735</v>
      </c>
      <c r="G688" s="72">
        <f t="shared" si="34"/>
        <v>18</v>
      </c>
      <c r="H688" s="73">
        <f t="shared" si="35"/>
        <v>0.9760956175298805</v>
      </c>
      <c r="I688" s="2"/>
      <c r="J688" s="2"/>
      <c r="K688" s="2"/>
      <c r="L688" s="2">
        <v>16</v>
      </c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>
        <v>2</v>
      </c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F688" s="1"/>
    </row>
    <row r="689" spans="1:58" s="22" customFormat="1" x14ac:dyDescent="0.25">
      <c r="A689" s="5" t="s">
        <v>89</v>
      </c>
      <c r="B689" s="4">
        <v>46186</v>
      </c>
      <c r="C689" s="2">
        <f t="shared" si="33"/>
        <v>24</v>
      </c>
      <c r="D689" s="3">
        <v>160</v>
      </c>
      <c r="E689" s="70">
        <f>[1]DETAY!$A$2</f>
        <v>0</v>
      </c>
      <c r="F689" s="71">
        <f t="shared" si="32"/>
        <v>158</v>
      </c>
      <c r="G689" s="72">
        <f t="shared" si="34"/>
        <v>2</v>
      </c>
      <c r="H689" s="73">
        <f t="shared" si="35"/>
        <v>0.98750000000000004</v>
      </c>
      <c r="I689" s="2"/>
      <c r="J689" s="2"/>
      <c r="K689" s="2"/>
      <c r="L689" s="2">
        <v>2</v>
      </c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F689" s="1"/>
    </row>
    <row r="690" spans="1:58" s="22" customFormat="1" x14ac:dyDescent="0.25">
      <c r="A690" s="5" t="s">
        <v>18</v>
      </c>
      <c r="B690" s="4">
        <v>46186</v>
      </c>
      <c r="C690" s="2">
        <f t="shared" si="33"/>
        <v>24</v>
      </c>
      <c r="D690" s="3">
        <v>1429</v>
      </c>
      <c r="E690" s="70">
        <f>[1]DETAY!$A$2</f>
        <v>0</v>
      </c>
      <c r="F690" s="71">
        <f t="shared" si="32"/>
        <v>1420</v>
      </c>
      <c r="G690" s="72">
        <f t="shared" si="34"/>
        <v>9</v>
      </c>
      <c r="H690" s="73">
        <f t="shared" si="35"/>
        <v>0.99370188943317006</v>
      </c>
      <c r="I690" s="2"/>
      <c r="J690" s="2">
        <v>7</v>
      </c>
      <c r="K690" s="2"/>
      <c r="L690" s="2">
        <v>2</v>
      </c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F690" s="1"/>
    </row>
    <row r="691" spans="1:58" s="22" customFormat="1" x14ac:dyDescent="0.25">
      <c r="A691" s="5" t="s">
        <v>10</v>
      </c>
      <c r="B691" s="4">
        <v>46186</v>
      </c>
      <c r="C691" s="2">
        <f t="shared" si="33"/>
        <v>24</v>
      </c>
      <c r="D691" s="3">
        <v>192</v>
      </c>
      <c r="E691" s="70">
        <f>[1]DETAY!$A$2</f>
        <v>0</v>
      </c>
      <c r="F691" s="71">
        <f t="shared" si="32"/>
        <v>180</v>
      </c>
      <c r="G691" s="72">
        <f t="shared" si="34"/>
        <v>12</v>
      </c>
      <c r="H691" s="73">
        <f t="shared" si="35"/>
        <v>0.9375</v>
      </c>
      <c r="I691" s="2"/>
      <c r="J691" s="2"/>
      <c r="K691" s="2"/>
      <c r="L691" s="2"/>
      <c r="M691" s="2">
        <v>2</v>
      </c>
      <c r="N691" s="2"/>
      <c r="O691" s="2">
        <v>10</v>
      </c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F691" s="1"/>
    </row>
    <row r="692" spans="1:58" s="22" customFormat="1" x14ac:dyDescent="0.25">
      <c r="A692" s="5" t="s">
        <v>9</v>
      </c>
      <c r="B692" s="4">
        <v>46186</v>
      </c>
      <c r="C692" s="2">
        <f t="shared" si="33"/>
        <v>24</v>
      </c>
      <c r="D692" s="3">
        <v>585</v>
      </c>
      <c r="E692" s="70">
        <f>[1]DETAY!$A$2</f>
        <v>0</v>
      </c>
      <c r="F692" s="71">
        <f t="shared" si="32"/>
        <v>585</v>
      </c>
      <c r="G692" s="72">
        <f t="shared" si="34"/>
        <v>0</v>
      </c>
      <c r="H692" s="73">
        <f t="shared" si="35"/>
        <v>1</v>
      </c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F692" s="1"/>
    </row>
    <row r="693" spans="1:58" s="22" customFormat="1" x14ac:dyDescent="0.25">
      <c r="A693" s="5" t="s">
        <v>0</v>
      </c>
      <c r="B693" s="4">
        <v>46186</v>
      </c>
      <c r="C693" s="2">
        <f t="shared" si="33"/>
        <v>24</v>
      </c>
      <c r="D693" s="3">
        <v>137</v>
      </c>
      <c r="E693" s="70">
        <f>[1]DETAY!$A$2</f>
        <v>0</v>
      </c>
      <c r="F693" s="71">
        <f t="shared" si="32"/>
        <v>115</v>
      </c>
      <c r="G693" s="72">
        <f t="shared" si="34"/>
        <v>22</v>
      </c>
      <c r="H693" s="73">
        <f t="shared" si="35"/>
        <v>0.83941605839416056</v>
      </c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>
        <v>22</v>
      </c>
      <c r="AV693" s="2"/>
      <c r="AW693" s="2"/>
      <c r="AX693" s="2"/>
      <c r="AY693" s="2"/>
      <c r="AZ693" s="2"/>
      <c r="BA693" s="2"/>
      <c r="BB693" s="2"/>
      <c r="BC693" s="2"/>
      <c r="BD693" s="2"/>
      <c r="BF693" s="1"/>
    </row>
    <row r="694" spans="1:58" s="22" customFormat="1" x14ac:dyDescent="0.25">
      <c r="A694" s="5" t="s">
        <v>21</v>
      </c>
      <c r="B694" s="4">
        <v>46186</v>
      </c>
      <c r="C694" s="2">
        <f t="shared" si="33"/>
        <v>24</v>
      </c>
      <c r="D694" s="3">
        <v>458</v>
      </c>
      <c r="E694" s="70">
        <f>[1]DETAY!$A$2</f>
        <v>0</v>
      </c>
      <c r="F694" s="71">
        <f t="shared" si="32"/>
        <v>455</v>
      </c>
      <c r="G694" s="72">
        <f t="shared" si="34"/>
        <v>3</v>
      </c>
      <c r="H694" s="73">
        <f t="shared" si="35"/>
        <v>0.99344978165938869</v>
      </c>
      <c r="I694" s="2"/>
      <c r="J694" s="2"/>
      <c r="K694" s="2"/>
      <c r="L694" s="2">
        <v>3</v>
      </c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F694" s="1"/>
    </row>
    <row r="695" spans="1:58" s="22" customFormat="1" x14ac:dyDescent="0.25">
      <c r="A695" s="5" t="s">
        <v>18</v>
      </c>
      <c r="B695" s="4">
        <v>46186</v>
      </c>
      <c r="C695" s="2">
        <f t="shared" si="33"/>
        <v>24</v>
      </c>
      <c r="D695" s="3">
        <v>375</v>
      </c>
      <c r="E695" s="70">
        <f>[1]DETAY!$A$2</f>
        <v>0</v>
      </c>
      <c r="F695" s="71">
        <f t="shared" si="32"/>
        <v>374</v>
      </c>
      <c r="G695" s="72">
        <f t="shared" si="34"/>
        <v>1</v>
      </c>
      <c r="H695" s="73">
        <f t="shared" si="35"/>
        <v>0.99733333333333329</v>
      </c>
      <c r="I695" s="2"/>
      <c r="J695" s="2"/>
      <c r="K695" s="2"/>
      <c r="L695" s="2">
        <v>1</v>
      </c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F695" s="1"/>
    </row>
    <row r="696" spans="1:58" s="22" customFormat="1" x14ac:dyDescent="0.25">
      <c r="A696" s="5" t="s">
        <v>11</v>
      </c>
      <c r="B696" s="4">
        <v>46186</v>
      </c>
      <c r="C696" s="2">
        <f t="shared" si="33"/>
        <v>24</v>
      </c>
      <c r="D696" s="3">
        <v>635</v>
      </c>
      <c r="E696" s="70">
        <f>[1]DETAY!$A$2</f>
        <v>0</v>
      </c>
      <c r="F696" s="71">
        <f t="shared" si="32"/>
        <v>630</v>
      </c>
      <c r="G696" s="72">
        <f t="shared" si="34"/>
        <v>5</v>
      </c>
      <c r="H696" s="73">
        <f t="shared" si="35"/>
        <v>0.99212598425196852</v>
      </c>
      <c r="I696" s="2"/>
      <c r="J696" s="2"/>
      <c r="K696" s="2"/>
      <c r="L696" s="2">
        <v>5</v>
      </c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F696" s="1"/>
    </row>
    <row r="697" spans="1:58" s="22" customFormat="1" x14ac:dyDescent="0.25">
      <c r="A697" s="5" t="s">
        <v>10</v>
      </c>
      <c r="B697" s="4">
        <v>46186</v>
      </c>
      <c r="C697" s="2">
        <f t="shared" si="33"/>
        <v>24</v>
      </c>
      <c r="D697" s="3">
        <v>200</v>
      </c>
      <c r="E697" s="70">
        <f>[1]DETAY!$A$2</f>
        <v>0</v>
      </c>
      <c r="F697" s="71">
        <f t="shared" si="32"/>
        <v>200</v>
      </c>
      <c r="G697" s="72">
        <f t="shared" si="34"/>
        <v>0</v>
      </c>
      <c r="H697" s="73">
        <f t="shared" si="35"/>
        <v>1</v>
      </c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F697" s="1"/>
    </row>
    <row r="698" spans="1:58" s="22" customFormat="1" x14ac:dyDescent="0.25">
      <c r="A698" s="5" t="s">
        <v>9</v>
      </c>
      <c r="B698" s="4">
        <v>46186</v>
      </c>
      <c r="C698" s="2">
        <f t="shared" si="33"/>
        <v>24</v>
      </c>
      <c r="D698" s="3">
        <v>466</v>
      </c>
      <c r="E698" s="70">
        <f>[1]DETAY!$A$2</f>
        <v>0</v>
      </c>
      <c r="F698" s="71">
        <f t="shared" si="32"/>
        <v>465</v>
      </c>
      <c r="G698" s="72">
        <f t="shared" si="34"/>
        <v>1</v>
      </c>
      <c r="H698" s="73">
        <f t="shared" si="35"/>
        <v>0.99785407725321884</v>
      </c>
      <c r="I698" s="2"/>
      <c r="J698" s="2"/>
      <c r="K698" s="2"/>
      <c r="L698" s="2"/>
      <c r="M698" s="2">
        <v>1</v>
      </c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F698" s="1"/>
    </row>
    <row r="699" spans="1:58" s="22" customFormat="1" x14ac:dyDescent="0.25">
      <c r="A699" s="5" t="s">
        <v>1</v>
      </c>
      <c r="B699" s="4">
        <v>46186</v>
      </c>
      <c r="C699" s="2">
        <f t="shared" si="33"/>
        <v>24</v>
      </c>
      <c r="D699" s="3">
        <v>21</v>
      </c>
      <c r="E699" s="70">
        <f>[1]DETAY!$A$2</f>
        <v>0</v>
      </c>
      <c r="F699" s="71">
        <f t="shared" si="32"/>
        <v>18</v>
      </c>
      <c r="G699" s="72">
        <f t="shared" si="34"/>
        <v>3</v>
      </c>
      <c r="H699" s="73">
        <f t="shared" si="35"/>
        <v>0.8571428571428571</v>
      </c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>
        <v>3</v>
      </c>
      <c r="AV699" s="2"/>
      <c r="AW699" s="2"/>
      <c r="AX699" s="2"/>
      <c r="AY699" s="2"/>
      <c r="AZ699" s="2"/>
      <c r="BA699" s="2"/>
      <c r="BB699" s="2"/>
      <c r="BC699" s="2"/>
      <c r="BD699" s="2"/>
      <c r="BF699" s="1"/>
    </row>
    <row r="700" spans="1:58" s="22" customFormat="1" x14ac:dyDescent="0.25">
      <c r="A700" s="5" t="s">
        <v>8</v>
      </c>
      <c r="B700" s="4">
        <v>46186</v>
      </c>
      <c r="C700" s="2">
        <f t="shared" si="33"/>
        <v>24</v>
      </c>
      <c r="D700" s="3">
        <v>300</v>
      </c>
      <c r="E700" s="70">
        <f>[1]DETAY!$A$2</f>
        <v>0</v>
      </c>
      <c r="F700" s="71">
        <f t="shared" si="32"/>
        <v>300</v>
      </c>
      <c r="G700" s="72">
        <f t="shared" si="34"/>
        <v>0</v>
      </c>
      <c r="H700" s="73">
        <f t="shared" si="35"/>
        <v>1</v>
      </c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F700" s="1"/>
    </row>
    <row r="701" spans="1:58" s="22" customFormat="1" x14ac:dyDescent="0.25">
      <c r="A701" s="5" t="s">
        <v>15</v>
      </c>
      <c r="B701" s="4">
        <v>46186</v>
      </c>
      <c r="C701" s="2">
        <f t="shared" si="33"/>
        <v>24</v>
      </c>
      <c r="D701" s="3">
        <v>669</v>
      </c>
      <c r="E701" s="70">
        <f>[1]DETAY!$A$2</f>
        <v>0</v>
      </c>
      <c r="F701" s="71">
        <f t="shared" si="32"/>
        <v>660</v>
      </c>
      <c r="G701" s="72">
        <f t="shared" si="34"/>
        <v>9</v>
      </c>
      <c r="H701" s="73">
        <f t="shared" si="35"/>
        <v>0.98654708520179368</v>
      </c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>
        <v>9</v>
      </c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F701" s="1"/>
    </row>
    <row r="702" spans="1:58" s="22" customFormat="1" x14ac:dyDescent="0.25">
      <c r="A702" s="5" t="s">
        <v>14</v>
      </c>
      <c r="B702" s="4">
        <v>46186</v>
      </c>
      <c r="C702" s="2">
        <f t="shared" si="33"/>
        <v>24</v>
      </c>
      <c r="D702" s="3">
        <v>440</v>
      </c>
      <c r="E702" s="70">
        <f>[1]DETAY!$A$2</f>
        <v>0</v>
      </c>
      <c r="F702" s="71">
        <f t="shared" si="32"/>
        <v>440</v>
      </c>
      <c r="G702" s="72">
        <f t="shared" si="34"/>
        <v>0</v>
      </c>
      <c r="H702" s="73">
        <f t="shared" si="35"/>
        <v>1</v>
      </c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F702" s="1"/>
    </row>
    <row r="703" spans="1:58" s="22" customFormat="1" x14ac:dyDescent="0.25">
      <c r="A703" s="5" t="s">
        <v>13</v>
      </c>
      <c r="B703" s="4">
        <v>46186</v>
      </c>
      <c r="C703" s="2">
        <f t="shared" si="33"/>
        <v>24</v>
      </c>
      <c r="D703" s="3">
        <v>1200</v>
      </c>
      <c r="E703" s="70">
        <f>[1]DETAY!$A$2</f>
        <v>0</v>
      </c>
      <c r="F703" s="71">
        <f t="shared" si="32"/>
        <v>1200</v>
      </c>
      <c r="G703" s="72">
        <f t="shared" si="34"/>
        <v>0</v>
      </c>
      <c r="H703" s="73">
        <f t="shared" si="35"/>
        <v>1</v>
      </c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F703" s="1"/>
    </row>
    <row r="704" spans="1:58" s="22" customFormat="1" x14ac:dyDescent="0.25">
      <c r="A704" s="5" t="s">
        <v>4</v>
      </c>
      <c r="B704" s="4">
        <v>46186</v>
      </c>
      <c r="C704" s="2">
        <f t="shared" si="33"/>
        <v>24</v>
      </c>
      <c r="D704" s="3">
        <v>231</v>
      </c>
      <c r="E704" s="70">
        <f>[1]DETAY!$A$2</f>
        <v>0</v>
      </c>
      <c r="F704" s="71">
        <f t="shared" si="32"/>
        <v>231</v>
      </c>
      <c r="G704" s="72">
        <f t="shared" si="34"/>
        <v>0</v>
      </c>
      <c r="H704" s="73">
        <f t="shared" si="35"/>
        <v>1</v>
      </c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F704" s="1"/>
    </row>
    <row r="705" spans="1:58" s="22" customFormat="1" x14ac:dyDescent="0.25">
      <c r="A705" s="5" t="s">
        <v>6</v>
      </c>
      <c r="B705" s="4">
        <v>46186</v>
      </c>
      <c r="C705" s="2">
        <f t="shared" si="33"/>
        <v>24</v>
      </c>
      <c r="D705" s="3">
        <v>154</v>
      </c>
      <c r="E705" s="70">
        <f>[1]DETAY!$A$2</f>
        <v>0</v>
      </c>
      <c r="F705" s="71">
        <f t="shared" si="32"/>
        <v>154</v>
      </c>
      <c r="G705" s="72">
        <f t="shared" si="34"/>
        <v>0</v>
      </c>
      <c r="H705" s="73">
        <f t="shared" si="35"/>
        <v>1</v>
      </c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F705" s="1"/>
    </row>
    <row r="706" spans="1:58" s="22" customFormat="1" x14ac:dyDescent="0.25">
      <c r="A706" s="5" t="s">
        <v>92</v>
      </c>
      <c r="B706" s="4">
        <v>46186</v>
      </c>
      <c r="C706" s="2">
        <f t="shared" si="33"/>
        <v>24</v>
      </c>
      <c r="D706" s="3">
        <v>100</v>
      </c>
      <c r="E706" s="70">
        <f>[1]DETAY!$A$2</f>
        <v>0</v>
      </c>
      <c r="F706" s="71">
        <f t="shared" si="32"/>
        <v>100</v>
      </c>
      <c r="G706" s="72">
        <f t="shared" si="34"/>
        <v>0</v>
      </c>
      <c r="H706" s="73">
        <f t="shared" si="35"/>
        <v>1</v>
      </c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F706" s="1"/>
    </row>
    <row r="707" spans="1:58" s="22" customFormat="1" x14ac:dyDescent="0.25">
      <c r="A707" s="5" t="s">
        <v>18</v>
      </c>
      <c r="B707" s="4">
        <v>46187</v>
      </c>
      <c r="C707" s="2">
        <f t="shared" si="33"/>
        <v>25</v>
      </c>
      <c r="D707" s="3">
        <v>721</v>
      </c>
      <c r="E707" s="70">
        <f>[1]DETAY!$A$2</f>
        <v>0</v>
      </c>
      <c r="F707" s="71">
        <f t="shared" si="32"/>
        <v>701</v>
      </c>
      <c r="G707" s="72">
        <f t="shared" si="34"/>
        <v>20</v>
      </c>
      <c r="H707" s="73">
        <f t="shared" si="35"/>
        <v>0.9722607489597781</v>
      </c>
      <c r="I707" s="2"/>
      <c r="J707" s="2">
        <v>15</v>
      </c>
      <c r="K707" s="2"/>
      <c r="L707" s="2">
        <v>5</v>
      </c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F707" s="1"/>
    </row>
    <row r="708" spans="1:58" s="22" customFormat="1" x14ac:dyDescent="0.25">
      <c r="A708" s="5" t="s">
        <v>10</v>
      </c>
      <c r="B708" s="4">
        <v>46187</v>
      </c>
      <c r="C708" s="2">
        <f t="shared" si="33"/>
        <v>25</v>
      </c>
      <c r="D708" s="3">
        <v>348</v>
      </c>
      <c r="E708" s="70">
        <f>[1]DETAY!$A$2</f>
        <v>0</v>
      </c>
      <c r="F708" s="71">
        <f t="shared" si="32"/>
        <v>348</v>
      </c>
      <c r="G708" s="72">
        <f t="shared" si="34"/>
        <v>0</v>
      </c>
      <c r="H708" s="73">
        <f t="shared" si="35"/>
        <v>1</v>
      </c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F708" s="1"/>
    </row>
    <row r="709" spans="1:58" s="22" customFormat="1" x14ac:dyDescent="0.25">
      <c r="A709" s="5" t="s">
        <v>9</v>
      </c>
      <c r="B709" s="4">
        <v>46187</v>
      </c>
      <c r="C709" s="2">
        <f t="shared" si="33"/>
        <v>25</v>
      </c>
      <c r="D709" s="3">
        <v>437</v>
      </c>
      <c r="E709" s="70">
        <f>[1]DETAY!$A$2</f>
        <v>0</v>
      </c>
      <c r="F709" s="71">
        <f t="shared" si="32"/>
        <v>430</v>
      </c>
      <c r="G709" s="72">
        <f t="shared" si="34"/>
        <v>7</v>
      </c>
      <c r="H709" s="73">
        <f t="shared" si="35"/>
        <v>0.98398169336384445</v>
      </c>
      <c r="I709" s="2"/>
      <c r="J709" s="2"/>
      <c r="K709" s="2"/>
      <c r="L709" s="2"/>
      <c r="M709" s="2">
        <v>7</v>
      </c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F709" s="1"/>
    </row>
    <row r="710" spans="1:58" s="22" customFormat="1" x14ac:dyDescent="0.25">
      <c r="A710" s="5" t="s">
        <v>1</v>
      </c>
      <c r="B710" s="4">
        <v>46187</v>
      </c>
      <c r="C710" s="2">
        <f t="shared" si="33"/>
        <v>25</v>
      </c>
      <c r="D710" s="3">
        <v>535</v>
      </c>
      <c r="E710" s="70">
        <f>[1]DETAY!$A$2</f>
        <v>0</v>
      </c>
      <c r="F710" s="71">
        <f t="shared" si="32"/>
        <v>405</v>
      </c>
      <c r="G710" s="72">
        <f t="shared" si="34"/>
        <v>130</v>
      </c>
      <c r="H710" s="73">
        <f t="shared" si="35"/>
        <v>0.7570093457943925</v>
      </c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>
        <v>130</v>
      </c>
      <c r="AV710" s="2"/>
      <c r="AW710" s="2"/>
      <c r="AX710" s="2"/>
      <c r="AY710" s="2"/>
      <c r="AZ710" s="2"/>
      <c r="BA710" s="2"/>
      <c r="BB710" s="2"/>
      <c r="BC710" s="2"/>
      <c r="BD710" s="2"/>
      <c r="BF710" s="1"/>
    </row>
    <row r="711" spans="1:58" s="22" customFormat="1" x14ac:dyDescent="0.25">
      <c r="A711" s="5" t="s">
        <v>15</v>
      </c>
      <c r="B711" s="4">
        <v>46187</v>
      </c>
      <c r="C711" s="2">
        <f t="shared" si="33"/>
        <v>25</v>
      </c>
      <c r="D711" s="3">
        <v>440</v>
      </c>
      <c r="E711" s="70">
        <f>[1]DETAY!$A$2</f>
        <v>0</v>
      </c>
      <c r="F711" s="71">
        <f t="shared" si="32"/>
        <v>440</v>
      </c>
      <c r="G711" s="72">
        <f t="shared" si="34"/>
        <v>0</v>
      </c>
      <c r="H711" s="73">
        <f t="shared" si="35"/>
        <v>1</v>
      </c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F711" s="1"/>
    </row>
    <row r="712" spans="1:58" s="22" customFormat="1" x14ac:dyDescent="0.25">
      <c r="A712" s="5" t="s">
        <v>7</v>
      </c>
      <c r="B712" s="4">
        <v>46187</v>
      </c>
      <c r="C712" s="2">
        <f t="shared" si="33"/>
        <v>25</v>
      </c>
      <c r="D712" s="3">
        <v>512</v>
      </c>
      <c r="E712" s="70">
        <f>[1]DETAY!$A$2</f>
        <v>0</v>
      </c>
      <c r="F712" s="71">
        <f t="shared" si="32"/>
        <v>512</v>
      </c>
      <c r="G712" s="72">
        <f t="shared" si="34"/>
        <v>0</v>
      </c>
      <c r="H712" s="73">
        <f t="shared" si="35"/>
        <v>1</v>
      </c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F712" s="1"/>
    </row>
    <row r="713" spans="1:58" s="22" customFormat="1" x14ac:dyDescent="0.25">
      <c r="A713" s="5" t="s">
        <v>4</v>
      </c>
      <c r="B713" s="4">
        <v>46187</v>
      </c>
      <c r="C713" s="2">
        <f t="shared" si="33"/>
        <v>25</v>
      </c>
      <c r="D713" s="3">
        <v>308</v>
      </c>
      <c r="E713" s="70">
        <f>[1]DETAY!$A$2</f>
        <v>0</v>
      </c>
      <c r="F713" s="71">
        <f t="shared" si="32"/>
        <v>308</v>
      </c>
      <c r="G713" s="72">
        <f t="shared" si="34"/>
        <v>0</v>
      </c>
      <c r="H713" s="73">
        <f t="shared" si="35"/>
        <v>1</v>
      </c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F713" s="1"/>
    </row>
    <row r="714" spans="1:58" s="22" customFormat="1" x14ac:dyDescent="0.25">
      <c r="A714" s="5" t="s">
        <v>21</v>
      </c>
      <c r="B714" s="4">
        <v>46188</v>
      </c>
      <c r="C714" s="2">
        <f t="shared" si="33"/>
        <v>25</v>
      </c>
      <c r="D714" s="3">
        <v>605</v>
      </c>
      <c r="E714" s="70">
        <f>[1]DETAY!$A$2</f>
        <v>0</v>
      </c>
      <c r="F714" s="71">
        <f t="shared" si="32"/>
        <v>600</v>
      </c>
      <c r="G714" s="72">
        <f t="shared" si="34"/>
        <v>5</v>
      </c>
      <c r="H714" s="73">
        <f t="shared" si="35"/>
        <v>0.99173553719008267</v>
      </c>
      <c r="I714" s="2"/>
      <c r="J714" s="2"/>
      <c r="K714" s="2"/>
      <c r="L714" s="2">
        <v>5</v>
      </c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F714" s="1"/>
    </row>
    <row r="715" spans="1:58" s="22" customFormat="1" x14ac:dyDescent="0.25">
      <c r="A715" s="5" t="s">
        <v>19</v>
      </c>
      <c r="B715" s="4">
        <v>46188</v>
      </c>
      <c r="C715" s="2">
        <f t="shared" si="33"/>
        <v>25</v>
      </c>
      <c r="D715" s="3">
        <v>1418</v>
      </c>
      <c r="E715" s="70">
        <f>[1]DETAY!$A$2</f>
        <v>0</v>
      </c>
      <c r="F715" s="71">
        <f t="shared" si="32"/>
        <v>1400</v>
      </c>
      <c r="G715" s="72">
        <f t="shared" si="34"/>
        <v>18</v>
      </c>
      <c r="H715" s="73">
        <f t="shared" si="35"/>
        <v>0.98730606488011285</v>
      </c>
      <c r="I715" s="2"/>
      <c r="J715" s="2">
        <v>17</v>
      </c>
      <c r="K715" s="2"/>
      <c r="L715" s="2"/>
      <c r="M715" s="2">
        <v>1</v>
      </c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F715" s="1"/>
    </row>
    <row r="716" spans="1:58" s="22" customFormat="1" x14ac:dyDescent="0.25">
      <c r="A716" s="5" t="s">
        <v>16</v>
      </c>
      <c r="B716" s="4">
        <v>46188</v>
      </c>
      <c r="C716" s="2">
        <f t="shared" si="33"/>
        <v>25</v>
      </c>
      <c r="D716" s="3">
        <f>1960+37</f>
        <v>1997</v>
      </c>
      <c r="E716" s="70">
        <f>[1]DETAY!$A$2</f>
        <v>0</v>
      </c>
      <c r="F716" s="71">
        <f t="shared" si="32"/>
        <v>1960</v>
      </c>
      <c r="G716" s="72">
        <f t="shared" si="34"/>
        <v>37</v>
      </c>
      <c r="H716" s="73">
        <f t="shared" si="35"/>
        <v>0.98147220831246873</v>
      </c>
      <c r="I716" s="2"/>
      <c r="J716" s="2"/>
      <c r="K716" s="2">
        <v>5</v>
      </c>
      <c r="L716" s="2"/>
      <c r="M716" s="2"/>
      <c r="N716" s="2"/>
      <c r="O716" s="2"/>
      <c r="P716" s="2"/>
      <c r="Q716" s="2">
        <v>5</v>
      </c>
      <c r="R716" s="2"/>
      <c r="S716" s="2"/>
      <c r="T716" s="2">
        <v>1</v>
      </c>
      <c r="U716" s="2">
        <v>1</v>
      </c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>
        <v>3</v>
      </c>
      <c r="AG716" s="2"/>
      <c r="AH716" s="2">
        <f>19+3</f>
        <v>22</v>
      </c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F716" s="1"/>
    </row>
    <row r="717" spans="1:58" s="22" customFormat="1" x14ac:dyDescent="0.25">
      <c r="A717" s="5" t="s">
        <v>11</v>
      </c>
      <c r="B717" s="4">
        <v>46188</v>
      </c>
      <c r="C717" s="2">
        <f t="shared" si="33"/>
        <v>25</v>
      </c>
      <c r="D717" s="3">
        <v>723</v>
      </c>
      <c r="E717" s="70">
        <f>[1]DETAY!$A$2</f>
        <v>0</v>
      </c>
      <c r="F717" s="71">
        <f t="shared" si="32"/>
        <v>700</v>
      </c>
      <c r="G717" s="72">
        <f t="shared" si="34"/>
        <v>23</v>
      </c>
      <c r="H717" s="73">
        <f t="shared" si="35"/>
        <v>0.9681881051175657</v>
      </c>
      <c r="I717" s="2"/>
      <c r="J717" s="2"/>
      <c r="K717" s="2"/>
      <c r="L717" s="2">
        <v>23</v>
      </c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F717" s="1"/>
    </row>
    <row r="718" spans="1:58" s="22" customFormat="1" x14ac:dyDescent="0.25">
      <c r="A718" s="5" t="s">
        <v>10</v>
      </c>
      <c r="B718" s="4">
        <v>46188</v>
      </c>
      <c r="C718" s="2">
        <f t="shared" si="33"/>
        <v>25</v>
      </c>
      <c r="D718" s="3">
        <v>166</v>
      </c>
      <c r="E718" s="70">
        <f>[1]DETAY!$A$2</f>
        <v>0</v>
      </c>
      <c r="F718" s="71">
        <f t="shared" si="32"/>
        <v>163</v>
      </c>
      <c r="G718" s="72">
        <f t="shared" si="34"/>
        <v>3</v>
      </c>
      <c r="H718" s="73">
        <f t="shared" si="35"/>
        <v>0.98192771084337349</v>
      </c>
      <c r="I718" s="2"/>
      <c r="J718" s="2"/>
      <c r="K718" s="2"/>
      <c r="L718" s="2"/>
      <c r="M718" s="2">
        <v>3</v>
      </c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F718" s="1"/>
    </row>
    <row r="719" spans="1:58" s="22" customFormat="1" x14ac:dyDescent="0.25">
      <c r="A719" s="5" t="s">
        <v>9</v>
      </c>
      <c r="B719" s="4">
        <v>46188</v>
      </c>
      <c r="C719" s="2">
        <f t="shared" si="33"/>
        <v>25</v>
      </c>
      <c r="D719" s="3">
        <v>297</v>
      </c>
      <c r="E719" s="70">
        <f>[1]DETAY!$A$2</f>
        <v>0</v>
      </c>
      <c r="F719" s="71">
        <f t="shared" si="32"/>
        <v>280</v>
      </c>
      <c r="G719" s="72">
        <f t="shared" si="34"/>
        <v>17</v>
      </c>
      <c r="H719" s="73">
        <f t="shared" si="35"/>
        <v>0.9427609427609428</v>
      </c>
      <c r="I719" s="2"/>
      <c r="J719" s="2"/>
      <c r="K719" s="2"/>
      <c r="L719" s="2"/>
      <c r="M719" s="2">
        <v>17</v>
      </c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F719" s="1"/>
    </row>
    <row r="720" spans="1:58" s="22" customFormat="1" x14ac:dyDescent="0.25">
      <c r="A720" s="5" t="s">
        <v>1</v>
      </c>
      <c r="B720" s="4">
        <v>46188</v>
      </c>
      <c r="C720" s="2">
        <f t="shared" si="33"/>
        <v>25</v>
      </c>
      <c r="D720" s="3">
        <v>179</v>
      </c>
      <c r="E720" s="70">
        <f>[1]DETAY!$A$2</f>
        <v>0</v>
      </c>
      <c r="F720" s="71">
        <f t="shared" si="32"/>
        <v>145</v>
      </c>
      <c r="G720" s="72">
        <f t="shared" si="34"/>
        <v>34</v>
      </c>
      <c r="H720" s="73">
        <f t="shared" si="35"/>
        <v>0.81005586592178769</v>
      </c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>
        <v>34</v>
      </c>
      <c r="AV720" s="2"/>
      <c r="AW720" s="2"/>
      <c r="AX720" s="2"/>
      <c r="AY720" s="2"/>
      <c r="AZ720" s="2"/>
      <c r="BA720" s="2"/>
      <c r="BB720" s="2"/>
      <c r="BC720" s="2"/>
      <c r="BD720" s="2"/>
      <c r="BF720" s="1"/>
    </row>
    <row r="721" spans="1:58" s="22" customFormat="1" x14ac:dyDescent="0.25">
      <c r="A721" s="5" t="s">
        <v>8</v>
      </c>
      <c r="B721" s="4">
        <v>46188</v>
      </c>
      <c r="C721" s="2">
        <f t="shared" si="33"/>
        <v>25</v>
      </c>
      <c r="D721" s="3">
        <v>600</v>
      </c>
      <c r="E721" s="70">
        <f>[1]DETAY!$A$2</f>
        <v>0</v>
      </c>
      <c r="F721" s="71">
        <f t="shared" si="32"/>
        <v>600</v>
      </c>
      <c r="G721" s="72">
        <f t="shared" si="34"/>
        <v>0</v>
      </c>
      <c r="H721" s="73">
        <f t="shared" si="35"/>
        <v>1</v>
      </c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F721" s="1"/>
    </row>
    <row r="722" spans="1:58" s="22" customFormat="1" x14ac:dyDescent="0.25">
      <c r="A722" s="5" t="s">
        <v>7</v>
      </c>
      <c r="B722" s="4">
        <v>46188</v>
      </c>
      <c r="C722" s="2">
        <f t="shared" si="33"/>
        <v>25</v>
      </c>
      <c r="D722" s="3">
        <v>1952</v>
      </c>
      <c r="E722" s="70">
        <f>[1]DETAY!$A$2</f>
        <v>0</v>
      </c>
      <c r="F722" s="71">
        <f t="shared" ref="F722:F785" si="36">D722-G722</f>
        <v>1952</v>
      </c>
      <c r="G722" s="72">
        <f t="shared" si="34"/>
        <v>0</v>
      </c>
      <c r="H722" s="73">
        <f t="shared" si="35"/>
        <v>1</v>
      </c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F722" s="1"/>
    </row>
    <row r="723" spans="1:58" s="22" customFormat="1" x14ac:dyDescent="0.25">
      <c r="A723" s="5" t="s">
        <v>5</v>
      </c>
      <c r="B723" s="4">
        <v>46188</v>
      </c>
      <c r="C723" s="2">
        <f t="shared" si="33"/>
        <v>25</v>
      </c>
      <c r="D723" s="3">
        <v>154</v>
      </c>
      <c r="E723" s="70">
        <f>[1]DETAY!$A$2</f>
        <v>0</v>
      </c>
      <c r="F723" s="71">
        <f t="shared" si="36"/>
        <v>154</v>
      </c>
      <c r="G723" s="72">
        <f t="shared" si="34"/>
        <v>0</v>
      </c>
      <c r="H723" s="73">
        <f t="shared" si="35"/>
        <v>1</v>
      </c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F723" s="1"/>
    </row>
    <row r="724" spans="1:58" s="22" customFormat="1" x14ac:dyDescent="0.25">
      <c r="A724" s="5" t="s">
        <v>4</v>
      </c>
      <c r="B724" s="4">
        <v>46188</v>
      </c>
      <c r="C724" s="2">
        <f t="shared" si="33"/>
        <v>25</v>
      </c>
      <c r="D724" s="3">
        <v>154</v>
      </c>
      <c r="E724" s="70">
        <f>[1]DETAY!$A$2</f>
        <v>0</v>
      </c>
      <c r="F724" s="71">
        <f t="shared" si="36"/>
        <v>154</v>
      </c>
      <c r="G724" s="72">
        <f t="shared" si="34"/>
        <v>0</v>
      </c>
      <c r="H724" s="73">
        <f t="shared" si="35"/>
        <v>1</v>
      </c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F724" s="1"/>
    </row>
    <row r="725" spans="1:58" s="22" customFormat="1" x14ac:dyDescent="0.25">
      <c r="A725" s="5" t="s">
        <v>22</v>
      </c>
      <c r="B725" s="4">
        <v>46188</v>
      </c>
      <c r="C725" s="2">
        <f t="shared" si="33"/>
        <v>25</v>
      </c>
      <c r="D725" s="3">
        <v>1366</v>
      </c>
      <c r="E725" s="70">
        <f>[1]DETAY!$A$2</f>
        <v>0</v>
      </c>
      <c r="F725" s="71">
        <f t="shared" si="36"/>
        <v>1350</v>
      </c>
      <c r="G725" s="72">
        <f t="shared" si="34"/>
        <v>16</v>
      </c>
      <c r="H725" s="73">
        <f t="shared" si="35"/>
        <v>0.98828696925329429</v>
      </c>
      <c r="I725" s="2"/>
      <c r="J725" s="2"/>
      <c r="K725" s="2"/>
      <c r="L725" s="2">
        <v>16</v>
      </c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F725" s="1"/>
    </row>
    <row r="726" spans="1:58" s="22" customFormat="1" x14ac:dyDescent="0.25">
      <c r="A726" s="5" t="s">
        <v>19</v>
      </c>
      <c r="B726" s="4">
        <v>46188</v>
      </c>
      <c r="C726" s="2">
        <f t="shared" si="33"/>
        <v>25</v>
      </c>
      <c r="D726" s="3">
        <v>1783</v>
      </c>
      <c r="E726" s="70">
        <f>[1]DETAY!$A$2</f>
        <v>0</v>
      </c>
      <c r="F726" s="71">
        <f t="shared" si="36"/>
        <v>1750</v>
      </c>
      <c r="G726" s="72">
        <f t="shared" si="34"/>
        <v>33</v>
      </c>
      <c r="H726" s="73">
        <f t="shared" si="35"/>
        <v>0.98149186763881102</v>
      </c>
      <c r="I726" s="2"/>
      <c r="J726" s="2">
        <v>26</v>
      </c>
      <c r="K726" s="2"/>
      <c r="L726" s="2">
        <v>7</v>
      </c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F726" s="1"/>
    </row>
    <row r="727" spans="1:58" s="22" customFormat="1" x14ac:dyDescent="0.25">
      <c r="A727" s="5" t="s">
        <v>16</v>
      </c>
      <c r="B727" s="4">
        <v>46188</v>
      </c>
      <c r="C727" s="2">
        <f t="shared" si="33"/>
        <v>25</v>
      </c>
      <c r="D727" s="3">
        <v>840</v>
      </c>
      <c r="E727" s="70">
        <f>[1]DETAY!$A$2</f>
        <v>0</v>
      </c>
      <c r="F727" s="71">
        <f t="shared" si="36"/>
        <v>840</v>
      </c>
      <c r="G727" s="72">
        <f t="shared" si="34"/>
        <v>0</v>
      </c>
      <c r="H727" s="73">
        <f t="shared" si="35"/>
        <v>1</v>
      </c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F727" s="1"/>
    </row>
    <row r="728" spans="1:58" s="22" customFormat="1" x14ac:dyDescent="0.25">
      <c r="A728" s="5" t="s">
        <v>11</v>
      </c>
      <c r="B728" s="4">
        <v>46188</v>
      </c>
      <c r="C728" s="2">
        <f t="shared" si="33"/>
        <v>25</v>
      </c>
      <c r="D728" s="3">
        <v>350</v>
      </c>
      <c r="E728" s="70">
        <f>[1]DETAY!$A$2</f>
        <v>0</v>
      </c>
      <c r="F728" s="71">
        <f t="shared" si="36"/>
        <v>350</v>
      </c>
      <c r="G728" s="72">
        <f t="shared" si="34"/>
        <v>0</v>
      </c>
      <c r="H728" s="73">
        <f t="shared" si="35"/>
        <v>1</v>
      </c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F728" s="1"/>
    </row>
    <row r="729" spans="1:58" s="22" customFormat="1" x14ac:dyDescent="0.25">
      <c r="A729" s="5" t="s">
        <v>10</v>
      </c>
      <c r="B729" s="4">
        <v>46188</v>
      </c>
      <c r="C729" s="2">
        <f t="shared" si="33"/>
        <v>25</v>
      </c>
      <c r="D729" s="3">
        <v>246</v>
      </c>
      <c r="E729" s="70">
        <f>[1]DETAY!$A$2</f>
        <v>0</v>
      </c>
      <c r="F729" s="71">
        <f t="shared" si="36"/>
        <v>240</v>
      </c>
      <c r="G729" s="72">
        <f t="shared" si="34"/>
        <v>6</v>
      </c>
      <c r="H729" s="73">
        <f t="shared" si="35"/>
        <v>0.97560975609756095</v>
      </c>
      <c r="I729" s="2"/>
      <c r="J729" s="2"/>
      <c r="K729" s="2"/>
      <c r="L729" s="2"/>
      <c r="M729" s="2">
        <v>6</v>
      </c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F729" s="1"/>
    </row>
    <row r="730" spans="1:58" s="22" customFormat="1" x14ac:dyDescent="0.25">
      <c r="A730" s="5" t="s">
        <v>9</v>
      </c>
      <c r="B730" s="4">
        <v>46188</v>
      </c>
      <c r="C730" s="2">
        <f t="shared" si="33"/>
        <v>25</v>
      </c>
      <c r="D730" s="3">
        <v>547</v>
      </c>
      <c r="E730" s="70">
        <f>[1]DETAY!$A$2</f>
        <v>0</v>
      </c>
      <c r="F730" s="71">
        <f t="shared" si="36"/>
        <v>540</v>
      </c>
      <c r="G730" s="72">
        <f t="shared" si="34"/>
        <v>7</v>
      </c>
      <c r="H730" s="73">
        <f t="shared" si="35"/>
        <v>0.98720292504570384</v>
      </c>
      <c r="I730" s="2"/>
      <c r="J730" s="2"/>
      <c r="K730" s="2"/>
      <c r="L730" s="2"/>
      <c r="M730" s="2">
        <v>7</v>
      </c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F730" s="1"/>
    </row>
    <row r="731" spans="1:58" s="22" customFormat="1" x14ac:dyDescent="0.25">
      <c r="A731" s="5" t="s">
        <v>1</v>
      </c>
      <c r="B731" s="4">
        <v>46188</v>
      </c>
      <c r="C731" s="2">
        <f t="shared" si="33"/>
        <v>25</v>
      </c>
      <c r="D731" s="3">
        <v>195</v>
      </c>
      <c r="E731" s="70">
        <f>[1]DETAY!$A$2</f>
        <v>0</v>
      </c>
      <c r="F731" s="71">
        <f t="shared" si="36"/>
        <v>185</v>
      </c>
      <c r="G731" s="72">
        <f t="shared" si="34"/>
        <v>10</v>
      </c>
      <c r="H731" s="73">
        <f t="shared" si="35"/>
        <v>0.94871794871794868</v>
      </c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>
        <v>10</v>
      </c>
      <c r="AV731" s="2"/>
      <c r="AW731" s="2"/>
      <c r="AX731" s="2"/>
      <c r="AY731" s="2"/>
      <c r="AZ731" s="2"/>
      <c r="BA731" s="2"/>
      <c r="BB731" s="2"/>
      <c r="BC731" s="2"/>
      <c r="BD731" s="2"/>
      <c r="BF731" s="1"/>
    </row>
    <row r="732" spans="1:58" s="22" customFormat="1" x14ac:dyDescent="0.25">
      <c r="A732" s="5" t="s">
        <v>8</v>
      </c>
      <c r="B732" s="4">
        <v>46188</v>
      </c>
      <c r="C732" s="2">
        <f t="shared" si="33"/>
        <v>25</v>
      </c>
      <c r="D732" s="3">
        <v>820</v>
      </c>
      <c r="E732" s="70">
        <f>[1]DETAY!$A$2</f>
        <v>0</v>
      </c>
      <c r="F732" s="71">
        <f t="shared" si="36"/>
        <v>800</v>
      </c>
      <c r="G732" s="72">
        <f t="shared" si="34"/>
        <v>20</v>
      </c>
      <c r="H732" s="73">
        <f t="shared" si="35"/>
        <v>0.97560975609756095</v>
      </c>
      <c r="I732" s="2"/>
      <c r="J732" s="2"/>
      <c r="K732" s="2"/>
      <c r="L732" s="2"/>
      <c r="M732" s="2">
        <v>20</v>
      </c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F732" s="1"/>
    </row>
    <row r="733" spans="1:58" s="22" customFormat="1" x14ac:dyDescent="0.25">
      <c r="A733" s="5" t="s">
        <v>15</v>
      </c>
      <c r="B733" s="4">
        <v>46188</v>
      </c>
      <c r="C733" s="2">
        <f t="shared" si="33"/>
        <v>25</v>
      </c>
      <c r="D733" s="3">
        <v>440</v>
      </c>
      <c r="E733" s="70">
        <f>[1]DETAY!$A$2</f>
        <v>0</v>
      </c>
      <c r="F733" s="71">
        <f t="shared" si="36"/>
        <v>440</v>
      </c>
      <c r="G733" s="72">
        <f t="shared" si="34"/>
        <v>0</v>
      </c>
      <c r="H733" s="73">
        <f t="shared" si="35"/>
        <v>1</v>
      </c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F733" s="1"/>
    </row>
    <row r="734" spans="1:58" s="22" customFormat="1" x14ac:dyDescent="0.25">
      <c r="A734" s="5" t="s">
        <v>14</v>
      </c>
      <c r="B734" s="4">
        <v>46188</v>
      </c>
      <c r="C734" s="2">
        <f t="shared" si="33"/>
        <v>25</v>
      </c>
      <c r="D734" s="3">
        <v>220</v>
      </c>
      <c r="E734" s="70">
        <f>[1]DETAY!$A$2</f>
        <v>0</v>
      </c>
      <c r="F734" s="71">
        <f t="shared" si="36"/>
        <v>220</v>
      </c>
      <c r="G734" s="72">
        <f t="shared" si="34"/>
        <v>0</v>
      </c>
      <c r="H734" s="73">
        <f t="shared" si="35"/>
        <v>1</v>
      </c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F734" s="1"/>
    </row>
    <row r="735" spans="1:58" s="22" customFormat="1" x14ac:dyDescent="0.25">
      <c r="A735" s="5" t="s">
        <v>7</v>
      </c>
      <c r="B735" s="4">
        <v>46188</v>
      </c>
      <c r="C735" s="2">
        <f t="shared" si="33"/>
        <v>25</v>
      </c>
      <c r="D735" s="3">
        <v>320</v>
      </c>
      <c r="E735" s="70">
        <f>[1]DETAY!$A$2</f>
        <v>0</v>
      </c>
      <c r="F735" s="71">
        <f t="shared" si="36"/>
        <v>320</v>
      </c>
      <c r="G735" s="72">
        <f t="shared" si="34"/>
        <v>0</v>
      </c>
      <c r="H735" s="73">
        <f t="shared" si="35"/>
        <v>1</v>
      </c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F735" s="1"/>
    </row>
    <row r="736" spans="1:58" s="22" customFormat="1" x14ac:dyDescent="0.25">
      <c r="A736" s="5" t="s">
        <v>13</v>
      </c>
      <c r="B736" s="4">
        <v>46188</v>
      </c>
      <c r="C736" s="2">
        <f t="shared" si="33"/>
        <v>25</v>
      </c>
      <c r="D736" s="3">
        <v>240</v>
      </c>
      <c r="E736" s="70">
        <f>[1]DETAY!$A$2</f>
        <v>0</v>
      </c>
      <c r="F736" s="71">
        <f t="shared" si="36"/>
        <v>240</v>
      </c>
      <c r="G736" s="72">
        <f t="shared" si="34"/>
        <v>0</v>
      </c>
      <c r="H736" s="73">
        <f t="shared" si="35"/>
        <v>1</v>
      </c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F736" s="1"/>
    </row>
    <row r="737" spans="1:58" s="22" customFormat="1" x14ac:dyDescent="0.25">
      <c r="A737" s="5" t="s">
        <v>4</v>
      </c>
      <c r="B737" s="4">
        <v>46188</v>
      </c>
      <c r="C737" s="2">
        <f t="shared" si="33"/>
        <v>25</v>
      </c>
      <c r="D737" s="3">
        <v>77</v>
      </c>
      <c r="E737" s="70">
        <f>[1]DETAY!$A$2</f>
        <v>0</v>
      </c>
      <c r="F737" s="71">
        <f t="shared" si="36"/>
        <v>77</v>
      </c>
      <c r="G737" s="72">
        <f t="shared" si="34"/>
        <v>0</v>
      </c>
      <c r="H737" s="73">
        <f t="shared" si="35"/>
        <v>1</v>
      </c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F737" s="1"/>
    </row>
    <row r="738" spans="1:58" s="22" customFormat="1" x14ac:dyDescent="0.25">
      <c r="A738" s="5" t="s">
        <v>22</v>
      </c>
      <c r="B738" s="4">
        <v>46188</v>
      </c>
      <c r="C738" s="2">
        <f t="shared" si="33"/>
        <v>25</v>
      </c>
      <c r="D738" s="3">
        <v>604</v>
      </c>
      <c r="E738" s="70">
        <f>[1]DETAY!$A$2</f>
        <v>0</v>
      </c>
      <c r="F738" s="71">
        <f t="shared" si="36"/>
        <v>600</v>
      </c>
      <c r="G738" s="72">
        <f t="shared" si="34"/>
        <v>4</v>
      </c>
      <c r="H738" s="73">
        <f t="shared" si="35"/>
        <v>0.99337748344370858</v>
      </c>
      <c r="I738" s="2"/>
      <c r="J738" s="2"/>
      <c r="K738" s="2"/>
      <c r="L738" s="2">
        <v>4</v>
      </c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F738" s="1"/>
    </row>
    <row r="739" spans="1:58" s="22" customFormat="1" x14ac:dyDescent="0.25">
      <c r="A739" s="5" t="s">
        <v>20</v>
      </c>
      <c r="B739" s="4">
        <v>46188</v>
      </c>
      <c r="C739" s="2">
        <f t="shared" si="33"/>
        <v>25</v>
      </c>
      <c r="D739" s="3">
        <v>356</v>
      </c>
      <c r="E739" s="70">
        <f>[1]DETAY!$A$2</f>
        <v>0</v>
      </c>
      <c r="F739" s="71">
        <f t="shared" si="36"/>
        <v>350</v>
      </c>
      <c r="G739" s="72">
        <f t="shared" si="34"/>
        <v>6</v>
      </c>
      <c r="H739" s="73">
        <f t="shared" si="35"/>
        <v>0.9831460674157303</v>
      </c>
      <c r="I739" s="2"/>
      <c r="J739" s="2">
        <v>4</v>
      </c>
      <c r="K739" s="2"/>
      <c r="L739" s="2">
        <v>2</v>
      </c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F739" s="1"/>
    </row>
    <row r="740" spans="1:58" s="22" customFormat="1" x14ac:dyDescent="0.25">
      <c r="A740" s="5" t="s">
        <v>19</v>
      </c>
      <c r="B740" s="4">
        <v>46188</v>
      </c>
      <c r="C740" s="2">
        <f t="shared" si="33"/>
        <v>25</v>
      </c>
      <c r="D740" s="3">
        <v>1495</v>
      </c>
      <c r="E740" s="70">
        <f>[1]DETAY!$A$2</f>
        <v>0</v>
      </c>
      <c r="F740" s="71">
        <f t="shared" si="36"/>
        <v>1455</v>
      </c>
      <c r="G740" s="72">
        <f t="shared" si="34"/>
        <v>40</v>
      </c>
      <c r="H740" s="73">
        <f t="shared" si="35"/>
        <v>0.97324414715719065</v>
      </c>
      <c r="I740" s="2"/>
      <c r="J740" s="2">
        <v>30</v>
      </c>
      <c r="K740" s="2"/>
      <c r="L740" s="2">
        <v>10</v>
      </c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F740" s="1"/>
    </row>
    <row r="741" spans="1:58" s="22" customFormat="1" x14ac:dyDescent="0.25">
      <c r="A741" s="5" t="s">
        <v>10</v>
      </c>
      <c r="B741" s="4">
        <v>46188</v>
      </c>
      <c r="C741" s="2">
        <f t="shared" si="33"/>
        <v>25</v>
      </c>
      <c r="D741" s="3">
        <v>253</v>
      </c>
      <c r="E741" s="70">
        <f>[1]DETAY!$A$2</f>
        <v>0</v>
      </c>
      <c r="F741" s="71">
        <f t="shared" si="36"/>
        <v>240</v>
      </c>
      <c r="G741" s="72">
        <f t="shared" si="34"/>
        <v>13</v>
      </c>
      <c r="H741" s="73">
        <f t="shared" si="35"/>
        <v>0.9486166007905138</v>
      </c>
      <c r="I741" s="2"/>
      <c r="J741" s="2"/>
      <c r="K741" s="2"/>
      <c r="L741" s="2"/>
      <c r="M741" s="2">
        <v>13</v>
      </c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F741" s="1"/>
    </row>
    <row r="742" spans="1:58" s="22" customFormat="1" x14ac:dyDescent="0.25">
      <c r="A742" s="5" t="s">
        <v>9</v>
      </c>
      <c r="B742" s="4">
        <v>46188</v>
      </c>
      <c r="C742" s="2">
        <f t="shared" si="33"/>
        <v>25</v>
      </c>
      <c r="D742" s="3">
        <v>336</v>
      </c>
      <c r="E742" s="70">
        <f>[1]DETAY!$A$2</f>
        <v>0</v>
      </c>
      <c r="F742" s="71">
        <f t="shared" si="36"/>
        <v>300</v>
      </c>
      <c r="G742" s="72">
        <f t="shared" si="34"/>
        <v>36</v>
      </c>
      <c r="H742" s="73">
        <f t="shared" si="35"/>
        <v>0.8928571428571429</v>
      </c>
      <c r="I742" s="2"/>
      <c r="J742" s="2"/>
      <c r="K742" s="2"/>
      <c r="L742" s="2"/>
      <c r="M742" s="2">
        <v>36</v>
      </c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F742" s="1"/>
    </row>
    <row r="743" spans="1:58" s="22" customFormat="1" x14ac:dyDescent="0.25">
      <c r="A743" s="5" t="s">
        <v>1</v>
      </c>
      <c r="B743" s="4">
        <v>46188</v>
      </c>
      <c r="C743" s="2">
        <f t="shared" si="33"/>
        <v>25</v>
      </c>
      <c r="D743" s="3">
        <v>360</v>
      </c>
      <c r="E743" s="70">
        <f>[1]DETAY!$A$2</f>
        <v>0</v>
      </c>
      <c r="F743" s="71">
        <f t="shared" si="36"/>
        <v>305</v>
      </c>
      <c r="G743" s="72">
        <f t="shared" si="34"/>
        <v>55</v>
      </c>
      <c r="H743" s="73">
        <f t="shared" si="35"/>
        <v>0.84722222222222221</v>
      </c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>
        <v>55</v>
      </c>
      <c r="AV743" s="2"/>
      <c r="AW743" s="2"/>
      <c r="AX743" s="2"/>
      <c r="AY743" s="2"/>
      <c r="AZ743" s="2"/>
      <c r="BA743" s="2"/>
      <c r="BB743" s="2"/>
      <c r="BC743" s="2"/>
      <c r="BD743" s="2"/>
      <c r="BF743" s="1"/>
    </row>
    <row r="744" spans="1:58" s="22" customFormat="1" x14ac:dyDescent="0.25">
      <c r="A744" s="5" t="s">
        <v>8</v>
      </c>
      <c r="B744" s="4">
        <v>46189</v>
      </c>
      <c r="C744" s="2">
        <f t="shared" si="33"/>
        <v>25</v>
      </c>
      <c r="D744" s="3">
        <v>430</v>
      </c>
      <c r="E744" s="70">
        <f>[1]DETAY!$A$2</f>
        <v>0</v>
      </c>
      <c r="F744" s="71">
        <f t="shared" si="36"/>
        <v>430</v>
      </c>
      <c r="G744" s="72">
        <f t="shared" si="34"/>
        <v>0</v>
      </c>
      <c r="H744" s="73">
        <f t="shared" si="35"/>
        <v>1</v>
      </c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F744" s="1"/>
    </row>
    <row r="745" spans="1:58" s="22" customFormat="1" x14ac:dyDescent="0.25">
      <c r="A745" s="5" t="s">
        <v>15</v>
      </c>
      <c r="B745" s="4">
        <v>46189</v>
      </c>
      <c r="C745" s="2">
        <f t="shared" si="33"/>
        <v>25</v>
      </c>
      <c r="D745" s="3">
        <v>225</v>
      </c>
      <c r="E745" s="70">
        <f>[1]DETAY!$A$2</f>
        <v>0</v>
      </c>
      <c r="F745" s="71">
        <f t="shared" si="36"/>
        <v>220</v>
      </c>
      <c r="G745" s="72">
        <f t="shared" si="34"/>
        <v>5</v>
      </c>
      <c r="H745" s="73">
        <f t="shared" si="35"/>
        <v>0.97777777777777775</v>
      </c>
      <c r="I745" s="2"/>
      <c r="J745" s="2"/>
      <c r="K745" s="2"/>
      <c r="L745" s="2"/>
      <c r="M745" s="2"/>
      <c r="N745" s="2"/>
      <c r="O745" s="2">
        <v>5</v>
      </c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F745" s="1"/>
    </row>
    <row r="746" spans="1:58" s="22" customFormat="1" x14ac:dyDescent="0.25">
      <c r="A746" s="5" t="s">
        <v>7</v>
      </c>
      <c r="B746" s="4">
        <v>46189</v>
      </c>
      <c r="C746" s="2">
        <f t="shared" si="33"/>
        <v>25</v>
      </c>
      <c r="D746" s="3">
        <v>448</v>
      </c>
      <c r="E746" s="70">
        <f>[1]DETAY!$A$2</f>
        <v>0</v>
      </c>
      <c r="F746" s="71">
        <f t="shared" si="36"/>
        <v>448</v>
      </c>
      <c r="G746" s="72">
        <f t="shared" si="34"/>
        <v>0</v>
      </c>
      <c r="H746" s="73">
        <f t="shared" si="35"/>
        <v>1</v>
      </c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F746" s="1"/>
    </row>
    <row r="747" spans="1:58" s="22" customFormat="1" x14ac:dyDescent="0.25">
      <c r="A747" s="5" t="s">
        <v>13</v>
      </c>
      <c r="B747" s="4">
        <v>46189</v>
      </c>
      <c r="C747" s="2">
        <f t="shared" si="33"/>
        <v>25</v>
      </c>
      <c r="D747" s="3">
        <v>744</v>
      </c>
      <c r="E747" s="70">
        <f>[1]DETAY!$A$2</f>
        <v>0</v>
      </c>
      <c r="F747" s="71">
        <f t="shared" si="36"/>
        <v>720</v>
      </c>
      <c r="G747" s="72">
        <f t="shared" si="34"/>
        <v>24</v>
      </c>
      <c r="H747" s="73">
        <f t="shared" si="35"/>
        <v>0.967741935483871</v>
      </c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>
        <v>24</v>
      </c>
      <c r="AV747" s="2"/>
      <c r="AW747" s="2"/>
      <c r="AX747" s="2"/>
      <c r="AY747" s="2"/>
      <c r="AZ747" s="2"/>
      <c r="BA747" s="2"/>
      <c r="BB747" s="2"/>
      <c r="BC747" s="2"/>
      <c r="BD747" s="2"/>
      <c r="BF747" s="1"/>
    </row>
    <row r="748" spans="1:58" s="22" customFormat="1" x14ac:dyDescent="0.25">
      <c r="A748" s="5" t="s">
        <v>4</v>
      </c>
      <c r="B748" s="4">
        <v>46189</v>
      </c>
      <c r="C748" s="2">
        <f t="shared" si="33"/>
        <v>25</v>
      </c>
      <c r="D748" s="3">
        <v>628</v>
      </c>
      <c r="E748" s="70">
        <f>[1]DETAY!$A$2</f>
        <v>0</v>
      </c>
      <c r="F748" s="71">
        <f t="shared" si="36"/>
        <v>616</v>
      </c>
      <c r="G748" s="72">
        <f t="shared" si="34"/>
        <v>12</v>
      </c>
      <c r="H748" s="73">
        <f t="shared" si="35"/>
        <v>0.98089171974522293</v>
      </c>
      <c r="I748" s="2"/>
      <c r="J748" s="2"/>
      <c r="K748" s="2"/>
      <c r="L748" s="2"/>
      <c r="M748" s="2"/>
      <c r="N748" s="2"/>
      <c r="O748" s="2">
        <v>12</v>
      </c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F748" s="1"/>
    </row>
    <row r="749" spans="1:58" s="22" customFormat="1" x14ac:dyDescent="0.25">
      <c r="A749" s="5" t="s">
        <v>2</v>
      </c>
      <c r="B749" s="4">
        <v>46189</v>
      </c>
      <c r="C749" s="2">
        <f t="shared" ref="C749:C812" si="37">WEEKNUM(B749)</f>
        <v>25</v>
      </c>
      <c r="D749" s="3">
        <v>100</v>
      </c>
      <c r="E749" s="70">
        <f>[1]DETAY!$A$2</f>
        <v>0</v>
      </c>
      <c r="F749" s="71">
        <f t="shared" si="36"/>
        <v>100</v>
      </c>
      <c r="G749" s="72">
        <f t="shared" ref="G749:G812" si="38">SUBTOTAL(9,I749:BD749)</f>
        <v>0</v>
      </c>
      <c r="H749" s="73">
        <f t="shared" ref="H749:H812" si="39">F749/D749</f>
        <v>1</v>
      </c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F749" s="1"/>
    </row>
    <row r="750" spans="1:58" s="22" customFormat="1" x14ac:dyDescent="0.25">
      <c r="A750" s="5" t="s">
        <v>11</v>
      </c>
      <c r="B750" s="4">
        <v>46189</v>
      </c>
      <c r="C750" s="2">
        <f t="shared" si="37"/>
        <v>25</v>
      </c>
      <c r="D750" s="3">
        <v>113</v>
      </c>
      <c r="E750" s="70">
        <f>[1]DETAY!$A$2</f>
        <v>0</v>
      </c>
      <c r="F750" s="71">
        <f t="shared" si="36"/>
        <v>113</v>
      </c>
      <c r="G750" s="72">
        <f t="shared" si="38"/>
        <v>0</v>
      </c>
      <c r="H750" s="73">
        <f t="shared" si="39"/>
        <v>1</v>
      </c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F750" s="1"/>
    </row>
    <row r="751" spans="1:58" s="22" customFormat="1" x14ac:dyDescent="0.25">
      <c r="A751" s="5" t="s">
        <v>1</v>
      </c>
      <c r="B751" s="4">
        <v>46189</v>
      </c>
      <c r="C751" s="2">
        <f t="shared" si="37"/>
        <v>25</v>
      </c>
      <c r="D751" s="3">
        <v>162</v>
      </c>
      <c r="E751" s="70">
        <f>[1]DETAY!$A$2</f>
        <v>0</v>
      </c>
      <c r="F751" s="71">
        <f t="shared" si="36"/>
        <v>0</v>
      </c>
      <c r="G751" s="72">
        <f t="shared" si="38"/>
        <v>162</v>
      </c>
      <c r="H751" s="73">
        <f t="shared" si="39"/>
        <v>0</v>
      </c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>
        <v>162</v>
      </c>
      <c r="AV751" s="2"/>
      <c r="AW751" s="2"/>
      <c r="AX751" s="2"/>
      <c r="AY751" s="2"/>
      <c r="AZ751" s="2"/>
      <c r="BA751" s="2"/>
      <c r="BB751" s="2"/>
      <c r="BC751" s="2"/>
      <c r="BD751" s="2"/>
      <c r="BF751" s="1"/>
    </row>
    <row r="752" spans="1:58" s="22" customFormat="1" x14ac:dyDescent="0.25">
      <c r="A752" s="5" t="s">
        <v>0</v>
      </c>
      <c r="B752" s="4">
        <v>46189</v>
      </c>
      <c r="C752" s="2">
        <f t="shared" si="37"/>
        <v>25</v>
      </c>
      <c r="D752" s="3">
        <v>250</v>
      </c>
      <c r="E752" s="70">
        <f>[1]DETAY!$A$2</f>
        <v>0</v>
      </c>
      <c r="F752" s="71">
        <f t="shared" si="36"/>
        <v>0</v>
      </c>
      <c r="G752" s="72">
        <f t="shared" si="38"/>
        <v>250</v>
      </c>
      <c r="H752" s="73">
        <f t="shared" si="39"/>
        <v>0</v>
      </c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>
        <v>250</v>
      </c>
      <c r="AV752" s="2"/>
      <c r="AW752" s="2"/>
      <c r="AX752" s="2"/>
      <c r="AY752" s="2"/>
      <c r="AZ752" s="2"/>
      <c r="BA752" s="2"/>
      <c r="BB752" s="2"/>
      <c r="BC752" s="2"/>
      <c r="BD752" s="2"/>
      <c r="BF752" s="1"/>
    </row>
    <row r="753" spans="1:58" s="22" customFormat="1" x14ac:dyDescent="0.25">
      <c r="A753" s="5" t="s">
        <v>22</v>
      </c>
      <c r="B753" s="4">
        <v>46189</v>
      </c>
      <c r="C753" s="2">
        <f t="shared" si="37"/>
        <v>25</v>
      </c>
      <c r="D753" s="3">
        <v>1013</v>
      </c>
      <c r="E753" s="70">
        <f>[1]DETAY!$A$2</f>
        <v>0</v>
      </c>
      <c r="F753" s="71">
        <f t="shared" si="36"/>
        <v>1012</v>
      </c>
      <c r="G753" s="72">
        <f t="shared" si="38"/>
        <v>1</v>
      </c>
      <c r="H753" s="73">
        <f t="shared" si="39"/>
        <v>0.99901283316880551</v>
      </c>
      <c r="I753" s="2"/>
      <c r="J753" s="2"/>
      <c r="K753" s="2">
        <v>1</v>
      </c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F753" s="1"/>
    </row>
    <row r="754" spans="1:58" s="22" customFormat="1" x14ac:dyDescent="0.25">
      <c r="A754" s="5" t="s">
        <v>20</v>
      </c>
      <c r="B754" s="4">
        <v>46189</v>
      </c>
      <c r="C754" s="2">
        <f t="shared" si="37"/>
        <v>25</v>
      </c>
      <c r="D754" s="3">
        <v>2120</v>
      </c>
      <c r="E754" s="70">
        <f>[1]DETAY!$A$2</f>
        <v>0</v>
      </c>
      <c r="F754" s="71">
        <f t="shared" si="36"/>
        <v>2101</v>
      </c>
      <c r="G754" s="72">
        <f t="shared" si="38"/>
        <v>19</v>
      </c>
      <c r="H754" s="73">
        <f t="shared" si="39"/>
        <v>0.99103773584905663</v>
      </c>
      <c r="I754" s="2"/>
      <c r="J754" s="2">
        <v>18</v>
      </c>
      <c r="K754" s="2"/>
      <c r="L754" s="2">
        <v>1</v>
      </c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F754" s="1"/>
    </row>
    <row r="755" spans="1:58" s="22" customFormat="1" x14ac:dyDescent="0.25">
      <c r="A755" s="5" t="s">
        <v>17</v>
      </c>
      <c r="B755" s="4">
        <v>46189</v>
      </c>
      <c r="C755" s="2">
        <f t="shared" si="37"/>
        <v>25</v>
      </c>
      <c r="D755" s="3">
        <v>1429</v>
      </c>
      <c r="E755" s="70">
        <f>[1]DETAY!$A$2</f>
        <v>0</v>
      </c>
      <c r="F755" s="71">
        <f t="shared" si="36"/>
        <v>1400</v>
      </c>
      <c r="G755" s="72">
        <f t="shared" si="38"/>
        <v>29</v>
      </c>
      <c r="H755" s="73">
        <f t="shared" si="39"/>
        <v>0.97970608817354798</v>
      </c>
      <c r="I755" s="2"/>
      <c r="J755" s="2">
        <v>9</v>
      </c>
      <c r="K755" s="2"/>
      <c r="L755" s="2">
        <v>20</v>
      </c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F755" s="1"/>
    </row>
    <row r="756" spans="1:58" s="22" customFormat="1" x14ac:dyDescent="0.25">
      <c r="A756" s="5" t="s">
        <v>16</v>
      </c>
      <c r="B756" s="4">
        <v>46189</v>
      </c>
      <c r="C756" s="2">
        <f t="shared" si="37"/>
        <v>25</v>
      </c>
      <c r="D756" s="3">
        <v>424</v>
      </c>
      <c r="E756" s="70">
        <f>[1]DETAY!$A$2</f>
        <v>0</v>
      </c>
      <c r="F756" s="71">
        <f t="shared" si="36"/>
        <v>420</v>
      </c>
      <c r="G756" s="72">
        <f t="shared" si="38"/>
        <v>4</v>
      </c>
      <c r="H756" s="73">
        <f t="shared" si="39"/>
        <v>0.99056603773584906</v>
      </c>
      <c r="I756" s="2"/>
      <c r="J756" s="2"/>
      <c r="K756" s="2">
        <v>1</v>
      </c>
      <c r="L756" s="2"/>
      <c r="M756" s="2"/>
      <c r="N756" s="2"/>
      <c r="O756" s="2"/>
      <c r="P756" s="2"/>
      <c r="Q756" s="2"/>
      <c r="R756" s="2"/>
      <c r="S756" s="2"/>
      <c r="T756" s="2"/>
      <c r="U756" s="2">
        <v>3</v>
      </c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F756" s="1"/>
    </row>
    <row r="757" spans="1:58" s="22" customFormat="1" x14ac:dyDescent="0.25">
      <c r="A757" s="5" t="s">
        <v>11</v>
      </c>
      <c r="B757" s="4">
        <v>46189</v>
      </c>
      <c r="C757" s="2">
        <f t="shared" si="37"/>
        <v>25</v>
      </c>
      <c r="D757" s="3">
        <v>404</v>
      </c>
      <c r="E757" s="70">
        <f>[1]DETAY!$A$2</f>
        <v>0</v>
      </c>
      <c r="F757" s="71">
        <f t="shared" si="36"/>
        <v>400</v>
      </c>
      <c r="G757" s="72">
        <f t="shared" si="38"/>
        <v>4</v>
      </c>
      <c r="H757" s="73">
        <f t="shared" si="39"/>
        <v>0.99009900990099009</v>
      </c>
      <c r="I757" s="2"/>
      <c r="J757" s="2"/>
      <c r="K757" s="2"/>
      <c r="L757" s="2">
        <v>4</v>
      </c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F757" s="1"/>
    </row>
    <row r="758" spans="1:58" s="22" customFormat="1" x14ac:dyDescent="0.25">
      <c r="A758" s="5" t="s">
        <v>9</v>
      </c>
      <c r="B758" s="4">
        <v>46189</v>
      </c>
      <c r="C758" s="2">
        <f t="shared" si="37"/>
        <v>25</v>
      </c>
      <c r="D758" s="3">
        <v>632</v>
      </c>
      <c r="E758" s="70">
        <f>[1]DETAY!$A$2</f>
        <v>0</v>
      </c>
      <c r="F758" s="71">
        <f t="shared" si="36"/>
        <v>600</v>
      </c>
      <c r="G758" s="72">
        <f t="shared" si="38"/>
        <v>32</v>
      </c>
      <c r="H758" s="73">
        <f t="shared" si="39"/>
        <v>0.94936708860759489</v>
      </c>
      <c r="I758" s="2"/>
      <c r="J758" s="2"/>
      <c r="K758" s="2"/>
      <c r="L758" s="2"/>
      <c r="M758" s="2">
        <v>32</v>
      </c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F758" s="1"/>
    </row>
    <row r="759" spans="1:58" s="22" customFormat="1" x14ac:dyDescent="0.25">
      <c r="A759" s="5" t="s">
        <v>13</v>
      </c>
      <c r="B759" s="4">
        <v>46189</v>
      </c>
      <c r="C759" s="2">
        <f t="shared" si="37"/>
        <v>25</v>
      </c>
      <c r="D759" s="3">
        <v>120</v>
      </c>
      <c r="E759" s="70">
        <f>[1]DETAY!$A$2</f>
        <v>0</v>
      </c>
      <c r="F759" s="71">
        <f t="shared" si="36"/>
        <v>120</v>
      </c>
      <c r="G759" s="72">
        <f t="shared" si="38"/>
        <v>0</v>
      </c>
      <c r="H759" s="73">
        <f t="shared" si="39"/>
        <v>1</v>
      </c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F759" s="1"/>
    </row>
    <row r="760" spans="1:58" s="22" customFormat="1" x14ac:dyDescent="0.25">
      <c r="A760" s="5" t="s">
        <v>5</v>
      </c>
      <c r="B760" s="4">
        <v>46189</v>
      </c>
      <c r="C760" s="2">
        <f t="shared" si="37"/>
        <v>25</v>
      </c>
      <c r="D760" s="3">
        <v>77</v>
      </c>
      <c r="E760" s="70">
        <f>[1]DETAY!$A$2</f>
        <v>0</v>
      </c>
      <c r="F760" s="71">
        <f t="shared" si="36"/>
        <v>77</v>
      </c>
      <c r="G760" s="72">
        <f t="shared" si="38"/>
        <v>0</v>
      </c>
      <c r="H760" s="73">
        <f t="shared" si="39"/>
        <v>1</v>
      </c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F760" s="1"/>
    </row>
    <row r="761" spans="1:58" s="22" customFormat="1" x14ac:dyDescent="0.25">
      <c r="A761" s="5" t="s">
        <v>4</v>
      </c>
      <c r="B761" s="4">
        <v>46189</v>
      </c>
      <c r="C761" s="2">
        <f t="shared" si="37"/>
        <v>25</v>
      </c>
      <c r="D761" s="3">
        <v>77</v>
      </c>
      <c r="E761" s="70">
        <f>[1]DETAY!$A$2</f>
        <v>0</v>
      </c>
      <c r="F761" s="71">
        <f t="shared" si="36"/>
        <v>77</v>
      </c>
      <c r="G761" s="72">
        <f t="shared" si="38"/>
        <v>0</v>
      </c>
      <c r="H761" s="73">
        <f t="shared" si="39"/>
        <v>1</v>
      </c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F761" s="1"/>
    </row>
    <row r="762" spans="1:58" s="22" customFormat="1" x14ac:dyDescent="0.25">
      <c r="A762" s="5" t="s">
        <v>6</v>
      </c>
      <c r="B762" s="4">
        <v>46189</v>
      </c>
      <c r="C762" s="2">
        <f t="shared" si="37"/>
        <v>25</v>
      </c>
      <c r="D762" s="3">
        <v>154</v>
      </c>
      <c r="E762" s="70">
        <f>[1]DETAY!$A$2</f>
        <v>0</v>
      </c>
      <c r="F762" s="71">
        <f t="shared" si="36"/>
        <v>153</v>
      </c>
      <c r="G762" s="72">
        <f t="shared" si="38"/>
        <v>1</v>
      </c>
      <c r="H762" s="73">
        <f t="shared" si="39"/>
        <v>0.99350649350649356</v>
      </c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>
        <v>1</v>
      </c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F762" s="1"/>
    </row>
    <row r="763" spans="1:58" s="22" customFormat="1" x14ac:dyDescent="0.25">
      <c r="A763" s="5" t="s">
        <v>22</v>
      </c>
      <c r="B763" s="4">
        <v>46189</v>
      </c>
      <c r="C763" s="2">
        <f t="shared" si="37"/>
        <v>25</v>
      </c>
      <c r="D763" s="3">
        <v>625</v>
      </c>
      <c r="E763" s="70">
        <f>[1]DETAY!$A$2</f>
        <v>0</v>
      </c>
      <c r="F763" s="71">
        <f t="shared" si="36"/>
        <v>620</v>
      </c>
      <c r="G763" s="72">
        <f t="shared" si="38"/>
        <v>5</v>
      </c>
      <c r="H763" s="73">
        <f t="shared" si="39"/>
        <v>0.99199999999999999</v>
      </c>
      <c r="I763" s="2"/>
      <c r="J763" s="2"/>
      <c r="K763" s="2"/>
      <c r="L763" s="2">
        <v>2</v>
      </c>
      <c r="M763" s="2">
        <v>3</v>
      </c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F763" s="1"/>
    </row>
    <row r="764" spans="1:58" s="22" customFormat="1" x14ac:dyDescent="0.25">
      <c r="A764" s="5" t="s">
        <v>21</v>
      </c>
      <c r="B764" s="4">
        <v>46189</v>
      </c>
      <c r="C764" s="2">
        <f t="shared" si="37"/>
        <v>25</v>
      </c>
      <c r="D764" s="3">
        <v>327</v>
      </c>
      <c r="E764" s="70">
        <f>[1]DETAY!$A$2</f>
        <v>0</v>
      </c>
      <c r="F764" s="71">
        <f t="shared" si="36"/>
        <v>325</v>
      </c>
      <c r="G764" s="72">
        <f t="shared" si="38"/>
        <v>2</v>
      </c>
      <c r="H764" s="73">
        <f t="shared" si="39"/>
        <v>0.99388379204892963</v>
      </c>
      <c r="I764" s="2"/>
      <c r="J764" s="2"/>
      <c r="K764" s="2"/>
      <c r="L764" s="2">
        <v>2</v>
      </c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F764" s="1"/>
    </row>
    <row r="765" spans="1:58" s="22" customFormat="1" x14ac:dyDescent="0.25">
      <c r="A765" s="5" t="s">
        <v>20</v>
      </c>
      <c r="B765" s="4">
        <v>46189</v>
      </c>
      <c r="C765" s="2">
        <f t="shared" si="37"/>
        <v>25</v>
      </c>
      <c r="D765" s="3">
        <v>1619</v>
      </c>
      <c r="E765" s="70">
        <f>[1]DETAY!$A$2</f>
        <v>0</v>
      </c>
      <c r="F765" s="71">
        <f t="shared" si="36"/>
        <v>1601</v>
      </c>
      <c r="G765" s="72">
        <f t="shared" si="38"/>
        <v>18</v>
      </c>
      <c r="H765" s="73">
        <f t="shared" si="39"/>
        <v>0.98888202594193952</v>
      </c>
      <c r="I765" s="2"/>
      <c r="J765" s="2">
        <v>11</v>
      </c>
      <c r="K765" s="2"/>
      <c r="L765" s="2">
        <v>7</v>
      </c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F765" s="1"/>
    </row>
    <row r="766" spans="1:58" s="22" customFormat="1" x14ac:dyDescent="0.25">
      <c r="A766" s="5" t="s">
        <v>16</v>
      </c>
      <c r="B766" s="4">
        <v>46189</v>
      </c>
      <c r="C766" s="2">
        <f t="shared" si="37"/>
        <v>25</v>
      </c>
      <c r="D766" s="3">
        <v>1513</v>
      </c>
      <c r="E766" s="70">
        <f>[1]DETAY!$A$2</f>
        <v>0</v>
      </c>
      <c r="F766" s="71">
        <f t="shared" si="36"/>
        <v>1400</v>
      </c>
      <c r="G766" s="72">
        <f t="shared" si="38"/>
        <v>113</v>
      </c>
      <c r="H766" s="73">
        <f t="shared" si="39"/>
        <v>0.92531394580304027</v>
      </c>
      <c r="I766" s="2"/>
      <c r="J766" s="2"/>
      <c r="K766" s="2">
        <v>5</v>
      </c>
      <c r="L766" s="2"/>
      <c r="M766" s="2">
        <v>35</v>
      </c>
      <c r="N766" s="2"/>
      <c r="O766" s="2"/>
      <c r="P766" s="2">
        <v>1</v>
      </c>
      <c r="Q766" s="2">
        <v>2</v>
      </c>
      <c r="R766" s="2"/>
      <c r="S766" s="2"/>
      <c r="T766" s="2"/>
      <c r="U766" s="2">
        <v>4</v>
      </c>
      <c r="V766" s="2"/>
      <c r="W766" s="2"/>
      <c r="X766" s="2">
        <v>60</v>
      </c>
      <c r="Y766" s="2"/>
      <c r="Z766" s="2"/>
      <c r="AA766" s="2"/>
      <c r="AB766" s="2"/>
      <c r="AC766" s="2"/>
      <c r="AD766" s="2"/>
      <c r="AE766" s="2"/>
      <c r="AF766" s="2">
        <v>2</v>
      </c>
      <c r="AG766" s="2"/>
      <c r="AH766" s="2">
        <v>4</v>
      </c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F766" s="1"/>
    </row>
    <row r="767" spans="1:58" s="22" customFormat="1" x14ac:dyDescent="0.25">
      <c r="A767" s="5" t="s">
        <v>10</v>
      </c>
      <c r="B767" s="4">
        <v>46189</v>
      </c>
      <c r="C767" s="2">
        <f t="shared" si="37"/>
        <v>25</v>
      </c>
      <c r="D767" s="3">
        <v>126</v>
      </c>
      <c r="E767" s="70">
        <f>[1]DETAY!$A$2</f>
        <v>0</v>
      </c>
      <c r="F767" s="71">
        <f t="shared" si="36"/>
        <v>0</v>
      </c>
      <c r="G767" s="72">
        <f t="shared" si="38"/>
        <v>126</v>
      </c>
      <c r="H767" s="73">
        <f t="shared" si="39"/>
        <v>0</v>
      </c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>
        <v>126</v>
      </c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F767" s="1"/>
    </row>
    <row r="768" spans="1:58" s="22" customFormat="1" x14ac:dyDescent="0.25">
      <c r="A768" s="5" t="s">
        <v>9</v>
      </c>
      <c r="B768" s="4">
        <v>46189</v>
      </c>
      <c r="C768" s="2">
        <f t="shared" si="37"/>
        <v>25</v>
      </c>
      <c r="D768" s="3">
        <v>60</v>
      </c>
      <c r="E768" s="70">
        <f>[1]DETAY!$A$2</f>
        <v>0</v>
      </c>
      <c r="F768" s="71">
        <f t="shared" si="36"/>
        <v>60</v>
      </c>
      <c r="G768" s="72">
        <f t="shared" si="38"/>
        <v>0</v>
      </c>
      <c r="H768" s="73">
        <f t="shared" si="39"/>
        <v>1</v>
      </c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F768" s="1"/>
    </row>
    <row r="769" spans="1:58" s="22" customFormat="1" x14ac:dyDescent="0.25">
      <c r="A769" s="5" t="s">
        <v>0</v>
      </c>
      <c r="B769" s="4">
        <v>46189</v>
      </c>
      <c r="C769" s="2">
        <f t="shared" si="37"/>
        <v>25</v>
      </c>
      <c r="D769" s="3">
        <v>40</v>
      </c>
      <c r="E769" s="70">
        <f>[1]DETAY!$A$2</f>
        <v>0</v>
      </c>
      <c r="F769" s="71">
        <f t="shared" si="36"/>
        <v>35</v>
      </c>
      <c r="G769" s="72">
        <f t="shared" si="38"/>
        <v>5</v>
      </c>
      <c r="H769" s="73">
        <f t="shared" si="39"/>
        <v>0.875</v>
      </c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>
        <v>5</v>
      </c>
      <c r="AV769" s="2"/>
      <c r="AW769" s="2"/>
      <c r="AX769" s="2"/>
      <c r="AY769" s="2"/>
      <c r="AZ769" s="2"/>
      <c r="BA769" s="2"/>
      <c r="BB769" s="2"/>
      <c r="BC769" s="2"/>
      <c r="BD769" s="2"/>
      <c r="BF769" s="1"/>
    </row>
    <row r="770" spans="1:58" s="22" customFormat="1" x14ac:dyDescent="0.25">
      <c r="A770" s="5" t="s">
        <v>8</v>
      </c>
      <c r="B770" s="4">
        <v>46189</v>
      </c>
      <c r="C770" s="2">
        <f t="shared" si="37"/>
        <v>25</v>
      </c>
      <c r="D770" s="3">
        <v>166</v>
      </c>
      <c r="E770" s="70">
        <f>[1]DETAY!$A$2</f>
        <v>0</v>
      </c>
      <c r="F770" s="71">
        <f t="shared" si="36"/>
        <v>165</v>
      </c>
      <c r="G770" s="72">
        <f t="shared" si="38"/>
        <v>1</v>
      </c>
      <c r="H770" s="73">
        <f t="shared" si="39"/>
        <v>0.99397590361445787</v>
      </c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>
        <v>1</v>
      </c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F770" s="1"/>
    </row>
    <row r="771" spans="1:58" s="22" customFormat="1" x14ac:dyDescent="0.25">
      <c r="A771" s="5" t="s">
        <v>15</v>
      </c>
      <c r="B771" s="4">
        <v>46189</v>
      </c>
      <c r="C771" s="2">
        <f t="shared" si="37"/>
        <v>25</v>
      </c>
      <c r="D771" s="3">
        <v>220</v>
      </c>
      <c r="E771" s="70">
        <f>[1]DETAY!$A$2</f>
        <v>0</v>
      </c>
      <c r="F771" s="71">
        <f t="shared" si="36"/>
        <v>220</v>
      </c>
      <c r="G771" s="72">
        <f t="shared" si="38"/>
        <v>0</v>
      </c>
      <c r="H771" s="73">
        <f t="shared" si="39"/>
        <v>1</v>
      </c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F771" s="1"/>
    </row>
    <row r="772" spans="1:58" s="22" customFormat="1" x14ac:dyDescent="0.25">
      <c r="A772" s="5" t="s">
        <v>7</v>
      </c>
      <c r="B772" s="4">
        <v>46189</v>
      </c>
      <c r="C772" s="2">
        <f t="shared" si="37"/>
        <v>25</v>
      </c>
      <c r="D772" s="3">
        <v>128</v>
      </c>
      <c r="E772" s="70">
        <f>[1]DETAY!$A$2</f>
        <v>0</v>
      </c>
      <c r="F772" s="71">
        <f t="shared" si="36"/>
        <v>128</v>
      </c>
      <c r="G772" s="72">
        <f t="shared" si="38"/>
        <v>0</v>
      </c>
      <c r="H772" s="73">
        <f t="shared" si="39"/>
        <v>1</v>
      </c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F772" s="1"/>
    </row>
    <row r="773" spans="1:58" s="22" customFormat="1" x14ac:dyDescent="0.25">
      <c r="A773" s="5" t="s">
        <v>13</v>
      </c>
      <c r="B773" s="4">
        <v>46189</v>
      </c>
      <c r="C773" s="2">
        <f t="shared" si="37"/>
        <v>25</v>
      </c>
      <c r="D773" s="3">
        <v>120</v>
      </c>
      <c r="E773" s="70">
        <f>[1]DETAY!$A$2</f>
        <v>0</v>
      </c>
      <c r="F773" s="71">
        <f t="shared" si="36"/>
        <v>120</v>
      </c>
      <c r="G773" s="72">
        <f t="shared" si="38"/>
        <v>0</v>
      </c>
      <c r="H773" s="73">
        <f t="shared" si="39"/>
        <v>1</v>
      </c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F773" s="1"/>
    </row>
    <row r="774" spans="1:58" s="22" customFormat="1" x14ac:dyDescent="0.25">
      <c r="A774" s="5" t="s">
        <v>4</v>
      </c>
      <c r="B774" s="4">
        <v>46189</v>
      </c>
      <c r="C774" s="2">
        <f t="shared" si="37"/>
        <v>25</v>
      </c>
      <c r="D774" s="3">
        <v>154</v>
      </c>
      <c r="E774" s="70">
        <f>[1]DETAY!$A$2</f>
        <v>0</v>
      </c>
      <c r="F774" s="71">
        <f t="shared" si="36"/>
        <v>154</v>
      </c>
      <c r="G774" s="72">
        <f t="shared" si="38"/>
        <v>0</v>
      </c>
      <c r="H774" s="73">
        <f t="shared" si="39"/>
        <v>1</v>
      </c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F774" s="1"/>
    </row>
    <row r="775" spans="1:58" s="22" customFormat="1" x14ac:dyDescent="0.25">
      <c r="A775" s="5" t="s">
        <v>6</v>
      </c>
      <c r="B775" s="4">
        <v>46189</v>
      </c>
      <c r="C775" s="2">
        <f t="shared" si="37"/>
        <v>25</v>
      </c>
      <c r="D775" s="3">
        <v>77</v>
      </c>
      <c r="E775" s="70">
        <f>[1]DETAY!$A$2</f>
        <v>0</v>
      </c>
      <c r="F775" s="71">
        <f t="shared" si="36"/>
        <v>77</v>
      </c>
      <c r="G775" s="72">
        <f t="shared" si="38"/>
        <v>0</v>
      </c>
      <c r="H775" s="73">
        <f t="shared" si="39"/>
        <v>1</v>
      </c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F775" s="1"/>
    </row>
    <row r="776" spans="1:58" s="22" customFormat="1" x14ac:dyDescent="0.25">
      <c r="A776" s="5" t="s">
        <v>83</v>
      </c>
      <c r="B776" s="4">
        <v>46189</v>
      </c>
      <c r="C776" s="2">
        <f t="shared" si="37"/>
        <v>25</v>
      </c>
      <c r="D776" s="3">
        <v>361</v>
      </c>
      <c r="E776" s="70">
        <f>[1]DETAY!$A$2</f>
        <v>0</v>
      </c>
      <c r="F776" s="71">
        <f t="shared" si="36"/>
        <v>360</v>
      </c>
      <c r="G776" s="72">
        <f t="shared" si="38"/>
        <v>1</v>
      </c>
      <c r="H776" s="73">
        <f t="shared" si="39"/>
        <v>0.99722991689750695</v>
      </c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>
        <v>1</v>
      </c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F776" s="1"/>
    </row>
    <row r="777" spans="1:58" s="22" customFormat="1" x14ac:dyDescent="0.25">
      <c r="A777" s="5" t="s">
        <v>8</v>
      </c>
      <c r="B777" s="4">
        <v>46189</v>
      </c>
      <c r="C777" s="2">
        <f t="shared" si="37"/>
        <v>25</v>
      </c>
      <c r="D777" s="3">
        <v>484</v>
      </c>
      <c r="E777" s="70">
        <f>[1]DETAY!$A$2</f>
        <v>0</v>
      </c>
      <c r="F777" s="71">
        <f t="shared" si="36"/>
        <v>475</v>
      </c>
      <c r="G777" s="72">
        <f t="shared" si="38"/>
        <v>9</v>
      </c>
      <c r="H777" s="73">
        <f t="shared" si="39"/>
        <v>0.98140495867768596</v>
      </c>
      <c r="I777" s="2"/>
      <c r="J777" s="2"/>
      <c r="K777" s="2"/>
      <c r="L777" s="2"/>
      <c r="M777" s="2">
        <v>9</v>
      </c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F777" s="1"/>
    </row>
    <row r="778" spans="1:58" s="22" customFormat="1" x14ac:dyDescent="0.25">
      <c r="A778" s="5" t="s">
        <v>7</v>
      </c>
      <c r="B778" s="4">
        <v>46189</v>
      </c>
      <c r="C778" s="2">
        <f t="shared" si="37"/>
        <v>25</v>
      </c>
      <c r="D778" s="3">
        <v>384</v>
      </c>
      <c r="E778" s="70">
        <f>[1]DETAY!$A$2</f>
        <v>0</v>
      </c>
      <c r="F778" s="71">
        <f t="shared" si="36"/>
        <v>384</v>
      </c>
      <c r="G778" s="72">
        <f t="shared" si="38"/>
        <v>0</v>
      </c>
      <c r="H778" s="73">
        <f t="shared" si="39"/>
        <v>1</v>
      </c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F778" s="1"/>
    </row>
    <row r="779" spans="1:58" s="22" customFormat="1" x14ac:dyDescent="0.25">
      <c r="A779" s="5" t="s">
        <v>12</v>
      </c>
      <c r="B779" s="4">
        <v>46189</v>
      </c>
      <c r="C779" s="2">
        <f t="shared" si="37"/>
        <v>25</v>
      </c>
      <c r="D779" s="3">
        <v>420</v>
      </c>
      <c r="E779" s="70">
        <f>[1]DETAY!$A$2</f>
        <v>0</v>
      </c>
      <c r="F779" s="71">
        <f t="shared" si="36"/>
        <v>400</v>
      </c>
      <c r="G779" s="72">
        <f t="shared" si="38"/>
        <v>20</v>
      </c>
      <c r="H779" s="73">
        <f t="shared" si="39"/>
        <v>0.95238095238095233</v>
      </c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>
        <v>20</v>
      </c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F779" s="1"/>
    </row>
    <row r="780" spans="1:58" s="22" customFormat="1" x14ac:dyDescent="0.25">
      <c r="A780" s="5" t="s">
        <v>13</v>
      </c>
      <c r="B780" s="4">
        <v>46189</v>
      </c>
      <c r="C780" s="2">
        <f t="shared" si="37"/>
        <v>25</v>
      </c>
      <c r="D780" s="3">
        <v>1440</v>
      </c>
      <c r="E780" s="70">
        <f>[1]DETAY!$A$2</f>
        <v>0</v>
      </c>
      <c r="F780" s="71">
        <f t="shared" si="36"/>
        <v>1440</v>
      </c>
      <c r="G780" s="72">
        <f t="shared" si="38"/>
        <v>0</v>
      </c>
      <c r="H780" s="73">
        <f t="shared" si="39"/>
        <v>1</v>
      </c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F780" s="1"/>
    </row>
    <row r="781" spans="1:58" s="22" customFormat="1" x14ac:dyDescent="0.25">
      <c r="A781" s="5" t="s">
        <v>4</v>
      </c>
      <c r="B781" s="4">
        <v>46189</v>
      </c>
      <c r="C781" s="2">
        <f t="shared" si="37"/>
        <v>25</v>
      </c>
      <c r="D781" s="3">
        <v>154</v>
      </c>
      <c r="E781" s="70">
        <f>[1]DETAY!$A$2</f>
        <v>0</v>
      </c>
      <c r="F781" s="71">
        <f t="shared" si="36"/>
        <v>154</v>
      </c>
      <c r="G781" s="72">
        <f t="shared" si="38"/>
        <v>0</v>
      </c>
      <c r="H781" s="73">
        <f t="shared" si="39"/>
        <v>1</v>
      </c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F781" s="1"/>
    </row>
    <row r="782" spans="1:58" s="22" customFormat="1" x14ac:dyDescent="0.25">
      <c r="A782" s="5" t="s">
        <v>6</v>
      </c>
      <c r="B782" s="4">
        <v>46189</v>
      </c>
      <c r="C782" s="2">
        <f t="shared" si="37"/>
        <v>25</v>
      </c>
      <c r="D782" s="3">
        <v>77</v>
      </c>
      <c r="E782" s="70">
        <f>[1]DETAY!$A$2</f>
        <v>0</v>
      </c>
      <c r="F782" s="71">
        <f t="shared" si="36"/>
        <v>77</v>
      </c>
      <c r="G782" s="72">
        <f t="shared" si="38"/>
        <v>0</v>
      </c>
      <c r="H782" s="73">
        <f t="shared" si="39"/>
        <v>1</v>
      </c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F782" s="1"/>
    </row>
    <row r="783" spans="1:58" s="22" customFormat="1" x14ac:dyDescent="0.25">
      <c r="A783" s="5" t="s">
        <v>21</v>
      </c>
      <c r="B783" s="4">
        <v>46189</v>
      </c>
      <c r="C783" s="2">
        <f t="shared" si="37"/>
        <v>25</v>
      </c>
      <c r="D783" s="3">
        <v>927</v>
      </c>
      <c r="E783" s="70">
        <f>[1]DETAY!$A$2</f>
        <v>0</v>
      </c>
      <c r="F783" s="71">
        <f t="shared" si="36"/>
        <v>900</v>
      </c>
      <c r="G783" s="72">
        <f t="shared" si="38"/>
        <v>27</v>
      </c>
      <c r="H783" s="73">
        <f t="shared" si="39"/>
        <v>0.970873786407767</v>
      </c>
      <c r="I783" s="2"/>
      <c r="J783" s="2"/>
      <c r="K783" s="2"/>
      <c r="L783" s="2">
        <v>27</v>
      </c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F783" s="1"/>
    </row>
    <row r="784" spans="1:58" s="22" customFormat="1" x14ac:dyDescent="0.25">
      <c r="A784" s="5" t="s">
        <v>18</v>
      </c>
      <c r="B784" s="4">
        <v>46189</v>
      </c>
      <c r="C784" s="2">
        <f t="shared" si="37"/>
        <v>25</v>
      </c>
      <c r="D784" s="3">
        <v>724</v>
      </c>
      <c r="E784" s="70">
        <f>[1]DETAY!$A$2</f>
        <v>0</v>
      </c>
      <c r="F784" s="71">
        <f t="shared" si="36"/>
        <v>700</v>
      </c>
      <c r="G784" s="72">
        <f t="shared" si="38"/>
        <v>24</v>
      </c>
      <c r="H784" s="73">
        <f t="shared" si="39"/>
        <v>0.96685082872928174</v>
      </c>
      <c r="I784" s="2"/>
      <c r="J784" s="2">
        <v>17</v>
      </c>
      <c r="K784" s="2"/>
      <c r="L784" s="2">
        <v>7</v>
      </c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F784" s="1"/>
    </row>
    <row r="785" spans="1:58" s="22" customFormat="1" x14ac:dyDescent="0.25">
      <c r="A785" s="5" t="s">
        <v>17</v>
      </c>
      <c r="B785" s="4">
        <v>46189</v>
      </c>
      <c r="C785" s="2">
        <f t="shared" si="37"/>
        <v>25</v>
      </c>
      <c r="D785" s="3">
        <v>245</v>
      </c>
      <c r="E785" s="70">
        <f>[1]DETAY!$A$2</f>
        <v>0</v>
      </c>
      <c r="F785" s="71">
        <f t="shared" si="36"/>
        <v>240</v>
      </c>
      <c r="G785" s="72">
        <f t="shared" si="38"/>
        <v>5</v>
      </c>
      <c r="H785" s="73">
        <f t="shared" si="39"/>
        <v>0.97959183673469385</v>
      </c>
      <c r="I785" s="2"/>
      <c r="J785" s="2">
        <v>5</v>
      </c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F785" s="1"/>
    </row>
    <row r="786" spans="1:58" s="22" customFormat="1" x14ac:dyDescent="0.25">
      <c r="A786" s="5" t="s">
        <v>10</v>
      </c>
      <c r="B786" s="4">
        <v>46189</v>
      </c>
      <c r="C786" s="2">
        <f t="shared" si="37"/>
        <v>25</v>
      </c>
      <c r="D786" s="3">
        <v>189</v>
      </c>
      <c r="E786" s="70">
        <f>[1]DETAY!$A$2</f>
        <v>0</v>
      </c>
      <c r="F786" s="71">
        <f t="shared" ref="F786:F849" si="40">D786-G786</f>
        <v>180</v>
      </c>
      <c r="G786" s="72">
        <f t="shared" si="38"/>
        <v>9</v>
      </c>
      <c r="H786" s="73">
        <f t="shared" si="39"/>
        <v>0.95238095238095233</v>
      </c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>
        <v>9</v>
      </c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F786" s="1"/>
    </row>
    <row r="787" spans="1:58" s="22" customFormat="1" x14ac:dyDescent="0.25">
      <c r="A787" s="5" t="s">
        <v>9</v>
      </c>
      <c r="B787" s="4">
        <v>46189</v>
      </c>
      <c r="C787" s="2">
        <f t="shared" si="37"/>
        <v>25</v>
      </c>
      <c r="D787" s="3">
        <v>613</v>
      </c>
      <c r="E787" s="70">
        <f>[1]DETAY!$A$2</f>
        <v>0</v>
      </c>
      <c r="F787" s="71">
        <f t="shared" si="40"/>
        <v>600</v>
      </c>
      <c r="G787" s="72">
        <f t="shared" si="38"/>
        <v>13</v>
      </c>
      <c r="H787" s="73">
        <f t="shared" si="39"/>
        <v>0.97879282218597063</v>
      </c>
      <c r="I787" s="2"/>
      <c r="J787" s="2"/>
      <c r="K787" s="2"/>
      <c r="L787" s="2"/>
      <c r="M787" s="2">
        <v>4</v>
      </c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>
        <v>9</v>
      </c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F787" s="1"/>
    </row>
    <row r="788" spans="1:58" s="22" customFormat="1" x14ac:dyDescent="0.25">
      <c r="A788" s="5" t="s">
        <v>1</v>
      </c>
      <c r="B788" s="4">
        <v>46189</v>
      </c>
      <c r="C788" s="2">
        <f t="shared" si="37"/>
        <v>25</v>
      </c>
      <c r="D788" s="3">
        <v>127</v>
      </c>
      <c r="E788" s="70">
        <f>[1]DETAY!$A$2</f>
        <v>0</v>
      </c>
      <c r="F788" s="71">
        <f t="shared" si="40"/>
        <v>127</v>
      </c>
      <c r="G788" s="72">
        <f t="shared" si="38"/>
        <v>0</v>
      </c>
      <c r="H788" s="73">
        <f t="shared" si="39"/>
        <v>1</v>
      </c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F788" s="1"/>
    </row>
    <row r="789" spans="1:58" s="22" customFormat="1" x14ac:dyDescent="0.25">
      <c r="A789" s="5" t="s">
        <v>0</v>
      </c>
      <c r="B789" s="4">
        <v>46189</v>
      </c>
      <c r="C789" s="2">
        <f t="shared" si="37"/>
        <v>25</v>
      </c>
      <c r="D789" s="3">
        <v>149</v>
      </c>
      <c r="E789" s="70">
        <f>[1]DETAY!$A$2</f>
        <v>0</v>
      </c>
      <c r="F789" s="71">
        <f t="shared" si="40"/>
        <v>140</v>
      </c>
      <c r="G789" s="72">
        <f t="shared" si="38"/>
        <v>9</v>
      </c>
      <c r="H789" s="73">
        <f t="shared" si="39"/>
        <v>0.93959731543624159</v>
      </c>
      <c r="I789" s="2"/>
      <c r="J789" s="2"/>
      <c r="K789" s="2"/>
      <c r="L789" s="2"/>
      <c r="M789" s="2">
        <v>4</v>
      </c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>
        <v>5</v>
      </c>
      <c r="AV789" s="2"/>
      <c r="AW789" s="2"/>
      <c r="AX789" s="2"/>
      <c r="AY789" s="2"/>
      <c r="AZ789" s="2"/>
      <c r="BA789" s="2"/>
      <c r="BB789" s="2"/>
      <c r="BC789" s="2"/>
      <c r="BD789" s="2"/>
      <c r="BF789" s="1"/>
    </row>
    <row r="790" spans="1:58" s="22" customFormat="1" x14ac:dyDescent="0.25">
      <c r="A790" s="5" t="s">
        <v>8</v>
      </c>
      <c r="B790" s="4">
        <v>46190</v>
      </c>
      <c r="C790" s="2">
        <f t="shared" si="37"/>
        <v>25</v>
      </c>
      <c r="D790" s="3">
        <v>302</v>
      </c>
      <c r="E790" s="70">
        <f>[1]DETAY!$A$2</f>
        <v>0</v>
      </c>
      <c r="F790" s="71">
        <f t="shared" si="40"/>
        <v>300</v>
      </c>
      <c r="G790" s="72">
        <f t="shared" si="38"/>
        <v>2</v>
      </c>
      <c r="H790" s="73">
        <f t="shared" si="39"/>
        <v>0.99337748344370858</v>
      </c>
      <c r="I790" s="2"/>
      <c r="J790" s="2"/>
      <c r="K790" s="2"/>
      <c r="L790" s="2"/>
      <c r="M790" s="2">
        <v>2</v>
      </c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F790" s="1"/>
    </row>
    <row r="791" spans="1:58" s="22" customFormat="1" x14ac:dyDescent="0.25">
      <c r="A791" s="5" t="s">
        <v>7</v>
      </c>
      <c r="B791" s="4">
        <v>46190</v>
      </c>
      <c r="C791" s="2">
        <f t="shared" si="37"/>
        <v>25</v>
      </c>
      <c r="D791" s="3">
        <v>320</v>
      </c>
      <c r="E791" s="70">
        <f>[1]DETAY!$A$2</f>
        <v>0</v>
      </c>
      <c r="F791" s="71">
        <f t="shared" si="40"/>
        <v>320</v>
      </c>
      <c r="G791" s="72">
        <f t="shared" si="38"/>
        <v>0</v>
      </c>
      <c r="H791" s="73">
        <f t="shared" si="39"/>
        <v>1</v>
      </c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F791" s="1"/>
    </row>
    <row r="792" spans="1:58" s="22" customFormat="1" x14ac:dyDescent="0.25">
      <c r="A792" s="5" t="s">
        <v>13</v>
      </c>
      <c r="B792" s="4">
        <v>46190</v>
      </c>
      <c r="C792" s="2">
        <f t="shared" si="37"/>
        <v>25</v>
      </c>
      <c r="D792" s="3">
        <v>840</v>
      </c>
      <c r="E792" s="70">
        <f>[1]DETAY!$A$2</f>
        <v>0</v>
      </c>
      <c r="F792" s="71">
        <f t="shared" si="40"/>
        <v>840</v>
      </c>
      <c r="G792" s="72">
        <f t="shared" si="38"/>
        <v>0</v>
      </c>
      <c r="H792" s="73">
        <f t="shared" si="39"/>
        <v>1</v>
      </c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F792" s="1"/>
    </row>
    <row r="793" spans="1:58" s="22" customFormat="1" x14ac:dyDescent="0.25">
      <c r="A793" s="5" t="s">
        <v>21</v>
      </c>
      <c r="B793" s="4">
        <v>46190</v>
      </c>
      <c r="C793" s="2">
        <f t="shared" si="37"/>
        <v>25</v>
      </c>
      <c r="D793" s="3">
        <v>933</v>
      </c>
      <c r="E793" s="70">
        <f>[1]DETAY!$A$2</f>
        <v>0</v>
      </c>
      <c r="F793" s="71">
        <f t="shared" si="40"/>
        <v>925</v>
      </c>
      <c r="G793" s="72">
        <f t="shared" si="38"/>
        <v>8</v>
      </c>
      <c r="H793" s="73">
        <f t="shared" si="39"/>
        <v>0.99142550911039662</v>
      </c>
      <c r="I793" s="2"/>
      <c r="J793" s="2"/>
      <c r="K793" s="2">
        <v>1</v>
      </c>
      <c r="L793" s="2">
        <v>7</v>
      </c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F793" s="1"/>
    </row>
    <row r="794" spans="1:58" s="22" customFormat="1" x14ac:dyDescent="0.25">
      <c r="A794" s="5" t="s">
        <v>18</v>
      </c>
      <c r="B794" s="4">
        <v>46190</v>
      </c>
      <c r="C794" s="2">
        <f t="shared" si="37"/>
        <v>25</v>
      </c>
      <c r="D794" s="3">
        <v>1739</v>
      </c>
      <c r="E794" s="70">
        <f>[1]DETAY!$A$2</f>
        <v>0</v>
      </c>
      <c r="F794" s="71">
        <f t="shared" si="40"/>
        <v>1710</v>
      </c>
      <c r="G794" s="72">
        <f t="shared" si="38"/>
        <v>29</v>
      </c>
      <c r="H794" s="73">
        <f t="shared" si="39"/>
        <v>0.98332374928119604</v>
      </c>
      <c r="I794" s="2"/>
      <c r="J794" s="2">
        <v>28</v>
      </c>
      <c r="K794" s="2"/>
      <c r="L794" s="2">
        <v>1</v>
      </c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F794" s="1"/>
    </row>
    <row r="795" spans="1:58" s="22" customFormat="1" x14ac:dyDescent="0.25">
      <c r="A795" s="5" t="s">
        <v>16</v>
      </c>
      <c r="B795" s="4">
        <v>46190</v>
      </c>
      <c r="C795" s="2">
        <f t="shared" si="37"/>
        <v>25</v>
      </c>
      <c r="D795" s="3">
        <v>793</v>
      </c>
      <c r="E795" s="70">
        <f>[1]DETAY!$A$2</f>
        <v>0</v>
      </c>
      <c r="F795" s="71">
        <f t="shared" si="40"/>
        <v>770</v>
      </c>
      <c r="G795" s="72">
        <f t="shared" si="38"/>
        <v>23</v>
      </c>
      <c r="H795" s="73">
        <f t="shared" si="39"/>
        <v>0.9709962168978562</v>
      </c>
      <c r="I795" s="2"/>
      <c r="J795" s="2"/>
      <c r="K795" s="2">
        <v>5</v>
      </c>
      <c r="L795" s="2"/>
      <c r="M795" s="2"/>
      <c r="N795" s="2"/>
      <c r="O795" s="2"/>
      <c r="P795" s="2">
        <v>1</v>
      </c>
      <c r="Q795" s="2">
        <v>4</v>
      </c>
      <c r="R795" s="2"/>
      <c r="S795" s="2"/>
      <c r="T795" s="2"/>
      <c r="U795" s="2">
        <v>8</v>
      </c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>
        <v>3</v>
      </c>
      <c r="AI795" s="2"/>
      <c r="AJ795" s="2">
        <v>2</v>
      </c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F795" s="1"/>
    </row>
    <row r="796" spans="1:58" s="22" customFormat="1" x14ac:dyDescent="0.25">
      <c r="A796" s="5" t="s">
        <v>11</v>
      </c>
      <c r="B796" s="4">
        <v>46190</v>
      </c>
      <c r="C796" s="2">
        <f t="shared" si="37"/>
        <v>25</v>
      </c>
      <c r="D796" s="3">
        <v>1293</v>
      </c>
      <c r="E796" s="70">
        <f>[1]DETAY!$A$2</f>
        <v>0</v>
      </c>
      <c r="F796" s="71">
        <f t="shared" si="40"/>
        <v>1280</v>
      </c>
      <c r="G796" s="72">
        <f t="shared" si="38"/>
        <v>13</v>
      </c>
      <c r="H796" s="73">
        <f t="shared" si="39"/>
        <v>0.98994586233565351</v>
      </c>
      <c r="I796" s="2"/>
      <c r="J796" s="2"/>
      <c r="K796" s="2"/>
      <c r="L796" s="2">
        <v>13</v>
      </c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F796" s="1"/>
    </row>
    <row r="797" spans="1:58" s="22" customFormat="1" x14ac:dyDescent="0.25">
      <c r="A797" s="5" t="s">
        <v>10</v>
      </c>
      <c r="B797" s="4">
        <v>46190</v>
      </c>
      <c r="C797" s="2">
        <f t="shared" si="37"/>
        <v>25</v>
      </c>
      <c r="D797" s="3">
        <v>263</v>
      </c>
      <c r="E797" s="70">
        <f>[1]DETAY!$A$2</f>
        <v>0</v>
      </c>
      <c r="F797" s="71">
        <f t="shared" si="40"/>
        <v>227</v>
      </c>
      <c r="G797" s="72">
        <f t="shared" si="38"/>
        <v>36</v>
      </c>
      <c r="H797" s="73">
        <f t="shared" si="39"/>
        <v>0.86311787072243351</v>
      </c>
      <c r="I797" s="2"/>
      <c r="J797" s="2"/>
      <c r="K797" s="2"/>
      <c r="L797" s="2"/>
      <c r="M797" s="2">
        <v>8</v>
      </c>
      <c r="N797" s="2"/>
      <c r="O797" s="2">
        <v>13</v>
      </c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>
        <v>15</v>
      </c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F797" s="1"/>
    </row>
    <row r="798" spans="1:58" s="22" customFormat="1" x14ac:dyDescent="0.25">
      <c r="A798" s="5" t="s">
        <v>9</v>
      </c>
      <c r="B798" s="4">
        <v>46190</v>
      </c>
      <c r="C798" s="2">
        <f t="shared" si="37"/>
        <v>25</v>
      </c>
      <c r="D798" s="3">
        <v>430</v>
      </c>
      <c r="E798" s="70">
        <f>[1]DETAY!$A$2</f>
        <v>0</v>
      </c>
      <c r="F798" s="71">
        <f t="shared" si="40"/>
        <v>420</v>
      </c>
      <c r="G798" s="72">
        <f t="shared" si="38"/>
        <v>10</v>
      </c>
      <c r="H798" s="73">
        <f t="shared" si="39"/>
        <v>0.97674418604651159</v>
      </c>
      <c r="I798" s="2"/>
      <c r="J798" s="2"/>
      <c r="K798" s="2"/>
      <c r="L798" s="2"/>
      <c r="M798" s="2">
        <v>10</v>
      </c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F798" s="1"/>
    </row>
    <row r="799" spans="1:58" s="22" customFormat="1" x14ac:dyDescent="0.25">
      <c r="A799" s="5" t="s">
        <v>0</v>
      </c>
      <c r="B799" s="4">
        <v>46190</v>
      </c>
      <c r="C799" s="2">
        <f t="shared" si="37"/>
        <v>25</v>
      </c>
      <c r="D799" s="3">
        <v>543</v>
      </c>
      <c r="E799" s="70">
        <f>[1]DETAY!$A$2</f>
        <v>0</v>
      </c>
      <c r="F799" s="71">
        <f t="shared" si="40"/>
        <v>489</v>
      </c>
      <c r="G799" s="72">
        <f t="shared" si="38"/>
        <v>54</v>
      </c>
      <c r="H799" s="73">
        <f t="shared" si="39"/>
        <v>0.90055248618784534</v>
      </c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>
        <v>54</v>
      </c>
      <c r="AV799" s="2"/>
      <c r="AW799" s="2"/>
      <c r="AX799" s="2"/>
      <c r="AY799" s="2"/>
      <c r="AZ799" s="2"/>
      <c r="BA799" s="2"/>
      <c r="BB799" s="2"/>
      <c r="BC799" s="2"/>
      <c r="BD799" s="2"/>
      <c r="BF799" s="1"/>
    </row>
    <row r="800" spans="1:58" s="22" customFormat="1" x14ac:dyDescent="0.25">
      <c r="A800" s="5" t="s">
        <v>8</v>
      </c>
      <c r="B800" s="4">
        <v>46190</v>
      </c>
      <c r="C800" s="2">
        <f t="shared" si="37"/>
        <v>25</v>
      </c>
      <c r="D800" s="3">
        <f>397+26</f>
        <v>423</v>
      </c>
      <c r="E800" s="70">
        <f>[1]DETAY!$A$2</f>
        <v>0</v>
      </c>
      <c r="F800" s="71">
        <f t="shared" si="40"/>
        <v>397</v>
      </c>
      <c r="G800" s="72">
        <f t="shared" si="38"/>
        <v>26</v>
      </c>
      <c r="H800" s="73">
        <f t="shared" si="39"/>
        <v>0.9385342789598109</v>
      </c>
      <c r="I800" s="2"/>
      <c r="J800" s="2"/>
      <c r="K800" s="2"/>
      <c r="L800" s="2"/>
      <c r="M800" s="2">
        <v>26</v>
      </c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F800" s="1"/>
    </row>
    <row r="801" spans="1:58" s="22" customFormat="1" x14ac:dyDescent="0.25">
      <c r="A801" s="5" t="s">
        <v>13</v>
      </c>
      <c r="B801" s="4">
        <v>46190</v>
      </c>
      <c r="C801" s="2">
        <f t="shared" si="37"/>
        <v>25</v>
      </c>
      <c r="D801" s="3">
        <v>240</v>
      </c>
      <c r="E801" s="70">
        <f>[1]DETAY!$A$2</f>
        <v>0</v>
      </c>
      <c r="F801" s="71">
        <f t="shared" si="40"/>
        <v>240</v>
      </c>
      <c r="G801" s="72">
        <f t="shared" si="38"/>
        <v>0</v>
      </c>
      <c r="H801" s="73">
        <f t="shared" si="39"/>
        <v>1</v>
      </c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F801" s="1"/>
    </row>
    <row r="802" spans="1:58" s="22" customFormat="1" x14ac:dyDescent="0.25">
      <c r="A802" s="5" t="s">
        <v>4</v>
      </c>
      <c r="B802" s="4">
        <v>46190</v>
      </c>
      <c r="C802" s="2">
        <f t="shared" si="37"/>
        <v>25</v>
      </c>
      <c r="D802" s="3">
        <v>154</v>
      </c>
      <c r="E802" s="70">
        <f>[1]DETAY!$A$2</f>
        <v>0</v>
      </c>
      <c r="F802" s="71">
        <f t="shared" si="40"/>
        <v>154</v>
      </c>
      <c r="G802" s="72">
        <f t="shared" si="38"/>
        <v>0</v>
      </c>
      <c r="H802" s="73">
        <f t="shared" si="39"/>
        <v>1</v>
      </c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F802" s="1"/>
    </row>
    <row r="803" spans="1:58" s="22" customFormat="1" x14ac:dyDescent="0.25">
      <c r="A803" s="5" t="s">
        <v>6</v>
      </c>
      <c r="B803" s="4">
        <v>46190</v>
      </c>
      <c r="C803" s="2">
        <f t="shared" si="37"/>
        <v>25</v>
      </c>
      <c r="D803" s="3">
        <v>144</v>
      </c>
      <c r="E803" s="70">
        <f>[1]DETAY!$A$2</f>
        <v>0</v>
      </c>
      <c r="F803" s="71">
        <f t="shared" si="40"/>
        <v>144</v>
      </c>
      <c r="G803" s="72">
        <f t="shared" si="38"/>
        <v>0</v>
      </c>
      <c r="H803" s="73">
        <f t="shared" si="39"/>
        <v>1</v>
      </c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F803" s="1"/>
    </row>
    <row r="804" spans="1:58" s="22" customFormat="1" x14ac:dyDescent="0.25">
      <c r="A804" s="5" t="s">
        <v>0</v>
      </c>
      <c r="B804" s="4">
        <v>46190</v>
      </c>
      <c r="C804" s="2">
        <f t="shared" si="37"/>
        <v>25</v>
      </c>
      <c r="D804" s="3">
        <v>114</v>
      </c>
      <c r="E804" s="70">
        <f>[1]DETAY!$A$2</f>
        <v>0</v>
      </c>
      <c r="F804" s="71">
        <f t="shared" si="40"/>
        <v>110</v>
      </c>
      <c r="G804" s="72">
        <f t="shared" si="38"/>
        <v>4</v>
      </c>
      <c r="H804" s="73">
        <f t="shared" si="39"/>
        <v>0.96491228070175439</v>
      </c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>
        <v>4</v>
      </c>
      <c r="AV804" s="2"/>
      <c r="AW804" s="2"/>
      <c r="AX804" s="2"/>
      <c r="AY804" s="2"/>
      <c r="AZ804" s="2"/>
      <c r="BA804" s="2"/>
      <c r="BB804" s="2"/>
      <c r="BC804" s="2"/>
      <c r="BD804" s="2"/>
      <c r="BF804" s="1"/>
    </row>
    <row r="805" spans="1:58" s="22" customFormat="1" x14ac:dyDescent="0.25">
      <c r="A805" s="5" t="s">
        <v>19</v>
      </c>
      <c r="B805" s="4">
        <v>46190</v>
      </c>
      <c r="C805" s="2">
        <f t="shared" si="37"/>
        <v>25</v>
      </c>
      <c r="D805" s="3">
        <v>712</v>
      </c>
      <c r="E805" s="70">
        <f>[1]DETAY!$A$2</f>
        <v>0</v>
      </c>
      <c r="F805" s="71">
        <f t="shared" si="40"/>
        <v>700</v>
      </c>
      <c r="G805" s="72">
        <f t="shared" si="38"/>
        <v>12</v>
      </c>
      <c r="H805" s="73">
        <f t="shared" si="39"/>
        <v>0.9831460674157303</v>
      </c>
      <c r="I805" s="2"/>
      <c r="J805" s="2">
        <v>11</v>
      </c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>
        <v>1</v>
      </c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F805" s="1"/>
    </row>
    <row r="806" spans="1:58" s="22" customFormat="1" x14ac:dyDescent="0.25">
      <c r="A806" s="5" t="s">
        <v>18</v>
      </c>
      <c r="B806" s="4">
        <v>46190</v>
      </c>
      <c r="C806" s="2">
        <f t="shared" si="37"/>
        <v>25</v>
      </c>
      <c r="D806" s="3">
        <v>354</v>
      </c>
      <c r="E806" s="70">
        <f>[1]DETAY!$A$2</f>
        <v>0</v>
      </c>
      <c r="F806" s="71">
        <f t="shared" si="40"/>
        <v>350</v>
      </c>
      <c r="G806" s="72">
        <f t="shared" si="38"/>
        <v>4</v>
      </c>
      <c r="H806" s="73">
        <f t="shared" si="39"/>
        <v>0.98870056497175141</v>
      </c>
      <c r="I806" s="2"/>
      <c r="J806" s="2">
        <v>4</v>
      </c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F806" s="1"/>
    </row>
    <row r="807" spans="1:58" s="22" customFormat="1" x14ac:dyDescent="0.25">
      <c r="A807" s="5" t="s">
        <v>11</v>
      </c>
      <c r="B807" s="4">
        <v>46190</v>
      </c>
      <c r="C807" s="2">
        <f t="shared" si="37"/>
        <v>25</v>
      </c>
      <c r="D807" s="3">
        <v>140</v>
      </c>
      <c r="E807" s="70">
        <f>[1]DETAY!$A$2</f>
        <v>0</v>
      </c>
      <c r="F807" s="71">
        <f t="shared" si="40"/>
        <v>140</v>
      </c>
      <c r="G807" s="72">
        <f t="shared" si="38"/>
        <v>0</v>
      </c>
      <c r="H807" s="73">
        <f t="shared" si="39"/>
        <v>1</v>
      </c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F807" s="1"/>
    </row>
    <row r="808" spans="1:58" s="22" customFormat="1" x14ac:dyDescent="0.25">
      <c r="A808" s="5" t="s">
        <v>10</v>
      </c>
      <c r="B808" s="4">
        <v>46190</v>
      </c>
      <c r="C808" s="2">
        <f t="shared" si="37"/>
        <v>25</v>
      </c>
      <c r="D808" s="3">
        <v>181</v>
      </c>
      <c r="E808" s="70">
        <f>[1]DETAY!$A$2</f>
        <v>0</v>
      </c>
      <c r="F808" s="71">
        <f t="shared" si="40"/>
        <v>180</v>
      </c>
      <c r="G808" s="72">
        <f t="shared" si="38"/>
        <v>1</v>
      </c>
      <c r="H808" s="73">
        <f t="shared" si="39"/>
        <v>0.99447513812154698</v>
      </c>
      <c r="I808" s="2"/>
      <c r="J808" s="2"/>
      <c r="K808" s="2"/>
      <c r="L808" s="2"/>
      <c r="M808" s="2">
        <v>1</v>
      </c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F808" s="1"/>
    </row>
    <row r="809" spans="1:58" s="22" customFormat="1" x14ac:dyDescent="0.25">
      <c r="A809" s="5" t="s">
        <v>9</v>
      </c>
      <c r="B809" s="4">
        <v>46190</v>
      </c>
      <c r="C809" s="2">
        <f t="shared" si="37"/>
        <v>25</v>
      </c>
      <c r="D809" s="3">
        <v>422</v>
      </c>
      <c r="E809" s="70">
        <f>[1]DETAY!$A$2</f>
        <v>0</v>
      </c>
      <c r="F809" s="71">
        <f t="shared" si="40"/>
        <v>420</v>
      </c>
      <c r="G809" s="72">
        <f t="shared" si="38"/>
        <v>2</v>
      </c>
      <c r="H809" s="73">
        <f t="shared" si="39"/>
        <v>0.99526066350710896</v>
      </c>
      <c r="I809" s="2"/>
      <c r="J809" s="2"/>
      <c r="K809" s="2"/>
      <c r="L809" s="2"/>
      <c r="M809" s="2">
        <v>2</v>
      </c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F809" s="1"/>
    </row>
    <row r="810" spans="1:58" s="22" customFormat="1" x14ac:dyDescent="0.25">
      <c r="A810" s="5" t="s">
        <v>22</v>
      </c>
      <c r="B810" s="4">
        <v>46190</v>
      </c>
      <c r="C810" s="2">
        <f t="shared" si="37"/>
        <v>25</v>
      </c>
      <c r="D810" s="3">
        <v>500</v>
      </c>
      <c r="E810" s="70">
        <f>[1]DETAY!$A$2</f>
        <v>0</v>
      </c>
      <c r="F810" s="71">
        <f t="shared" si="40"/>
        <v>472</v>
      </c>
      <c r="G810" s="72">
        <f t="shared" si="38"/>
        <v>28</v>
      </c>
      <c r="H810" s="73">
        <f t="shared" si="39"/>
        <v>0.94399999999999995</v>
      </c>
      <c r="I810" s="2"/>
      <c r="J810" s="2"/>
      <c r="K810" s="2"/>
      <c r="L810" s="2">
        <v>28</v>
      </c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F810" s="1"/>
    </row>
    <row r="811" spans="1:58" s="22" customFormat="1" x14ac:dyDescent="0.25">
      <c r="A811" s="5" t="s">
        <v>19</v>
      </c>
      <c r="B811" s="4">
        <v>46190</v>
      </c>
      <c r="C811" s="2">
        <f t="shared" si="37"/>
        <v>25</v>
      </c>
      <c r="D811" s="3">
        <v>1066</v>
      </c>
      <c r="E811" s="70">
        <f>[1]DETAY!$A$2</f>
        <v>0</v>
      </c>
      <c r="F811" s="71">
        <f t="shared" si="40"/>
        <v>1025</v>
      </c>
      <c r="G811" s="72">
        <f t="shared" si="38"/>
        <v>41</v>
      </c>
      <c r="H811" s="73">
        <f t="shared" si="39"/>
        <v>0.96153846153846156</v>
      </c>
      <c r="I811" s="2"/>
      <c r="J811" s="2">
        <v>26</v>
      </c>
      <c r="K811" s="2"/>
      <c r="L811" s="2">
        <v>15</v>
      </c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F811" s="1"/>
    </row>
    <row r="812" spans="1:58" s="22" customFormat="1" x14ac:dyDescent="0.25">
      <c r="A812" s="5" t="s">
        <v>10</v>
      </c>
      <c r="B812" s="4">
        <v>46190</v>
      </c>
      <c r="C812" s="2">
        <f t="shared" si="37"/>
        <v>25</v>
      </c>
      <c r="D812" s="3">
        <v>390</v>
      </c>
      <c r="E812" s="70">
        <f>[1]DETAY!$A$2</f>
        <v>0</v>
      </c>
      <c r="F812" s="71">
        <f t="shared" si="40"/>
        <v>360</v>
      </c>
      <c r="G812" s="72">
        <f t="shared" si="38"/>
        <v>30</v>
      </c>
      <c r="H812" s="73">
        <f t="shared" si="39"/>
        <v>0.92307692307692313</v>
      </c>
      <c r="I812" s="2"/>
      <c r="J812" s="2"/>
      <c r="K812" s="2"/>
      <c r="L812" s="2"/>
      <c r="M812" s="2">
        <v>30</v>
      </c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F812" s="1"/>
    </row>
    <row r="813" spans="1:58" s="22" customFormat="1" x14ac:dyDescent="0.25">
      <c r="A813" s="5" t="s">
        <v>9</v>
      </c>
      <c r="B813" s="4">
        <v>46190</v>
      </c>
      <c r="C813" s="2">
        <f t="shared" ref="C813:C876" si="41">WEEKNUM(B813)</f>
        <v>25</v>
      </c>
      <c r="D813" s="3">
        <v>380</v>
      </c>
      <c r="E813" s="70">
        <f>[1]DETAY!$A$2</f>
        <v>0</v>
      </c>
      <c r="F813" s="71">
        <f t="shared" si="40"/>
        <v>360</v>
      </c>
      <c r="G813" s="72">
        <f t="shared" ref="G813:G876" si="42">SUBTOTAL(9,I813:BD813)</f>
        <v>20</v>
      </c>
      <c r="H813" s="73">
        <f t="shared" ref="H813:H876" si="43">F813/D813</f>
        <v>0.94736842105263153</v>
      </c>
      <c r="I813" s="2"/>
      <c r="J813" s="2"/>
      <c r="K813" s="2"/>
      <c r="L813" s="2"/>
      <c r="M813" s="2">
        <v>20</v>
      </c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F813" s="1"/>
    </row>
    <row r="814" spans="1:58" s="22" customFormat="1" x14ac:dyDescent="0.25">
      <c r="A814" s="5" t="s">
        <v>0</v>
      </c>
      <c r="B814" s="4">
        <v>46190</v>
      </c>
      <c r="C814" s="2">
        <f t="shared" si="41"/>
        <v>25</v>
      </c>
      <c r="D814" s="3">
        <v>239</v>
      </c>
      <c r="E814" s="70">
        <f>[1]DETAY!$A$2</f>
        <v>0</v>
      </c>
      <c r="F814" s="71">
        <f t="shared" si="40"/>
        <v>205</v>
      </c>
      <c r="G814" s="72">
        <f t="shared" si="42"/>
        <v>34</v>
      </c>
      <c r="H814" s="73">
        <f t="shared" si="43"/>
        <v>0.85774058577405854</v>
      </c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>
        <v>34</v>
      </c>
      <c r="AV814" s="2"/>
      <c r="AW814" s="2"/>
      <c r="AX814" s="2"/>
      <c r="AY814" s="2"/>
      <c r="AZ814" s="2"/>
      <c r="BA814" s="2"/>
      <c r="BB814" s="2"/>
      <c r="BC814" s="2"/>
      <c r="BD814" s="2"/>
      <c r="BF814" s="1"/>
    </row>
    <row r="815" spans="1:58" s="22" customFormat="1" x14ac:dyDescent="0.25">
      <c r="A815" s="5" t="s">
        <v>8</v>
      </c>
      <c r="B815" s="4">
        <v>46190</v>
      </c>
      <c r="C815" s="2">
        <f t="shared" si="41"/>
        <v>25</v>
      </c>
      <c r="D815" s="3">
        <v>272</v>
      </c>
      <c r="E815" s="70">
        <f>[1]DETAY!$A$2</f>
        <v>0</v>
      </c>
      <c r="F815" s="71">
        <f t="shared" si="40"/>
        <v>242</v>
      </c>
      <c r="G815" s="72">
        <f t="shared" si="42"/>
        <v>30</v>
      </c>
      <c r="H815" s="73">
        <f t="shared" si="43"/>
        <v>0.88970588235294112</v>
      </c>
      <c r="I815" s="2"/>
      <c r="J815" s="2"/>
      <c r="K815" s="2"/>
      <c r="L815" s="2"/>
      <c r="M815" s="2">
        <v>30</v>
      </c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F815" s="1"/>
    </row>
    <row r="816" spans="1:58" s="22" customFormat="1" x14ac:dyDescent="0.25">
      <c r="A816" s="5" t="s">
        <v>15</v>
      </c>
      <c r="B816" s="4">
        <v>46190</v>
      </c>
      <c r="C816" s="2">
        <f t="shared" si="41"/>
        <v>25</v>
      </c>
      <c r="D816" s="3">
        <v>220</v>
      </c>
      <c r="E816" s="70">
        <f>[1]DETAY!$A$2</f>
        <v>0</v>
      </c>
      <c r="F816" s="71">
        <f t="shared" si="40"/>
        <v>220</v>
      </c>
      <c r="G816" s="72">
        <f t="shared" si="42"/>
        <v>0</v>
      </c>
      <c r="H816" s="73">
        <f t="shared" si="43"/>
        <v>1</v>
      </c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F816" s="1"/>
    </row>
    <row r="817" spans="1:58" s="22" customFormat="1" x14ac:dyDescent="0.25">
      <c r="A817" s="5" t="s">
        <v>13</v>
      </c>
      <c r="B817" s="4">
        <v>46190</v>
      </c>
      <c r="C817" s="2">
        <f t="shared" si="41"/>
        <v>25</v>
      </c>
      <c r="D817" s="3">
        <v>1480</v>
      </c>
      <c r="E817" s="70">
        <f>[1]DETAY!$A$2</f>
        <v>0</v>
      </c>
      <c r="F817" s="71">
        <f t="shared" si="40"/>
        <v>1440</v>
      </c>
      <c r="G817" s="72">
        <f t="shared" si="42"/>
        <v>40</v>
      </c>
      <c r="H817" s="73">
        <f t="shared" si="43"/>
        <v>0.97297297297297303</v>
      </c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>
        <v>40</v>
      </c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F817" s="1"/>
    </row>
    <row r="818" spans="1:58" s="22" customFormat="1" x14ac:dyDescent="0.25">
      <c r="A818" s="5" t="s">
        <v>4</v>
      </c>
      <c r="B818" s="4">
        <v>46190</v>
      </c>
      <c r="C818" s="2">
        <f t="shared" si="41"/>
        <v>25</v>
      </c>
      <c r="D818" s="3">
        <v>463</v>
      </c>
      <c r="E818" s="70">
        <f>[1]DETAY!$A$2</f>
        <v>0</v>
      </c>
      <c r="F818" s="71">
        <f t="shared" si="40"/>
        <v>462</v>
      </c>
      <c r="G818" s="72">
        <f t="shared" si="42"/>
        <v>1</v>
      </c>
      <c r="H818" s="73">
        <f t="shared" si="43"/>
        <v>0.99784017278617709</v>
      </c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>
        <v>1</v>
      </c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F818" s="1"/>
    </row>
    <row r="819" spans="1:58" s="22" customFormat="1" x14ac:dyDescent="0.25">
      <c r="A819" s="5" t="s">
        <v>13</v>
      </c>
      <c r="B819" s="4">
        <v>46191</v>
      </c>
      <c r="C819" s="2">
        <f t="shared" si="41"/>
        <v>25</v>
      </c>
      <c r="D819" s="3">
        <f>13*120+20</f>
        <v>1580</v>
      </c>
      <c r="E819" s="70">
        <f>[1]DETAY!$A$2</f>
        <v>0</v>
      </c>
      <c r="F819" s="71">
        <f t="shared" si="40"/>
        <v>1560</v>
      </c>
      <c r="G819" s="72">
        <f t="shared" si="42"/>
        <v>20</v>
      </c>
      <c r="H819" s="73">
        <f t="shared" si="43"/>
        <v>0.98734177215189878</v>
      </c>
      <c r="I819" s="2"/>
      <c r="J819" s="2"/>
      <c r="K819" s="2"/>
      <c r="L819" s="2"/>
      <c r="M819" s="2"/>
      <c r="N819" s="2"/>
      <c r="O819" s="2">
        <v>20</v>
      </c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F819" s="1"/>
    </row>
    <row r="820" spans="1:58" s="22" customFormat="1" x14ac:dyDescent="0.25">
      <c r="A820" s="5" t="s">
        <v>3</v>
      </c>
      <c r="B820" s="4">
        <v>46191</v>
      </c>
      <c r="C820" s="2">
        <f t="shared" si="41"/>
        <v>25</v>
      </c>
      <c r="D820" s="3">
        <f>346+54</f>
        <v>400</v>
      </c>
      <c r="E820" s="70">
        <f>[1]DETAY!$A$2</f>
        <v>0</v>
      </c>
      <c r="F820" s="71">
        <f t="shared" si="40"/>
        <v>346</v>
      </c>
      <c r="G820" s="72">
        <f t="shared" si="42"/>
        <v>54</v>
      </c>
      <c r="H820" s="73">
        <f t="shared" si="43"/>
        <v>0.86499999999999999</v>
      </c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>
        <v>54</v>
      </c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F820" s="1"/>
    </row>
    <row r="821" spans="1:58" s="22" customFormat="1" x14ac:dyDescent="0.25">
      <c r="A821" s="5" t="s">
        <v>22</v>
      </c>
      <c r="B821" s="4">
        <v>46191</v>
      </c>
      <c r="C821" s="2">
        <f t="shared" si="41"/>
        <v>25</v>
      </c>
      <c r="D821" s="3">
        <v>618</v>
      </c>
      <c r="E821" s="70">
        <f>[1]DETAY!$A$2</f>
        <v>0</v>
      </c>
      <c r="F821" s="71">
        <f t="shared" si="40"/>
        <v>600</v>
      </c>
      <c r="G821" s="72">
        <f t="shared" si="42"/>
        <v>18</v>
      </c>
      <c r="H821" s="73">
        <f t="shared" si="43"/>
        <v>0.970873786407767</v>
      </c>
      <c r="I821" s="2"/>
      <c r="J821" s="2"/>
      <c r="K821" s="2"/>
      <c r="L821" s="2">
        <v>18</v>
      </c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F821" s="1"/>
    </row>
    <row r="822" spans="1:58" s="22" customFormat="1" x14ac:dyDescent="0.25">
      <c r="A822" s="5" t="s">
        <v>20</v>
      </c>
      <c r="B822" s="4">
        <v>46191</v>
      </c>
      <c r="C822" s="2">
        <f t="shared" si="41"/>
        <v>25</v>
      </c>
      <c r="D822" s="3">
        <v>406</v>
      </c>
      <c r="E822" s="70">
        <f>[1]DETAY!$A$2</f>
        <v>0</v>
      </c>
      <c r="F822" s="71">
        <f t="shared" si="40"/>
        <v>350</v>
      </c>
      <c r="G822" s="72">
        <f t="shared" si="42"/>
        <v>56</v>
      </c>
      <c r="H822" s="73">
        <f t="shared" si="43"/>
        <v>0.86206896551724133</v>
      </c>
      <c r="I822" s="2"/>
      <c r="J822" s="2">
        <v>1</v>
      </c>
      <c r="K822" s="2">
        <v>55</v>
      </c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F822" s="1"/>
    </row>
    <row r="823" spans="1:58" s="22" customFormat="1" x14ac:dyDescent="0.25">
      <c r="A823" s="5" t="s">
        <v>16</v>
      </c>
      <c r="B823" s="4">
        <v>46191</v>
      </c>
      <c r="C823" s="2">
        <f t="shared" si="41"/>
        <v>25</v>
      </c>
      <c r="D823" s="3">
        <v>145</v>
      </c>
      <c r="E823" s="70">
        <f>[1]DETAY!$A$2</f>
        <v>0</v>
      </c>
      <c r="F823" s="71">
        <f t="shared" si="40"/>
        <v>140</v>
      </c>
      <c r="G823" s="72">
        <f t="shared" si="42"/>
        <v>5</v>
      </c>
      <c r="H823" s="73">
        <f t="shared" si="43"/>
        <v>0.96551724137931039</v>
      </c>
      <c r="I823" s="2"/>
      <c r="J823" s="2"/>
      <c r="K823" s="2">
        <v>3</v>
      </c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>
        <v>2</v>
      </c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F823" s="1"/>
    </row>
    <row r="824" spans="1:58" s="22" customFormat="1" x14ac:dyDescent="0.25">
      <c r="A824" s="5" t="s">
        <v>11</v>
      </c>
      <c r="B824" s="4">
        <v>46191</v>
      </c>
      <c r="C824" s="2">
        <f t="shared" si="41"/>
        <v>25</v>
      </c>
      <c r="D824" s="3">
        <v>625</v>
      </c>
      <c r="E824" s="70">
        <f>[1]DETAY!$A$2</f>
        <v>0</v>
      </c>
      <c r="F824" s="71">
        <f t="shared" si="40"/>
        <v>620</v>
      </c>
      <c r="G824" s="72">
        <f t="shared" si="42"/>
        <v>5</v>
      </c>
      <c r="H824" s="73">
        <f t="shared" si="43"/>
        <v>0.99199999999999999</v>
      </c>
      <c r="I824" s="2"/>
      <c r="J824" s="2"/>
      <c r="K824" s="2"/>
      <c r="L824" s="2">
        <v>3</v>
      </c>
      <c r="M824" s="2"/>
      <c r="N824" s="2"/>
      <c r="O824" s="2"/>
      <c r="P824" s="2"/>
      <c r="Q824" s="2"/>
      <c r="R824" s="2"/>
      <c r="S824" s="2"/>
      <c r="T824" s="2">
        <v>1</v>
      </c>
      <c r="U824" s="2">
        <v>1</v>
      </c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F824" s="1"/>
    </row>
    <row r="825" spans="1:58" s="22" customFormat="1" x14ac:dyDescent="0.25">
      <c r="A825" s="5" t="s">
        <v>10</v>
      </c>
      <c r="B825" s="4">
        <v>46191</v>
      </c>
      <c r="C825" s="2">
        <f t="shared" si="41"/>
        <v>25</v>
      </c>
      <c r="D825" s="3">
        <v>435</v>
      </c>
      <c r="E825" s="70">
        <f>[1]DETAY!$A$2</f>
        <v>0</v>
      </c>
      <c r="F825" s="71">
        <f t="shared" si="40"/>
        <v>420</v>
      </c>
      <c r="G825" s="72">
        <f t="shared" si="42"/>
        <v>15</v>
      </c>
      <c r="H825" s="73">
        <f t="shared" si="43"/>
        <v>0.96551724137931039</v>
      </c>
      <c r="I825" s="2"/>
      <c r="J825" s="2"/>
      <c r="K825" s="2"/>
      <c r="L825" s="2"/>
      <c r="M825" s="2">
        <v>3</v>
      </c>
      <c r="N825" s="2"/>
      <c r="O825" s="2">
        <v>3</v>
      </c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>
        <v>9</v>
      </c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F825" s="1"/>
    </row>
    <row r="826" spans="1:58" s="22" customFormat="1" x14ac:dyDescent="0.25">
      <c r="A826" s="5" t="s">
        <v>9</v>
      </c>
      <c r="B826" s="4">
        <v>46191</v>
      </c>
      <c r="C826" s="2">
        <f t="shared" si="41"/>
        <v>25</v>
      </c>
      <c r="D826" s="3">
        <v>665</v>
      </c>
      <c r="E826" s="70">
        <f>[1]DETAY!$A$2</f>
        <v>0</v>
      </c>
      <c r="F826" s="71">
        <f t="shared" si="40"/>
        <v>660</v>
      </c>
      <c r="G826" s="72">
        <f t="shared" si="42"/>
        <v>5</v>
      </c>
      <c r="H826" s="73">
        <f t="shared" si="43"/>
        <v>0.99248120300751874</v>
      </c>
      <c r="I826" s="2"/>
      <c r="J826" s="2"/>
      <c r="K826" s="2"/>
      <c r="L826" s="2"/>
      <c r="M826" s="2">
        <v>5</v>
      </c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F826" s="1"/>
    </row>
    <row r="827" spans="1:58" s="22" customFormat="1" x14ac:dyDescent="0.25">
      <c r="A827" s="5" t="s">
        <v>0</v>
      </c>
      <c r="B827" s="4">
        <v>46191</v>
      </c>
      <c r="C827" s="2">
        <f t="shared" si="41"/>
        <v>25</v>
      </c>
      <c r="D827" s="3">
        <v>596</v>
      </c>
      <c r="E827" s="70">
        <f>[1]DETAY!$A$2</f>
        <v>0</v>
      </c>
      <c r="F827" s="71">
        <f t="shared" si="40"/>
        <v>515</v>
      </c>
      <c r="G827" s="72">
        <f t="shared" si="42"/>
        <v>81</v>
      </c>
      <c r="H827" s="73">
        <f t="shared" si="43"/>
        <v>0.86409395973154357</v>
      </c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>
        <v>81</v>
      </c>
      <c r="AV827" s="2"/>
      <c r="AW827" s="2"/>
      <c r="AX827" s="2"/>
      <c r="AY827" s="2"/>
      <c r="AZ827" s="2"/>
      <c r="BA827" s="2"/>
      <c r="BB827" s="2"/>
      <c r="BC827" s="2"/>
      <c r="BD827" s="2"/>
      <c r="BF827" s="1"/>
    </row>
    <row r="828" spans="1:58" s="22" customFormat="1" x14ac:dyDescent="0.25">
      <c r="A828" s="5" t="s">
        <v>3</v>
      </c>
      <c r="B828" s="4">
        <v>46191</v>
      </c>
      <c r="C828" s="2">
        <f t="shared" si="41"/>
        <v>25</v>
      </c>
      <c r="D828" s="3">
        <v>422</v>
      </c>
      <c r="E828" s="70">
        <f>[1]DETAY!$A$2</f>
        <v>0</v>
      </c>
      <c r="F828" s="71">
        <f t="shared" si="40"/>
        <v>422</v>
      </c>
      <c r="G828" s="72">
        <f t="shared" si="42"/>
        <v>0</v>
      </c>
      <c r="H828" s="73">
        <f t="shared" si="43"/>
        <v>1</v>
      </c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F828" s="1"/>
    </row>
    <row r="829" spans="1:58" s="22" customFormat="1" x14ac:dyDescent="0.25">
      <c r="A829" s="5" t="s">
        <v>12</v>
      </c>
      <c r="B829" s="4">
        <v>46191</v>
      </c>
      <c r="C829" s="2">
        <f t="shared" si="41"/>
        <v>25</v>
      </c>
      <c r="D829" s="3">
        <v>241</v>
      </c>
      <c r="E829" s="70">
        <f>[1]DETAY!$A$2</f>
        <v>0</v>
      </c>
      <c r="F829" s="71">
        <f t="shared" si="40"/>
        <v>148</v>
      </c>
      <c r="G829" s="72">
        <f t="shared" si="42"/>
        <v>93</v>
      </c>
      <c r="H829" s="73">
        <f t="shared" si="43"/>
        <v>0.61410788381742742</v>
      </c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>
        <v>93</v>
      </c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F829" s="1"/>
    </row>
    <row r="830" spans="1:58" s="22" customFormat="1" x14ac:dyDescent="0.25">
      <c r="A830" s="5" t="s">
        <v>4</v>
      </c>
      <c r="B830" s="4">
        <v>46191</v>
      </c>
      <c r="C830" s="2">
        <f t="shared" si="41"/>
        <v>25</v>
      </c>
      <c r="D830" s="3">
        <v>91</v>
      </c>
      <c r="E830" s="70">
        <f>[1]DETAY!$A$2</f>
        <v>0</v>
      </c>
      <c r="F830" s="71">
        <f t="shared" si="40"/>
        <v>80</v>
      </c>
      <c r="G830" s="72">
        <f t="shared" si="42"/>
        <v>11</v>
      </c>
      <c r="H830" s="73">
        <f t="shared" si="43"/>
        <v>0.87912087912087911</v>
      </c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>
        <v>11</v>
      </c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F830" s="1"/>
    </row>
    <row r="831" spans="1:58" s="22" customFormat="1" x14ac:dyDescent="0.25">
      <c r="A831" s="5" t="s">
        <v>22</v>
      </c>
      <c r="B831" s="4">
        <v>46191</v>
      </c>
      <c r="C831" s="2">
        <f t="shared" si="41"/>
        <v>25</v>
      </c>
      <c r="D831" s="3">
        <v>302</v>
      </c>
      <c r="E831" s="70">
        <f>[1]DETAY!$A$2</f>
        <v>0</v>
      </c>
      <c r="F831" s="71">
        <f t="shared" si="40"/>
        <v>300</v>
      </c>
      <c r="G831" s="72">
        <f t="shared" si="42"/>
        <v>2</v>
      </c>
      <c r="H831" s="73">
        <f t="shared" si="43"/>
        <v>0.99337748344370858</v>
      </c>
      <c r="I831" s="2"/>
      <c r="J831" s="2"/>
      <c r="K831" s="2"/>
      <c r="L831" s="2">
        <v>2</v>
      </c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F831" s="1"/>
    </row>
    <row r="832" spans="1:58" s="22" customFormat="1" x14ac:dyDescent="0.25">
      <c r="A832" s="5" t="s">
        <v>21</v>
      </c>
      <c r="B832" s="4">
        <v>46191</v>
      </c>
      <c r="C832" s="2">
        <f t="shared" si="41"/>
        <v>25</v>
      </c>
      <c r="D832" s="3">
        <v>608</v>
      </c>
      <c r="E832" s="70">
        <f>[1]DETAY!$A$2</f>
        <v>0</v>
      </c>
      <c r="F832" s="71">
        <f t="shared" si="40"/>
        <v>600</v>
      </c>
      <c r="G832" s="72">
        <f t="shared" si="42"/>
        <v>8</v>
      </c>
      <c r="H832" s="73">
        <f t="shared" si="43"/>
        <v>0.98684210526315785</v>
      </c>
      <c r="I832" s="2"/>
      <c r="J832" s="2"/>
      <c r="K832" s="2"/>
      <c r="L832" s="2">
        <v>8</v>
      </c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F832" s="1"/>
    </row>
    <row r="833" spans="1:58" s="22" customFormat="1" x14ac:dyDescent="0.25">
      <c r="A833" s="5" t="s">
        <v>20</v>
      </c>
      <c r="B833" s="4">
        <v>46191</v>
      </c>
      <c r="C833" s="2">
        <f t="shared" si="41"/>
        <v>25</v>
      </c>
      <c r="D833" s="3">
        <v>444</v>
      </c>
      <c r="E833" s="70">
        <f>[1]DETAY!$A$2</f>
        <v>0</v>
      </c>
      <c r="F833" s="71">
        <f t="shared" si="40"/>
        <v>440</v>
      </c>
      <c r="G833" s="72">
        <f t="shared" si="42"/>
        <v>4</v>
      </c>
      <c r="H833" s="73">
        <f t="shared" si="43"/>
        <v>0.99099099099099097</v>
      </c>
      <c r="I833" s="2"/>
      <c r="J833" s="2">
        <v>4</v>
      </c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F833" s="1"/>
    </row>
    <row r="834" spans="1:58" s="22" customFormat="1" x14ac:dyDescent="0.25">
      <c r="A834" s="5" t="s">
        <v>17</v>
      </c>
      <c r="B834" s="4">
        <v>46191</v>
      </c>
      <c r="C834" s="2">
        <f t="shared" si="41"/>
        <v>25</v>
      </c>
      <c r="D834" s="3">
        <v>110</v>
      </c>
      <c r="E834" s="70">
        <f>[1]DETAY!$A$2</f>
        <v>0</v>
      </c>
      <c r="F834" s="71">
        <f t="shared" si="40"/>
        <v>110</v>
      </c>
      <c r="G834" s="72">
        <f t="shared" si="42"/>
        <v>0</v>
      </c>
      <c r="H834" s="73">
        <f t="shared" si="43"/>
        <v>1</v>
      </c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F834" s="1"/>
    </row>
    <row r="835" spans="1:58" s="22" customFormat="1" x14ac:dyDescent="0.25">
      <c r="A835" s="5" t="s">
        <v>16</v>
      </c>
      <c r="B835" s="4">
        <v>46191</v>
      </c>
      <c r="C835" s="2">
        <f t="shared" si="41"/>
        <v>25</v>
      </c>
      <c r="D835" s="3">
        <v>1784</v>
      </c>
      <c r="E835" s="70">
        <f>[1]DETAY!$A$2</f>
        <v>0</v>
      </c>
      <c r="F835" s="71">
        <f t="shared" si="40"/>
        <v>1678</v>
      </c>
      <c r="G835" s="72">
        <f t="shared" si="42"/>
        <v>106</v>
      </c>
      <c r="H835" s="73">
        <f t="shared" si="43"/>
        <v>0.9405829596412556</v>
      </c>
      <c r="I835" s="2"/>
      <c r="J835" s="2"/>
      <c r="K835" s="2">
        <v>9</v>
      </c>
      <c r="L835" s="2">
        <v>2</v>
      </c>
      <c r="M835" s="2">
        <v>20</v>
      </c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>
        <v>5</v>
      </c>
      <c r="AI835" s="2"/>
      <c r="AJ835" s="2">
        <v>70</v>
      </c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F835" s="1"/>
    </row>
    <row r="836" spans="1:58" s="22" customFormat="1" x14ac:dyDescent="0.25">
      <c r="A836" s="5" t="s">
        <v>10</v>
      </c>
      <c r="B836" s="4">
        <v>46191</v>
      </c>
      <c r="C836" s="2">
        <f t="shared" si="41"/>
        <v>25</v>
      </c>
      <c r="D836" s="3">
        <v>181</v>
      </c>
      <c r="E836" s="70">
        <f>[1]DETAY!$A$2</f>
        <v>0</v>
      </c>
      <c r="F836" s="71">
        <f t="shared" si="40"/>
        <v>180</v>
      </c>
      <c r="G836" s="72">
        <f t="shared" si="42"/>
        <v>1</v>
      </c>
      <c r="H836" s="73">
        <f t="shared" si="43"/>
        <v>0.99447513812154698</v>
      </c>
      <c r="I836" s="2"/>
      <c r="J836" s="2"/>
      <c r="K836" s="2"/>
      <c r="L836" s="2"/>
      <c r="M836" s="2">
        <v>1</v>
      </c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F836" s="1"/>
    </row>
    <row r="837" spans="1:58" s="22" customFormat="1" x14ac:dyDescent="0.25">
      <c r="A837" s="5" t="s">
        <v>9</v>
      </c>
      <c r="B837" s="4">
        <v>46191</v>
      </c>
      <c r="C837" s="2">
        <f t="shared" si="41"/>
        <v>25</v>
      </c>
      <c r="D837" s="3">
        <v>481</v>
      </c>
      <c r="E837" s="70">
        <f>[1]DETAY!$A$2</f>
        <v>0</v>
      </c>
      <c r="F837" s="71">
        <f t="shared" si="40"/>
        <v>480</v>
      </c>
      <c r="G837" s="72">
        <f t="shared" si="42"/>
        <v>1</v>
      </c>
      <c r="H837" s="73">
        <f t="shared" si="43"/>
        <v>0.99792099792099798</v>
      </c>
      <c r="I837" s="2"/>
      <c r="J837" s="2"/>
      <c r="K837" s="2"/>
      <c r="L837" s="2"/>
      <c r="M837" s="2">
        <v>1</v>
      </c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F837" s="1"/>
    </row>
    <row r="838" spans="1:58" s="22" customFormat="1" x14ac:dyDescent="0.25">
      <c r="A838" s="5" t="s">
        <v>22</v>
      </c>
      <c r="B838" s="4">
        <v>46191</v>
      </c>
      <c r="C838" s="2">
        <f t="shared" si="41"/>
        <v>25</v>
      </c>
      <c r="D838" s="3">
        <v>910</v>
      </c>
      <c r="E838" s="70">
        <f>[1]DETAY!$A$2</f>
        <v>0</v>
      </c>
      <c r="F838" s="71">
        <f t="shared" si="40"/>
        <v>900</v>
      </c>
      <c r="G838" s="72">
        <f t="shared" si="42"/>
        <v>10</v>
      </c>
      <c r="H838" s="73">
        <f t="shared" si="43"/>
        <v>0.98901098901098905</v>
      </c>
      <c r="I838" s="2"/>
      <c r="J838" s="2"/>
      <c r="K838" s="2"/>
      <c r="L838" s="2">
        <v>10</v>
      </c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F838" s="1"/>
    </row>
    <row r="839" spans="1:58" s="22" customFormat="1" x14ac:dyDescent="0.25">
      <c r="A839" s="5" t="s">
        <v>21</v>
      </c>
      <c r="B839" s="4">
        <v>46191</v>
      </c>
      <c r="C839" s="2">
        <f t="shared" si="41"/>
        <v>25</v>
      </c>
      <c r="D839" s="3">
        <v>1470</v>
      </c>
      <c r="E839" s="70">
        <f>[1]DETAY!$A$2</f>
        <v>0</v>
      </c>
      <c r="F839" s="71">
        <f t="shared" si="40"/>
        <v>1448</v>
      </c>
      <c r="G839" s="72">
        <f t="shared" si="42"/>
        <v>22</v>
      </c>
      <c r="H839" s="73">
        <f t="shared" si="43"/>
        <v>0.98503401360544218</v>
      </c>
      <c r="I839" s="2"/>
      <c r="J839" s="2"/>
      <c r="K839" s="2"/>
      <c r="L839" s="2">
        <v>22</v>
      </c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F839" s="1"/>
    </row>
    <row r="840" spans="1:58" s="22" customFormat="1" x14ac:dyDescent="0.25">
      <c r="A840" s="5" t="s">
        <v>19</v>
      </c>
      <c r="B840" s="4">
        <v>46191</v>
      </c>
      <c r="C840" s="2">
        <f t="shared" si="41"/>
        <v>25</v>
      </c>
      <c r="D840" s="3">
        <v>444</v>
      </c>
      <c r="E840" s="70">
        <f>[1]DETAY!$A$2</f>
        <v>0</v>
      </c>
      <c r="F840" s="71">
        <f t="shared" si="40"/>
        <v>440</v>
      </c>
      <c r="G840" s="72">
        <f t="shared" si="42"/>
        <v>4</v>
      </c>
      <c r="H840" s="73">
        <f t="shared" si="43"/>
        <v>0.99099099099099097</v>
      </c>
      <c r="I840" s="2"/>
      <c r="J840" s="2">
        <v>4</v>
      </c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F840" s="1"/>
    </row>
    <row r="841" spans="1:58" s="22" customFormat="1" x14ac:dyDescent="0.25">
      <c r="A841" s="5" t="s">
        <v>17</v>
      </c>
      <c r="B841" s="4">
        <v>46191</v>
      </c>
      <c r="C841" s="2">
        <f t="shared" si="41"/>
        <v>25</v>
      </c>
      <c r="D841" s="3">
        <v>607</v>
      </c>
      <c r="E841" s="70">
        <f>[1]DETAY!$A$2</f>
        <v>0</v>
      </c>
      <c r="F841" s="71">
        <f t="shared" si="40"/>
        <v>600</v>
      </c>
      <c r="G841" s="72">
        <f t="shared" si="42"/>
        <v>7</v>
      </c>
      <c r="H841" s="73">
        <f t="shared" si="43"/>
        <v>0.98846787479406917</v>
      </c>
      <c r="I841" s="2"/>
      <c r="J841" s="2">
        <v>7</v>
      </c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F841" s="1"/>
    </row>
    <row r="842" spans="1:58" s="22" customFormat="1" x14ac:dyDescent="0.25">
      <c r="A842" s="5" t="s">
        <v>10</v>
      </c>
      <c r="B842" s="4">
        <v>46191</v>
      </c>
      <c r="C842" s="2">
        <f t="shared" si="41"/>
        <v>25</v>
      </c>
      <c r="D842" s="3">
        <v>804</v>
      </c>
      <c r="E842" s="70">
        <f>[1]DETAY!$A$2</f>
        <v>0</v>
      </c>
      <c r="F842" s="71">
        <f t="shared" si="40"/>
        <v>780</v>
      </c>
      <c r="G842" s="72">
        <f t="shared" si="42"/>
        <v>24</v>
      </c>
      <c r="H842" s="73">
        <f t="shared" si="43"/>
        <v>0.97014925373134331</v>
      </c>
      <c r="I842" s="2"/>
      <c r="J842" s="2"/>
      <c r="K842" s="2"/>
      <c r="L842" s="2"/>
      <c r="M842" s="2">
        <v>24</v>
      </c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F842" s="1"/>
    </row>
    <row r="843" spans="1:58" s="22" customFormat="1" x14ac:dyDescent="0.25">
      <c r="A843" s="5" t="s">
        <v>9</v>
      </c>
      <c r="B843" s="4">
        <v>46191</v>
      </c>
      <c r="C843" s="2">
        <f t="shared" si="41"/>
        <v>25</v>
      </c>
      <c r="D843" s="3">
        <v>180</v>
      </c>
      <c r="E843" s="70">
        <f>[1]DETAY!$A$2</f>
        <v>0</v>
      </c>
      <c r="F843" s="71">
        <f t="shared" si="40"/>
        <v>180</v>
      </c>
      <c r="G843" s="72">
        <f t="shared" si="42"/>
        <v>0</v>
      </c>
      <c r="H843" s="73">
        <f t="shared" si="43"/>
        <v>1</v>
      </c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F843" s="1"/>
    </row>
    <row r="844" spans="1:58" s="22" customFormat="1" x14ac:dyDescent="0.25">
      <c r="A844" s="5" t="s">
        <v>1</v>
      </c>
      <c r="B844" s="4">
        <v>46191</v>
      </c>
      <c r="C844" s="2">
        <f t="shared" si="41"/>
        <v>25</v>
      </c>
      <c r="D844" s="3">
        <v>244</v>
      </c>
      <c r="E844" s="70">
        <f>[1]DETAY!$A$2</f>
        <v>0</v>
      </c>
      <c r="F844" s="71">
        <f t="shared" si="40"/>
        <v>140</v>
      </c>
      <c r="G844" s="72">
        <f t="shared" si="42"/>
        <v>104</v>
      </c>
      <c r="H844" s="73">
        <f t="shared" si="43"/>
        <v>0.57377049180327866</v>
      </c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>
        <v>4</v>
      </c>
      <c r="AL844" s="2"/>
      <c r="AM844" s="2"/>
      <c r="AN844" s="2"/>
      <c r="AO844" s="2"/>
      <c r="AP844" s="2"/>
      <c r="AQ844" s="2"/>
      <c r="AR844" s="2"/>
      <c r="AS844" s="2"/>
      <c r="AT844" s="2"/>
      <c r="AU844" s="2">
        <v>100</v>
      </c>
      <c r="AV844" s="2"/>
      <c r="AW844" s="2"/>
      <c r="AX844" s="2"/>
      <c r="AY844" s="2"/>
      <c r="AZ844" s="2"/>
      <c r="BA844" s="2"/>
      <c r="BB844" s="2"/>
      <c r="BC844" s="2"/>
      <c r="BD844" s="2"/>
      <c r="BF844" s="1"/>
    </row>
    <row r="845" spans="1:58" s="22" customFormat="1" x14ac:dyDescent="0.25">
      <c r="A845" s="5" t="s">
        <v>8</v>
      </c>
      <c r="B845" s="4">
        <v>46191</v>
      </c>
      <c r="C845" s="2">
        <f t="shared" si="41"/>
        <v>25</v>
      </c>
      <c r="D845" s="3">
        <v>61</v>
      </c>
      <c r="E845" s="70">
        <f>[1]DETAY!$A$2</f>
        <v>0</v>
      </c>
      <c r="F845" s="71">
        <f t="shared" si="40"/>
        <v>60</v>
      </c>
      <c r="G845" s="72">
        <f t="shared" si="42"/>
        <v>1</v>
      </c>
      <c r="H845" s="73">
        <f t="shared" si="43"/>
        <v>0.98360655737704916</v>
      </c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>
        <v>1</v>
      </c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F845" s="1"/>
    </row>
    <row r="846" spans="1:58" s="22" customFormat="1" x14ac:dyDescent="0.25">
      <c r="A846" s="5" t="s">
        <v>7</v>
      </c>
      <c r="B846" s="4">
        <v>46191</v>
      </c>
      <c r="C846" s="2">
        <f t="shared" si="41"/>
        <v>25</v>
      </c>
      <c r="D846" s="3">
        <v>64</v>
      </c>
      <c r="E846" s="70">
        <f>[1]DETAY!$A$2</f>
        <v>0</v>
      </c>
      <c r="F846" s="71">
        <f t="shared" si="40"/>
        <v>64</v>
      </c>
      <c r="G846" s="72">
        <f t="shared" si="42"/>
        <v>0</v>
      </c>
      <c r="H846" s="73">
        <f t="shared" si="43"/>
        <v>1</v>
      </c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F846" s="1"/>
    </row>
    <row r="847" spans="1:58" s="22" customFormat="1" x14ac:dyDescent="0.25">
      <c r="A847" s="5" t="s">
        <v>3</v>
      </c>
      <c r="B847" s="4">
        <v>46191</v>
      </c>
      <c r="C847" s="2">
        <f t="shared" si="41"/>
        <v>25</v>
      </c>
      <c r="D847" s="3">
        <v>600</v>
      </c>
      <c r="E847" s="70">
        <f>[1]DETAY!$A$2</f>
        <v>0</v>
      </c>
      <c r="F847" s="71">
        <f t="shared" si="40"/>
        <v>600</v>
      </c>
      <c r="G847" s="72">
        <f t="shared" si="42"/>
        <v>0</v>
      </c>
      <c r="H847" s="73">
        <f t="shared" si="43"/>
        <v>1</v>
      </c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F847" s="1"/>
    </row>
    <row r="848" spans="1:58" s="22" customFormat="1" x14ac:dyDescent="0.25">
      <c r="A848" s="5" t="s">
        <v>13</v>
      </c>
      <c r="B848" s="4">
        <v>46191</v>
      </c>
      <c r="C848" s="2">
        <f t="shared" si="41"/>
        <v>25</v>
      </c>
      <c r="D848" s="3">
        <v>1080</v>
      </c>
      <c r="E848" s="70">
        <f>[1]DETAY!$A$2</f>
        <v>0</v>
      </c>
      <c r="F848" s="71">
        <f t="shared" si="40"/>
        <v>1080</v>
      </c>
      <c r="G848" s="72">
        <f t="shared" si="42"/>
        <v>0</v>
      </c>
      <c r="H848" s="73">
        <f t="shared" si="43"/>
        <v>1</v>
      </c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F848" s="1"/>
    </row>
    <row r="849" spans="1:58" s="22" customFormat="1" x14ac:dyDescent="0.25">
      <c r="A849" s="5" t="s">
        <v>4</v>
      </c>
      <c r="B849" s="4">
        <v>46191</v>
      </c>
      <c r="C849" s="2">
        <f t="shared" si="41"/>
        <v>25</v>
      </c>
      <c r="D849" s="3">
        <v>1232</v>
      </c>
      <c r="E849" s="70">
        <f>[1]DETAY!$A$2</f>
        <v>0</v>
      </c>
      <c r="F849" s="71">
        <f t="shared" si="40"/>
        <v>1232</v>
      </c>
      <c r="G849" s="72">
        <f t="shared" si="42"/>
        <v>0</v>
      </c>
      <c r="H849" s="73">
        <f t="shared" si="43"/>
        <v>1</v>
      </c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F849" s="1"/>
    </row>
    <row r="850" spans="1:58" s="22" customFormat="1" x14ac:dyDescent="0.25">
      <c r="A850" s="5" t="s">
        <v>6</v>
      </c>
      <c r="B850" s="4">
        <v>46191</v>
      </c>
      <c r="C850" s="2">
        <f t="shared" si="41"/>
        <v>25</v>
      </c>
      <c r="D850" s="3">
        <v>308</v>
      </c>
      <c r="E850" s="70">
        <f>[1]DETAY!$A$2</f>
        <v>0</v>
      </c>
      <c r="F850" s="71">
        <f t="shared" ref="F850:F913" si="44">D850-G850</f>
        <v>308</v>
      </c>
      <c r="G850" s="72">
        <f t="shared" si="42"/>
        <v>0</v>
      </c>
      <c r="H850" s="73">
        <f t="shared" si="43"/>
        <v>1</v>
      </c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F850" s="1"/>
    </row>
    <row r="851" spans="1:58" s="22" customFormat="1" x14ac:dyDescent="0.25">
      <c r="A851" s="5" t="s">
        <v>21</v>
      </c>
      <c r="B851" s="4">
        <v>46192</v>
      </c>
      <c r="C851" s="2">
        <f t="shared" si="41"/>
        <v>25</v>
      </c>
      <c r="D851" s="3">
        <v>723</v>
      </c>
      <c r="E851" s="70">
        <f>[1]DETAY!$A$2</f>
        <v>0</v>
      </c>
      <c r="F851" s="71">
        <f t="shared" si="44"/>
        <v>718</v>
      </c>
      <c r="G851" s="72">
        <f t="shared" si="42"/>
        <v>5</v>
      </c>
      <c r="H851" s="73">
        <f t="shared" si="43"/>
        <v>0.9930843706777317</v>
      </c>
      <c r="I851" s="2"/>
      <c r="J851" s="2"/>
      <c r="K851" s="2"/>
      <c r="L851" s="2">
        <v>4</v>
      </c>
      <c r="M851" s="2">
        <v>1</v>
      </c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F851" s="1"/>
    </row>
    <row r="852" spans="1:58" s="22" customFormat="1" x14ac:dyDescent="0.25">
      <c r="A852" s="5" t="s">
        <v>19</v>
      </c>
      <c r="B852" s="4">
        <v>46192</v>
      </c>
      <c r="C852" s="2">
        <f t="shared" si="41"/>
        <v>25</v>
      </c>
      <c r="D852" s="3">
        <v>708</v>
      </c>
      <c r="E852" s="70">
        <f>[1]DETAY!$A$2</f>
        <v>0</v>
      </c>
      <c r="F852" s="71">
        <f t="shared" si="44"/>
        <v>700</v>
      </c>
      <c r="G852" s="72">
        <f t="shared" si="42"/>
        <v>8</v>
      </c>
      <c r="H852" s="73">
        <f t="shared" si="43"/>
        <v>0.98870056497175141</v>
      </c>
      <c r="I852" s="2"/>
      <c r="J852" s="2">
        <v>8</v>
      </c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F852" s="1"/>
    </row>
    <row r="853" spans="1:58" s="22" customFormat="1" x14ac:dyDescent="0.25">
      <c r="A853" s="5" t="s">
        <v>17</v>
      </c>
      <c r="B853" s="4">
        <v>46192</v>
      </c>
      <c r="C853" s="2">
        <f t="shared" si="41"/>
        <v>25</v>
      </c>
      <c r="D853" s="3">
        <v>1653</v>
      </c>
      <c r="E853" s="70">
        <f>[1]DETAY!$A$2</f>
        <v>0</v>
      </c>
      <c r="F853" s="71">
        <f t="shared" si="44"/>
        <v>1625</v>
      </c>
      <c r="G853" s="72">
        <f t="shared" si="42"/>
        <v>28</v>
      </c>
      <c r="H853" s="73">
        <f t="shared" si="43"/>
        <v>0.98306110102843314</v>
      </c>
      <c r="I853" s="2"/>
      <c r="J853" s="2">
        <v>23</v>
      </c>
      <c r="K853" s="2"/>
      <c r="L853" s="2">
        <v>5</v>
      </c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F853" s="1"/>
    </row>
    <row r="854" spans="1:58" s="22" customFormat="1" x14ac:dyDescent="0.25">
      <c r="A854" s="5" t="s">
        <v>16</v>
      </c>
      <c r="B854" s="4">
        <v>46192</v>
      </c>
      <c r="C854" s="2">
        <f t="shared" si="41"/>
        <v>25</v>
      </c>
      <c r="D854" s="3">
        <v>1530</v>
      </c>
      <c r="E854" s="70">
        <f>[1]DETAY!$A$2</f>
        <v>0</v>
      </c>
      <c r="F854" s="71">
        <f t="shared" si="44"/>
        <v>1506</v>
      </c>
      <c r="G854" s="72">
        <f t="shared" si="42"/>
        <v>24</v>
      </c>
      <c r="H854" s="73">
        <f t="shared" si="43"/>
        <v>0.98431372549019602</v>
      </c>
      <c r="I854" s="2"/>
      <c r="J854" s="2"/>
      <c r="K854" s="2">
        <v>10</v>
      </c>
      <c r="L854" s="2">
        <v>2</v>
      </c>
      <c r="M854" s="2"/>
      <c r="N854" s="2"/>
      <c r="O854" s="2"/>
      <c r="P854" s="2"/>
      <c r="Q854" s="2">
        <v>3</v>
      </c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>
        <v>3</v>
      </c>
      <c r="AI854" s="2"/>
      <c r="AJ854" s="2">
        <v>6</v>
      </c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F854" s="1"/>
    </row>
    <row r="855" spans="1:58" s="22" customFormat="1" x14ac:dyDescent="0.25">
      <c r="A855" s="5" t="s">
        <v>11</v>
      </c>
      <c r="B855" s="4">
        <v>46192</v>
      </c>
      <c r="C855" s="2">
        <f t="shared" si="41"/>
        <v>25</v>
      </c>
      <c r="D855" s="3">
        <v>1126</v>
      </c>
      <c r="E855" s="70">
        <f>[1]DETAY!$A$2</f>
        <v>0</v>
      </c>
      <c r="F855" s="71">
        <f t="shared" si="44"/>
        <v>1126</v>
      </c>
      <c r="G855" s="72">
        <f t="shared" si="42"/>
        <v>0</v>
      </c>
      <c r="H855" s="73">
        <f t="shared" si="43"/>
        <v>1</v>
      </c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F855" s="1"/>
    </row>
    <row r="856" spans="1:58" s="22" customFormat="1" x14ac:dyDescent="0.25">
      <c r="A856" s="5" t="s">
        <v>10</v>
      </c>
      <c r="B856" s="4">
        <v>46192</v>
      </c>
      <c r="C856" s="2">
        <f t="shared" si="41"/>
        <v>25</v>
      </c>
      <c r="D856" s="3">
        <v>544</v>
      </c>
      <c r="E856" s="70">
        <f>[1]DETAY!$A$2</f>
        <v>0</v>
      </c>
      <c r="F856" s="71">
        <f t="shared" si="44"/>
        <v>544</v>
      </c>
      <c r="G856" s="72">
        <f t="shared" si="42"/>
        <v>0</v>
      </c>
      <c r="H856" s="73">
        <f t="shared" si="43"/>
        <v>1</v>
      </c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F856" s="1"/>
    </row>
    <row r="857" spans="1:58" s="22" customFormat="1" x14ac:dyDescent="0.25">
      <c r="A857" s="5" t="s">
        <v>9</v>
      </c>
      <c r="B857" s="4">
        <v>46192</v>
      </c>
      <c r="C857" s="2">
        <f t="shared" si="41"/>
        <v>25</v>
      </c>
      <c r="D857" s="3">
        <v>549</v>
      </c>
      <c r="E857" s="70">
        <f>[1]DETAY!$A$2</f>
        <v>0</v>
      </c>
      <c r="F857" s="71">
        <f t="shared" si="44"/>
        <v>549</v>
      </c>
      <c r="G857" s="72">
        <f t="shared" si="42"/>
        <v>0</v>
      </c>
      <c r="H857" s="73">
        <f t="shared" si="43"/>
        <v>1</v>
      </c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F857" s="1"/>
    </row>
    <row r="858" spans="1:58" s="22" customFormat="1" x14ac:dyDescent="0.25">
      <c r="A858" s="5" t="s">
        <v>15</v>
      </c>
      <c r="B858" s="4">
        <v>46192</v>
      </c>
      <c r="C858" s="2">
        <f t="shared" si="41"/>
        <v>25</v>
      </c>
      <c r="D858" s="3">
        <f>313+8</f>
        <v>321</v>
      </c>
      <c r="E858" s="70">
        <f>[1]DETAY!$A$2</f>
        <v>0</v>
      </c>
      <c r="F858" s="71">
        <f t="shared" si="44"/>
        <v>313</v>
      </c>
      <c r="G858" s="72">
        <f t="shared" si="42"/>
        <v>8</v>
      </c>
      <c r="H858" s="73">
        <f t="shared" si="43"/>
        <v>0.97507788161993769</v>
      </c>
      <c r="I858" s="2"/>
      <c r="J858" s="2"/>
      <c r="K858" s="2"/>
      <c r="L858" s="2"/>
      <c r="M858" s="2"/>
      <c r="N858" s="2"/>
      <c r="O858" s="2">
        <v>8</v>
      </c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F858" s="1"/>
    </row>
    <row r="859" spans="1:58" s="22" customFormat="1" x14ac:dyDescent="0.25">
      <c r="A859" s="5" t="s">
        <v>6</v>
      </c>
      <c r="B859" s="4">
        <v>46192</v>
      </c>
      <c r="C859" s="2">
        <f t="shared" si="41"/>
        <v>25</v>
      </c>
      <c r="D859" s="3">
        <v>94</v>
      </c>
      <c r="E859" s="70">
        <f>[1]DETAY!$A$2</f>
        <v>0</v>
      </c>
      <c r="F859" s="71">
        <f t="shared" si="44"/>
        <v>94</v>
      </c>
      <c r="G859" s="72">
        <f t="shared" si="42"/>
        <v>0</v>
      </c>
      <c r="H859" s="73">
        <f t="shared" si="43"/>
        <v>1</v>
      </c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F859" s="1"/>
    </row>
    <row r="860" spans="1:58" s="22" customFormat="1" x14ac:dyDescent="0.25">
      <c r="A860" s="5" t="s">
        <v>1</v>
      </c>
      <c r="B860" s="4">
        <v>46192</v>
      </c>
      <c r="C860" s="2">
        <f t="shared" si="41"/>
        <v>25</v>
      </c>
      <c r="D860" s="3">
        <f>130+23+4+9+15</f>
        <v>181</v>
      </c>
      <c r="E860" s="70">
        <f>[1]DETAY!$A$2</f>
        <v>0</v>
      </c>
      <c r="F860" s="71">
        <f t="shared" si="44"/>
        <v>130</v>
      </c>
      <c r="G860" s="72">
        <f t="shared" si="42"/>
        <v>51</v>
      </c>
      <c r="H860" s="73">
        <f t="shared" si="43"/>
        <v>0.71823204419889508</v>
      </c>
      <c r="I860" s="2"/>
      <c r="J860" s="2"/>
      <c r="K860" s="2"/>
      <c r="L860" s="2"/>
      <c r="M860" s="2">
        <v>4</v>
      </c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>
        <f>23+9+15</f>
        <v>47</v>
      </c>
      <c r="AV860" s="2"/>
      <c r="AW860" s="2"/>
      <c r="AX860" s="2"/>
      <c r="AY860" s="2"/>
      <c r="AZ860" s="2"/>
      <c r="BA860" s="2"/>
      <c r="BB860" s="2"/>
      <c r="BC860" s="2"/>
      <c r="BD860" s="2"/>
      <c r="BF860" s="1"/>
    </row>
    <row r="861" spans="1:58" s="22" customFormat="1" x14ac:dyDescent="0.25">
      <c r="A861" s="5" t="s">
        <v>12</v>
      </c>
      <c r="B861" s="4">
        <v>46192</v>
      </c>
      <c r="C861" s="2">
        <f t="shared" si="41"/>
        <v>25</v>
      </c>
      <c r="D861" s="3">
        <v>253</v>
      </c>
      <c r="E861" s="70">
        <f>[1]DETAY!$A$2</f>
        <v>0</v>
      </c>
      <c r="F861" s="71">
        <f t="shared" si="44"/>
        <v>253</v>
      </c>
      <c r="G861" s="72">
        <f t="shared" si="42"/>
        <v>0</v>
      </c>
      <c r="H861" s="73">
        <f t="shared" si="43"/>
        <v>1</v>
      </c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F861" s="1"/>
    </row>
    <row r="862" spans="1:58" s="22" customFormat="1" x14ac:dyDescent="0.25">
      <c r="A862" s="5" t="s">
        <v>21</v>
      </c>
      <c r="B862" s="4">
        <v>46192</v>
      </c>
      <c r="C862" s="2">
        <f t="shared" si="41"/>
        <v>25</v>
      </c>
      <c r="D862" s="3">
        <v>723</v>
      </c>
      <c r="E862" s="70">
        <f>[1]DETAY!$A$2</f>
        <v>0</v>
      </c>
      <c r="F862" s="71">
        <f t="shared" si="44"/>
        <v>718</v>
      </c>
      <c r="G862" s="72">
        <f t="shared" si="42"/>
        <v>5</v>
      </c>
      <c r="H862" s="73">
        <f t="shared" si="43"/>
        <v>0.9930843706777317</v>
      </c>
      <c r="I862" s="2"/>
      <c r="J862" s="2"/>
      <c r="K862" s="2"/>
      <c r="L862" s="2">
        <v>4</v>
      </c>
      <c r="M862" s="2">
        <v>1</v>
      </c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F862" s="1"/>
    </row>
    <row r="863" spans="1:58" s="22" customFormat="1" x14ac:dyDescent="0.25">
      <c r="A863" s="5" t="s">
        <v>19</v>
      </c>
      <c r="B863" s="4">
        <v>46192</v>
      </c>
      <c r="C863" s="2">
        <f t="shared" si="41"/>
        <v>25</v>
      </c>
      <c r="D863" s="3">
        <v>708</v>
      </c>
      <c r="E863" s="70">
        <f>[1]DETAY!$A$2</f>
        <v>0</v>
      </c>
      <c r="F863" s="71">
        <f t="shared" si="44"/>
        <v>700</v>
      </c>
      <c r="G863" s="72">
        <f t="shared" si="42"/>
        <v>8</v>
      </c>
      <c r="H863" s="73">
        <f t="shared" si="43"/>
        <v>0.98870056497175141</v>
      </c>
      <c r="I863" s="2"/>
      <c r="J863" s="2">
        <v>8</v>
      </c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F863" s="1"/>
    </row>
    <row r="864" spans="1:58" s="22" customFormat="1" x14ac:dyDescent="0.25">
      <c r="A864" s="5" t="s">
        <v>17</v>
      </c>
      <c r="B864" s="4">
        <v>46192</v>
      </c>
      <c r="C864" s="2">
        <f t="shared" si="41"/>
        <v>25</v>
      </c>
      <c r="D864" s="3">
        <v>1653</v>
      </c>
      <c r="E864" s="70">
        <f>[1]DETAY!$A$2</f>
        <v>0</v>
      </c>
      <c r="F864" s="71">
        <f t="shared" si="44"/>
        <v>1495</v>
      </c>
      <c r="G864" s="72">
        <f t="shared" si="42"/>
        <v>158</v>
      </c>
      <c r="H864" s="73">
        <f t="shared" si="43"/>
        <v>0.90441621294615848</v>
      </c>
      <c r="I864" s="2"/>
      <c r="J864" s="2">
        <v>23</v>
      </c>
      <c r="K864" s="2"/>
      <c r="L864" s="2">
        <v>5</v>
      </c>
      <c r="M864" s="2">
        <v>130</v>
      </c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F864" s="1"/>
    </row>
    <row r="865" spans="1:58" s="22" customFormat="1" x14ac:dyDescent="0.25">
      <c r="A865" s="5" t="s">
        <v>16</v>
      </c>
      <c r="B865" s="4">
        <v>46192</v>
      </c>
      <c r="C865" s="2">
        <f t="shared" si="41"/>
        <v>25</v>
      </c>
      <c r="D865" s="3">
        <v>1530</v>
      </c>
      <c r="E865" s="70">
        <f>[1]DETAY!$A$2</f>
        <v>0</v>
      </c>
      <c r="F865" s="71">
        <f t="shared" si="44"/>
        <v>1507</v>
      </c>
      <c r="G865" s="72">
        <f t="shared" si="42"/>
        <v>23</v>
      </c>
      <c r="H865" s="73">
        <f t="shared" si="43"/>
        <v>0.98496732026143796</v>
      </c>
      <c r="I865" s="2"/>
      <c r="J865" s="2"/>
      <c r="K865" s="2">
        <v>10</v>
      </c>
      <c r="L865" s="2">
        <v>2</v>
      </c>
      <c r="M865" s="2"/>
      <c r="N865" s="2"/>
      <c r="O865" s="2"/>
      <c r="P865" s="2"/>
      <c r="Q865" s="2">
        <v>3</v>
      </c>
      <c r="R865" s="2"/>
      <c r="S865" s="2"/>
      <c r="T865" s="2"/>
      <c r="U865" s="2">
        <v>2</v>
      </c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>
        <v>6</v>
      </c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F865" s="1"/>
    </row>
    <row r="866" spans="1:58" s="22" customFormat="1" x14ac:dyDescent="0.25">
      <c r="A866" s="5" t="s">
        <v>11</v>
      </c>
      <c r="B866" s="4">
        <v>46192</v>
      </c>
      <c r="C866" s="2">
        <f t="shared" si="41"/>
        <v>25</v>
      </c>
      <c r="D866" s="3">
        <v>1126</v>
      </c>
      <c r="E866" s="70">
        <f>[1]DETAY!$A$2</f>
        <v>0</v>
      </c>
      <c r="F866" s="71">
        <f t="shared" si="44"/>
        <v>1100</v>
      </c>
      <c r="G866" s="72">
        <f t="shared" si="42"/>
        <v>26</v>
      </c>
      <c r="H866" s="73">
        <f t="shared" si="43"/>
        <v>0.9769094138543517</v>
      </c>
      <c r="I866" s="2"/>
      <c r="J866" s="2"/>
      <c r="K866" s="2"/>
      <c r="L866" s="2">
        <v>18</v>
      </c>
      <c r="M866" s="2"/>
      <c r="N866" s="2">
        <v>8</v>
      </c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F866" s="1"/>
    </row>
    <row r="867" spans="1:58" s="22" customFormat="1" x14ac:dyDescent="0.25">
      <c r="A867" s="5" t="s">
        <v>10</v>
      </c>
      <c r="B867" s="4">
        <v>46192</v>
      </c>
      <c r="C867" s="2">
        <f t="shared" si="41"/>
        <v>25</v>
      </c>
      <c r="D867" s="3">
        <v>544</v>
      </c>
      <c r="E867" s="70">
        <f>[1]DETAY!$A$2</f>
        <v>0</v>
      </c>
      <c r="F867" s="71">
        <f t="shared" si="44"/>
        <v>540</v>
      </c>
      <c r="G867" s="72">
        <f t="shared" si="42"/>
        <v>4</v>
      </c>
      <c r="H867" s="73">
        <f t="shared" si="43"/>
        <v>0.99264705882352944</v>
      </c>
      <c r="I867" s="2"/>
      <c r="J867" s="2"/>
      <c r="K867" s="2"/>
      <c r="L867" s="2"/>
      <c r="M867" s="2">
        <v>4</v>
      </c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F867" s="1"/>
    </row>
    <row r="868" spans="1:58" s="22" customFormat="1" x14ac:dyDescent="0.25">
      <c r="A868" s="5" t="s">
        <v>9</v>
      </c>
      <c r="B868" s="4">
        <v>46192</v>
      </c>
      <c r="C868" s="2">
        <f t="shared" si="41"/>
        <v>25</v>
      </c>
      <c r="D868" s="3">
        <v>549</v>
      </c>
      <c r="E868" s="70">
        <f>[1]DETAY!$A$2</f>
        <v>0</v>
      </c>
      <c r="F868" s="71">
        <f t="shared" si="44"/>
        <v>540</v>
      </c>
      <c r="G868" s="72">
        <f t="shared" si="42"/>
        <v>9</v>
      </c>
      <c r="H868" s="73">
        <f t="shared" si="43"/>
        <v>0.98360655737704916</v>
      </c>
      <c r="I868" s="2"/>
      <c r="J868" s="2"/>
      <c r="K868" s="2"/>
      <c r="L868" s="2"/>
      <c r="M868" s="2">
        <v>9</v>
      </c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F868" s="1"/>
    </row>
    <row r="869" spans="1:58" s="22" customFormat="1" x14ac:dyDescent="0.25">
      <c r="A869" s="5" t="s">
        <v>15</v>
      </c>
      <c r="B869" s="4">
        <v>46192</v>
      </c>
      <c r="C869" s="2">
        <f t="shared" si="41"/>
        <v>25</v>
      </c>
      <c r="D869" s="3">
        <v>320</v>
      </c>
      <c r="E869" s="70">
        <f>[1]DETAY!$A$2</f>
        <v>0</v>
      </c>
      <c r="F869" s="71">
        <f t="shared" si="44"/>
        <v>320</v>
      </c>
      <c r="G869" s="72">
        <f t="shared" si="42"/>
        <v>0</v>
      </c>
      <c r="H869" s="73">
        <f t="shared" si="43"/>
        <v>1</v>
      </c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F869" s="1"/>
    </row>
    <row r="870" spans="1:58" s="22" customFormat="1" x14ac:dyDescent="0.25">
      <c r="A870" s="5" t="s">
        <v>7</v>
      </c>
      <c r="B870" s="4">
        <v>46192</v>
      </c>
      <c r="C870" s="2">
        <f t="shared" si="41"/>
        <v>25</v>
      </c>
      <c r="D870" s="3">
        <v>128</v>
      </c>
      <c r="E870" s="70">
        <f>[1]DETAY!$A$2</f>
        <v>0</v>
      </c>
      <c r="F870" s="71">
        <f t="shared" si="44"/>
        <v>128</v>
      </c>
      <c r="G870" s="72">
        <f t="shared" si="42"/>
        <v>0</v>
      </c>
      <c r="H870" s="73">
        <f t="shared" si="43"/>
        <v>1</v>
      </c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F870" s="1"/>
    </row>
    <row r="871" spans="1:58" s="22" customFormat="1" x14ac:dyDescent="0.25">
      <c r="A871" s="5" t="s">
        <v>6</v>
      </c>
      <c r="B871" s="4">
        <v>46192</v>
      </c>
      <c r="C871" s="2">
        <f t="shared" si="41"/>
        <v>25</v>
      </c>
      <c r="D871" s="3">
        <v>154</v>
      </c>
      <c r="E871" s="70">
        <f>[1]DETAY!$A$2</f>
        <v>0</v>
      </c>
      <c r="F871" s="71">
        <f t="shared" si="44"/>
        <v>153</v>
      </c>
      <c r="G871" s="72">
        <f t="shared" si="42"/>
        <v>1</v>
      </c>
      <c r="H871" s="73">
        <f t="shared" si="43"/>
        <v>0.99350649350649356</v>
      </c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>
        <v>1</v>
      </c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F871" s="1"/>
    </row>
    <row r="872" spans="1:58" s="22" customFormat="1" x14ac:dyDescent="0.25">
      <c r="A872" s="5" t="s">
        <v>93</v>
      </c>
      <c r="B872" s="4">
        <v>46192</v>
      </c>
      <c r="C872" s="2">
        <f t="shared" si="41"/>
        <v>25</v>
      </c>
      <c r="D872" s="3">
        <v>100</v>
      </c>
      <c r="E872" s="70">
        <f>[1]DETAY!$A$2</f>
        <v>0</v>
      </c>
      <c r="F872" s="71">
        <f t="shared" si="44"/>
        <v>100</v>
      </c>
      <c r="G872" s="72">
        <f t="shared" si="42"/>
        <v>0</v>
      </c>
      <c r="H872" s="73">
        <f t="shared" si="43"/>
        <v>1</v>
      </c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F872" s="1"/>
    </row>
    <row r="873" spans="1:58" s="22" customFormat="1" x14ac:dyDescent="0.25">
      <c r="A873" s="5" t="s">
        <v>22</v>
      </c>
      <c r="B873" s="4">
        <v>46192</v>
      </c>
      <c r="C873" s="2">
        <f t="shared" si="41"/>
        <v>25</v>
      </c>
      <c r="D873" s="3">
        <v>902</v>
      </c>
      <c r="E873" s="70">
        <f>[1]DETAY!$A$2</f>
        <v>0</v>
      </c>
      <c r="F873" s="71">
        <f t="shared" si="44"/>
        <v>900</v>
      </c>
      <c r="G873" s="72">
        <f t="shared" si="42"/>
        <v>2</v>
      </c>
      <c r="H873" s="73">
        <f t="shared" si="43"/>
        <v>0.99778270509977829</v>
      </c>
      <c r="I873" s="2"/>
      <c r="J873" s="2"/>
      <c r="K873" s="2"/>
      <c r="L873" s="2">
        <v>2</v>
      </c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F873" s="1"/>
    </row>
    <row r="874" spans="1:58" s="22" customFormat="1" x14ac:dyDescent="0.25">
      <c r="A874" s="5" t="s">
        <v>17</v>
      </c>
      <c r="B874" s="4">
        <v>46192</v>
      </c>
      <c r="C874" s="2">
        <f t="shared" si="41"/>
        <v>25</v>
      </c>
      <c r="D874" s="3">
        <v>350</v>
      </c>
      <c r="E874" s="70">
        <f>[1]DETAY!$A$2</f>
        <v>0</v>
      </c>
      <c r="F874" s="71">
        <f t="shared" si="44"/>
        <v>348</v>
      </c>
      <c r="G874" s="72">
        <f t="shared" si="42"/>
        <v>2</v>
      </c>
      <c r="H874" s="73">
        <f t="shared" si="43"/>
        <v>0.99428571428571433</v>
      </c>
      <c r="I874" s="2"/>
      <c r="J874" s="2">
        <v>1</v>
      </c>
      <c r="K874" s="2"/>
      <c r="L874" s="2">
        <v>1</v>
      </c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F874" s="1"/>
    </row>
    <row r="875" spans="1:58" s="22" customFormat="1" x14ac:dyDescent="0.25">
      <c r="A875" s="5" t="s">
        <v>18</v>
      </c>
      <c r="B875" s="4">
        <v>46192</v>
      </c>
      <c r="C875" s="2">
        <f t="shared" si="41"/>
        <v>25</v>
      </c>
      <c r="D875" s="3">
        <v>716</v>
      </c>
      <c r="E875" s="70">
        <f>[1]DETAY!$A$2</f>
        <v>0</v>
      </c>
      <c r="F875" s="71">
        <f t="shared" si="44"/>
        <v>700</v>
      </c>
      <c r="G875" s="72">
        <f t="shared" si="42"/>
        <v>16</v>
      </c>
      <c r="H875" s="73">
        <f t="shared" si="43"/>
        <v>0.97765363128491622</v>
      </c>
      <c r="I875" s="2"/>
      <c r="J875" s="2">
        <v>16</v>
      </c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F875" s="1"/>
    </row>
    <row r="876" spans="1:58" s="22" customFormat="1" x14ac:dyDescent="0.25">
      <c r="A876" s="5" t="s">
        <v>16</v>
      </c>
      <c r="B876" s="4">
        <v>46192</v>
      </c>
      <c r="C876" s="2">
        <f t="shared" si="41"/>
        <v>25</v>
      </c>
      <c r="D876" s="3">
        <v>984</v>
      </c>
      <c r="E876" s="70">
        <f>[1]DETAY!$A$2</f>
        <v>0</v>
      </c>
      <c r="F876" s="71">
        <f t="shared" si="44"/>
        <v>945</v>
      </c>
      <c r="G876" s="72">
        <f t="shared" si="42"/>
        <v>39</v>
      </c>
      <c r="H876" s="73">
        <f t="shared" si="43"/>
        <v>0.96036585365853655</v>
      </c>
      <c r="I876" s="2"/>
      <c r="J876" s="2"/>
      <c r="K876" s="2">
        <v>6</v>
      </c>
      <c r="L876" s="2">
        <v>3</v>
      </c>
      <c r="M876" s="2">
        <v>12</v>
      </c>
      <c r="N876" s="2"/>
      <c r="O876" s="2"/>
      <c r="P876" s="2"/>
      <c r="Q876" s="2">
        <v>2</v>
      </c>
      <c r="R876" s="2"/>
      <c r="S876" s="2"/>
      <c r="T876" s="2"/>
      <c r="U876" s="2">
        <v>1</v>
      </c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>
        <v>15</v>
      </c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F876" s="1"/>
    </row>
    <row r="877" spans="1:58" s="22" customFormat="1" x14ac:dyDescent="0.25">
      <c r="A877" s="5" t="s">
        <v>10</v>
      </c>
      <c r="B877" s="4">
        <v>46192</v>
      </c>
      <c r="C877" s="2">
        <f t="shared" ref="C877:C940" si="45">WEEKNUM(B877)</f>
        <v>25</v>
      </c>
      <c r="D877" s="3">
        <v>362</v>
      </c>
      <c r="E877" s="70">
        <f>[1]DETAY!$A$2</f>
        <v>0</v>
      </c>
      <c r="F877" s="71">
        <f t="shared" si="44"/>
        <v>360</v>
      </c>
      <c r="G877" s="72">
        <f t="shared" ref="G877:G940" si="46">SUBTOTAL(9,I877:BD877)</f>
        <v>2</v>
      </c>
      <c r="H877" s="73">
        <f t="shared" ref="H877:H940" si="47">F877/D877</f>
        <v>0.99447513812154698</v>
      </c>
      <c r="I877" s="2"/>
      <c r="J877" s="2"/>
      <c r="K877" s="2"/>
      <c r="L877" s="2"/>
      <c r="M877" s="2">
        <v>2</v>
      </c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F877" s="1"/>
    </row>
    <row r="878" spans="1:58" s="22" customFormat="1" x14ac:dyDescent="0.25">
      <c r="A878" s="5" t="s">
        <v>9</v>
      </c>
      <c r="B878" s="4">
        <v>46192</v>
      </c>
      <c r="C878" s="2">
        <f t="shared" si="45"/>
        <v>25</v>
      </c>
      <c r="D878" s="3">
        <v>363</v>
      </c>
      <c r="E878" s="70">
        <f>[1]DETAY!$A$2</f>
        <v>0</v>
      </c>
      <c r="F878" s="71">
        <f t="shared" si="44"/>
        <v>360</v>
      </c>
      <c r="G878" s="72">
        <f t="shared" si="46"/>
        <v>3</v>
      </c>
      <c r="H878" s="73">
        <f t="shared" si="47"/>
        <v>0.99173553719008267</v>
      </c>
      <c r="I878" s="2"/>
      <c r="J878" s="2"/>
      <c r="K878" s="2"/>
      <c r="L878" s="2"/>
      <c r="M878" s="2">
        <v>3</v>
      </c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F878" s="1"/>
    </row>
    <row r="879" spans="1:58" s="22" customFormat="1" x14ac:dyDescent="0.25">
      <c r="A879" s="5" t="s">
        <v>8</v>
      </c>
      <c r="B879" s="4">
        <v>46192</v>
      </c>
      <c r="C879" s="2">
        <f t="shared" si="45"/>
        <v>25</v>
      </c>
      <c r="D879" s="3">
        <v>545</v>
      </c>
      <c r="E879" s="70">
        <f>[1]DETAY!$A$2</f>
        <v>0</v>
      </c>
      <c r="F879" s="71">
        <f t="shared" si="44"/>
        <v>540</v>
      </c>
      <c r="G879" s="72">
        <f t="shared" si="46"/>
        <v>5</v>
      </c>
      <c r="H879" s="73">
        <f t="shared" si="47"/>
        <v>0.99082568807339455</v>
      </c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>
        <v>4</v>
      </c>
      <c r="AZ879" s="2"/>
      <c r="BA879" s="2"/>
      <c r="BB879" s="2"/>
      <c r="BC879" s="2"/>
      <c r="BD879" s="2">
        <v>1</v>
      </c>
      <c r="BF879" s="1"/>
    </row>
    <row r="880" spans="1:58" s="22" customFormat="1" x14ac:dyDescent="0.25">
      <c r="A880" s="5" t="s">
        <v>14</v>
      </c>
      <c r="B880" s="4">
        <v>46192</v>
      </c>
      <c r="C880" s="2">
        <f t="shared" si="45"/>
        <v>25</v>
      </c>
      <c r="D880" s="3">
        <v>880</v>
      </c>
      <c r="E880" s="70">
        <f>[1]DETAY!$A$2</f>
        <v>0</v>
      </c>
      <c r="F880" s="71">
        <f t="shared" si="44"/>
        <v>880</v>
      </c>
      <c r="G880" s="72">
        <f t="shared" si="46"/>
        <v>0</v>
      </c>
      <c r="H880" s="73">
        <f t="shared" si="47"/>
        <v>1</v>
      </c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F880" s="1"/>
    </row>
    <row r="881" spans="1:58" s="22" customFormat="1" x14ac:dyDescent="0.25">
      <c r="A881" s="5" t="s">
        <v>7</v>
      </c>
      <c r="B881" s="4">
        <v>46192</v>
      </c>
      <c r="C881" s="2">
        <f t="shared" si="45"/>
        <v>25</v>
      </c>
      <c r="D881" s="3">
        <v>320</v>
      </c>
      <c r="E881" s="70">
        <f>[1]DETAY!$A$2</f>
        <v>0</v>
      </c>
      <c r="F881" s="71">
        <f t="shared" si="44"/>
        <v>320</v>
      </c>
      <c r="G881" s="72">
        <f t="shared" si="46"/>
        <v>0</v>
      </c>
      <c r="H881" s="73">
        <f t="shared" si="47"/>
        <v>1</v>
      </c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F881" s="1"/>
    </row>
    <row r="882" spans="1:58" s="22" customFormat="1" x14ac:dyDescent="0.25">
      <c r="A882" s="5" t="s">
        <v>4</v>
      </c>
      <c r="B882" s="4">
        <v>46192</v>
      </c>
      <c r="C882" s="2">
        <f t="shared" si="45"/>
        <v>25</v>
      </c>
      <c r="D882" s="3">
        <v>386</v>
      </c>
      <c r="E882" s="70">
        <f>[1]DETAY!$A$2</f>
        <v>0</v>
      </c>
      <c r="F882" s="71">
        <f t="shared" si="44"/>
        <v>385</v>
      </c>
      <c r="G882" s="72">
        <f t="shared" si="46"/>
        <v>1</v>
      </c>
      <c r="H882" s="73">
        <f t="shared" si="47"/>
        <v>0.99740932642487046</v>
      </c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>
        <v>1</v>
      </c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F882" s="1"/>
    </row>
    <row r="883" spans="1:58" s="22" customFormat="1" x14ac:dyDescent="0.25">
      <c r="A883" s="5" t="s">
        <v>6</v>
      </c>
      <c r="B883" s="4">
        <v>46192</v>
      </c>
      <c r="C883" s="2">
        <f t="shared" si="45"/>
        <v>25</v>
      </c>
      <c r="D883" s="3">
        <v>154</v>
      </c>
      <c r="E883" s="70">
        <f>[1]DETAY!$A$2</f>
        <v>0</v>
      </c>
      <c r="F883" s="71">
        <f t="shared" si="44"/>
        <v>154</v>
      </c>
      <c r="G883" s="72">
        <f t="shared" si="46"/>
        <v>0</v>
      </c>
      <c r="H883" s="73">
        <f t="shared" si="47"/>
        <v>1</v>
      </c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F883" s="1"/>
    </row>
    <row r="884" spans="1:58" s="22" customFormat="1" x14ac:dyDescent="0.25">
      <c r="A884" s="5" t="s">
        <v>22</v>
      </c>
      <c r="B884" s="4">
        <v>46193</v>
      </c>
      <c r="C884" s="2">
        <f t="shared" si="45"/>
        <v>25</v>
      </c>
      <c r="D884" s="3">
        <v>300</v>
      </c>
      <c r="E884" s="70">
        <f>[1]DETAY!$A$2</f>
        <v>0</v>
      </c>
      <c r="F884" s="71">
        <f t="shared" si="44"/>
        <v>300</v>
      </c>
      <c r="G884" s="72">
        <f t="shared" si="46"/>
        <v>0</v>
      </c>
      <c r="H884" s="73">
        <f t="shared" si="47"/>
        <v>1</v>
      </c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F884" s="1"/>
    </row>
    <row r="885" spans="1:58" s="22" customFormat="1" x14ac:dyDescent="0.25">
      <c r="A885" s="5" t="s">
        <v>18</v>
      </c>
      <c r="B885" s="4">
        <v>46193</v>
      </c>
      <c r="C885" s="2">
        <f t="shared" si="45"/>
        <v>25</v>
      </c>
      <c r="D885" s="3">
        <v>722</v>
      </c>
      <c r="E885" s="70">
        <f>[1]DETAY!$A$2</f>
        <v>0</v>
      </c>
      <c r="F885" s="71">
        <f t="shared" si="44"/>
        <v>700</v>
      </c>
      <c r="G885" s="72">
        <f t="shared" si="46"/>
        <v>22</v>
      </c>
      <c r="H885" s="73">
        <f t="shared" si="47"/>
        <v>0.96952908587257614</v>
      </c>
      <c r="I885" s="2"/>
      <c r="J885" s="2">
        <v>14</v>
      </c>
      <c r="K885" s="2"/>
      <c r="L885" s="2">
        <v>8</v>
      </c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F885" s="1"/>
    </row>
    <row r="886" spans="1:58" s="22" customFormat="1" x14ac:dyDescent="0.25">
      <c r="A886" s="5" t="s">
        <v>10</v>
      </c>
      <c r="B886" s="4">
        <v>46193</v>
      </c>
      <c r="C886" s="2">
        <f t="shared" si="45"/>
        <v>25</v>
      </c>
      <c r="D886" s="3">
        <v>556</v>
      </c>
      <c r="E886" s="70">
        <f>[1]DETAY!$A$2</f>
        <v>0</v>
      </c>
      <c r="F886" s="71">
        <f t="shared" si="44"/>
        <v>540</v>
      </c>
      <c r="G886" s="72">
        <f t="shared" si="46"/>
        <v>16</v>
      </c>
      <c r="H886" s="73">
        <f t="shared" si="47"/>
        <v>0.97122302158273377</v>
      </c>
      <c r="I886" s="2"/>
      <c r="J886" s="2"/>
      <c r="K886" s="2"/>
      <c r="L886" s="2"/>
      <c r="M886" s="2">
        <v>13</v>
      </c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>
        <v>3</v>
      </c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F886" s="1"/>
    </row>
    <row r="887" spans="1:58" s="22" customFormat="1" x14ac:dyDescent="0.25">
      <c r="A887" s="5" t="s">
        <v>9</v>
      </c>
      <c r="B887" s="4">
        <v>46193</v>
      </c>
      <c r="C887" s="2">
        <f t="shared" si="45"/>
        <v>25</v>
      </c>
      <c r="D887" s="3">
        <v>525</v>
      </c>
      <c r="E887" s="70">
        <f>[1]DETAY!$A$2</f>
        <v>0</v>
      </c>
      <c r="F887" s="71">
        <f t="shared" si="44"/>
        <v>517</v>
      </c>
      <c r="G887" s="72">
        <f t="shared" si="46"/>
        <v>8</v>
      </c>
      <c r="H887" s="73">
        <f t="shared" si="47"/>
        <v>0.98476190476190473</v>
      </c>
      <c r="I887" s="2"/>
      <c r="J887" s="2"/>
      <c r="K887" s="2"/>
      <c r="L887" s="2"/>
      <c r="M887" s="2">
        <v>8</v>
      </c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F887" s="1"/>
    </row>
    <row r="888" spans="1:58" s="22" customFormat="1" x14ac:dyDescent="0.25">
      <c r="A888" s="5" t="s">
        <v>1</v>
      </c>
      <c r="B888" s="4">
        <v>46193</v>
      </c>
      <c r="C888" s="2">
        <f t="shared" si="45"/>
        <v>25</v>
      </c>
      <c r="D888" s="3">
        <v>282</v>
      </c>
      <c r="E888" s="70">
        <f>[1]DETAY!$A$2</f>
        <v>0</v>
      </c>
      <c r="F888" s="71">
        <f t="shared" si="44"/>
        <v>250</v>
      </c>
      <c r="G888" s="72">
        <f t="shared" si="46"/>
        <v>32</v>
      </c>
      <c r="H888" s="73">
        <f t="shared" si="47"/>
        <v>0.88652482269503541</v>
      </c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>
        <v>32</v>
      </c>
      <c r="AV888" s="2"/>
      <c r="AW888" s="2"/>
      <c r="AX888" s="2"/>
      <c r="AY888" s="2"/>
      <c r="AZ888" s="2"/>
      <c r="BA888" s="2"/>
      <c r="BB888" s="2"/>
      <c r="BC888" s="2"/>
      <c r="BD888" s="2"/>
      <c r="BF888" s="1"/>
    </row>
    <row r="889" spans="1:58" s="22" customFormat="1" x14ac:dyDescent="0.25">
      <c r="A889" s="5" t="s">
        <v>4</v>
      </c>
      <c r="B889" s="4">
        <v>46193</v>
      </c>
      <c r="C889" s="2">
        <f t="shared" si="45"/>
        <v>25</v>
      </c>
      <c r="D889" s="3">
        <f>122+7</f>
        <v>129</v>
      </c>
      <c r="E889" s="70">
        <f>[1]DETAY!$A$2</f>
        <v>0</v>
      </c>
      <c r="F889" s="71">
        <f t="shared" si="44"/>
        <v>122</v>
      </c>
      <c r="G889" s="72">
        <f t="shared" si="46"/>
        <v>7</v>
      </c>
      <c r="H889" s="73">
        <f t="shared" si="47"/>
        <v>0.94573643410852715</v>
      </c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>
        <v>7</v>
      </c>
      <c r="AV889" s="2"/>
      <c r="AW889" s="2"/>
      <c r="AX889" s="2"/>
      <c r="AY889" s="2"/>
      <c r="AZ889" s="2"/>
      <c r="BA889" s="2"/>
      <c r="BB889" s="2"/>
      <c r="BC889" s="2"/>
      <c r="BD889" s="2"/>
      <c r="BF889" s="1"/>
    </row>
    <row r="890" spans="1:58" s="22" customFormat="1" x14ac:dyDescent="0.25">
      <c r="A890" s="5" t="s">
        <v>15</v>
      </c>
      <c r="B890" s="4">
        <v>46193</v>
      </c>
      <c r="C890" s="2">
        <f t="shared" si="45"/>
        <v>25</v>
      </c>
      <c r="D890" s="3">
        <v>220</v>
      </c>
      <c r="E890" s="70">
        <f>[1]DETAY!$A$2</f>
        <v>0</v>
      </c>
      <c r="F890" s="71">
        <f t="shared" si="44"/>
        <v>220</v>
      </c>
      <c r="G890" s="72">
        <f t="shared" si="46"/>
        <v>0</v>
      </c>
      <c r="H890" s="73">
        <f t="shared" si="47"/>
        <v>1</v>
      </c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F890" s="1"/>
    </row>
    <row r="891" spans="1:58" s="22" customFormat="1" x14ac:dyDescent="0.25">
      <c r="A891" s="5" t="s">
        <v>1</v>
      </c>
      <c r="B891" s="4">
        <v>46193</v>
      </c>
      <c r="C891" s="2">
        <f t="shared" si="45"/>
        <v>25</v>
      </c>
      <c r="D891" s="3">
        <f>235+8</f>
        <v>243</v>
      </c>
      <c r="E891" s="70">
        <f>[1]DETAY!$A$2</f>
        <v>0</v>
      </c>
      <c r="F891" s="71">
        <f t="shared" si="44"/>
        <v>235</v>
      </c>
      <c r="G891" s="72">
        <f t="shared" si="46"/>
        <v>8</v>
      </c>
      <c r="H891" s="73">
        <f t="shared" si="47"/>
        <v>0.96707818930041156</v>
      </c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>
        <v>8</v>
      </c>
      <c r="AV891" s="2"/>
      <c r="AW891" s="2"/>
      <c r="AX891" s="2"/>
      <c r="AY891" s="2"/>
      <c r="AZ891" s="2"/>
      <c r="BA891" s="2"/>
      <c r="BB891" s="2"/>
      <c r="BC891" s="2"/>
      <c r="BD891" s="2"/>
      <c r="BF891" s="1"/>
    </row>
    <row r="892" spans="1:58" s="22" customFormat="1" x14ac:dyDescent="0.25">
      <c r="A892" s="5" t="s">
        <v>94</v>
      </c>
      <c r="B892" s="4">
        <v>46193</v>
      </c>
      <c r="C892" s="2">
        <f t="shared" si="45"/>
        <v>25</v>
      </c>
      <c r="D892" s="3">
        <f>-11+3+4+7+25+131</f>
        <v>159</v>
      </c>
      <c r="E892" s="70">
        <f>[1]DETAY!$A$2</f>
        <v>0</v>
      </c>
      <c r="F892" s="71">
        <f t="shared" si="44"/>
        <v>114</v>
      </c>
      <c r="G892" s="72">
        <f t="shared" si="46"/>
        <v>45</v>
      </c>
      <c r="H892" s="73">
        <f t="shared" si="47"/>
        <v>0.71698113207547165</v>
      </c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>
        <v>18</v>
      </c>
      <c r="AZ892" s="2"/>
      <c r="BA892" s="2"/>
      <c r="BB892" s="2">
        <v>21</v>
      </c>
      <c r="BC892" s="2"/>
      <c r="BD892" s="2">
        <v>6</v>
      </c>
      <c r="BF892" s="1"/>
    </row>
    <row r="893" spans="1:58" s="22" customFormat="1" x14ac:dyDescent="0.25">
      <c r="A893" s="5" t="s">
        <v>22</v>
      </c>
      <c r="B893" s="4">
        <v>46193</v>
      </c>
      <c r="C893" s="2">
        <f t="shared" si="45"/>
        <v>25</v>
      </c>
      <c r="D893" s="3">
        <v>1038</v>
      </c>
      <c r="E893" s="70">
        <f>[1]DETAY!$A$2</f>
        <v>0</v>
      </c>
      <c r="F893" s="71">
        <f t="shared" si="44"/>
        <v>1038</v>
      </c>
      <c r="G893" s="72">
        <f t="shared" si="46"/>
        <v>0</v>
      </c>
      <c r="H893" s="73">
        <f t="shared" si="47"/>
        <v>1</v>
      </c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F893" s="1"/>
    </row>
    <row r="894" spans="1:58" s="22" customFormat="1" x14ac:dyDescent="0.25">
      <c r="A894" s="5" t="s">
        <v>20</v>
      </c>
      <c r="B894" s="4">
        <v>46193</v>
      </c>
      <c r="C894" s="2">
        <f t="shared" si="45"/>
        <v>25</v>
      </c>
      <c r="D894" s="3">
        <v>427</v>
      </c>
      <c r="E894" s="70">
        <f>[1]DETAY!$A$2</f>
        <v>0</v>
      </c>
      <c r="F894" s="71">
        <f t="shared" si="44"/>
        <v>415</v>
      </c>
      <c r="G894" s="72">
        <f t="shared" si="46"/>
        <v>12</v>
      </c>
      <c r="H894" s="73">
        <f t="shared" si="47"/>
        <v>0.97189695550351285</v>
      </c>
      <c r="I894" s="2"/>
      <c r="J894" s="2">
        <v>12</v>
      </c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F894" s="1"/>
    </row>
    <row r="895" spans="1:58" s="22" customFormat="1" x14ac:dyDescent="0.25">
      <c r="A895" s="5" t="s">
        <v>18</v>
      </c>
      <c r="B895" s="4">
        <v>46193</v>
      </c>
      <c r="C895" s="2">
        <f t="shared" si="45"/>
        <v>25</v>
      </c>
      <c r="D895" s="3">
        <v>731</v>
      </c>
      <c r="E895" s="70">
        <f>[1]DETAY!$A$2</f>
        <v>0</v>
      </c>
      <c r="F895" s="71">
        <f t="shared" si="44"/>
        <v>715</v>
      </c>
      <c r="G895" s="72">
        <f t="shared" si="46"/>
        <v>16</v>
      </c>
      <c r="H895" s="73">
        <f t="shared" si="47"/>
        <v>0.97811217510259918</v>
      </c>
      <c r="I895" s="2"/>
      <c r="J895" s="2">
        <v>16</v>
      </c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F895" s="1"/>
    </row>
    <row r="896" spans="1:58" s="22" customFormat="1" x14ac:dyDescent="0.25">
      <c r="A896" s="5" t="s">
        <v>16</v>
      </c>
      <c r="B896" s="4">
        <v>46193</v>
      </c>
      <c r="C896" s="2">
        <f t="shared" si="45"/>
        <v>25</v>
      </c>
      <c r="D896" s="3">
        <v>247</v>
      </c>
      <c r="E896" s="70">
        <f>[1]DETAY!$A$2</f>
        <v>0</v>
      </c>
      <c r="F896" s="71">
        <f t="shared" si="44"/>
        <v>245</v>
      </c>
      <c r="G896" s="72">
        <f t="shared" si="46"/>
        <v>2</v>
      </c>
      <c r="H896" s="73">
        <f t="shared" si="47"/>
        <v>0.9919028340080972</v>
      </c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>
        <v>2</v>
      </c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F896" s="1"/>
    </row>
    <row r="897" spans="1:58" s="22" customFormat="1" x14ac:dyDescent="0.25">
      <c r="A897" s="5" t="s">
        <v>11</v>
      </c>
      <c r="B897" s="4">
        <v>46193</v>
      </c>
      <c r="C897" s="2">
        <f t="shared" si="45"/>
        <v>25</v>
      </c>
      <c r="D897" s="3">
        <v>593</v>
      </c>
      <c r="E897" s="70">
        <f>[1]DETAY!$A$2</f>
        <v>0</v>
      </c>
      <c r="F897" s="71">
        <f t="shared" si="44"/>
        <v>579</v>
      </c>
      <c r="G897" s="72">
        <f t="shared" si="46"/>
        <v>14</v>
      </c>
      <c r="H897" s="73">
        <f t="shared" si="47"/>
        <v>0.97639123102866776</v>
      </c>
      <c r="I897" s="2"/>
      <c r="J897" s="2"/>
      <c r="K897" s="2"/>
      <c r="L897" s="2">
        <v>14</v>
      </c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F897" s="1"/>
    </row>
    <row r="898" spans="1:58" s="22" customFormat="1" x14ac:dyDescent="0.25">
      <c r="A898" s="5" t="s">
        <v>10</v>
      </c>
      <c r="B898" s="4">
        <v>46193</v>
      </c>
      <c r="C898" s="2">
        <f t="shared" si="45"/>
        <v>25</v>
      </c>
      <c r="D898" s="3">
        <v>606</v>
      </c>
      <c r="E898" s="70">
        <f>[1]DETAY!$A$2</f>
        <v>0</v>
      </c>
      <c r="F898" s="71">
        <f t="shared" si="44"/>
        <v>600</v>
      </c>
      <c r="G898" s="72">
        <f t="shared" si="46"/>
        <v>6</v>
      </c>
      <c r="H898" s="73">
        <f t="shared" si="47"/>
        <v>0.99009900990099009</v>
      </c>
      <c r="I898" s="2"/>
      <c r="J898" s="2"/>
      <c r="K898" s="2"/>
      <c r="L898" s="2"/>
      <c r="M898" s="2">
        <v>6</v>
      </c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F898" s="1"/>
    </row>
    <row r="899" spans="1:58" s="22" customFormat="1" x14ac:dyDescent="0.25">
      <c r="A899" s="5" t="s">
        <v>9</v>
      </c>
      <c r="B899" s="4">
        <v>46193</v>
      </c>
      <c r="C899" s="2">
        <f t="shared" si="45"/>
        <v>25</v>
      </c>
      <c r="D899" s="3">
        <v>551</v>
      </c>
      <c r="E899" s="70">
        <f>[1]DETAY!$A$2</f>
        <v>0</v>
      </c>
      <c r="F899" s="71">
        <f t="shared" si="44"/>
        <v>540</v>
      </c>
      <c r="G899" s="72">
        <f t="shared" si="46"/>
        <v>11</v>
      </c>
      <c r="H899" s="73">
        <f t="shared" si="47"/>
        <v>0.98003629764065336</v>
      </c>
      <c r="I899" s="2"/>
      <c r="J899" s="2"/>
      <c r="K899" s="2"/>
      <c r="L899" s="2"/>
      <c r="M899" s="2">
        <v>11</v>
      </c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F899" s="1"/>
    </row>
    <row r="900" spans="1:58" s="22" customFormat="1" x14ac:dyDescent="0.25">
      <c r="A900" s="5" t="s">
        <v>8</v>
      </c>
      <c r="B900" s="4">
        <v>46193</v>
      </c>
      <c r="C900" s="2">
        <f t="shared" si="45"/>
        <v>25</v>
      </c>
      <c r="D900" s="3">
        <v>300</v>
      </c>
      <c r="E900" s="70">
        <f>[1]DETAY!$A$2</f>
        <v>0</v>
      </c>
      <c r="F900" s="71">
        <f t="shared" si="44"/>
        <v>297</v>
      </c>
      <c r="G900" s="72">
        <f t="shared" si="46"/>
        <v>3</v>
      </c>
      <c r="H900" s="73">
        <f t="shared" si="47"/>
        <v>0.99</v>
      </c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>
        <v>3</v>
      </c>
      <c r="BF900" s="1"/>
    </row>
    <row r="901" spans="1:58" s="22" customFormat="1" x14ac:dyDescent="0.25">
      <c r="A901" s="5" t="s">
        <v>7</v>
      </c>
      <c r="B901" s="4">
        <v>46193</v>
      </c>
      <c r="C901" s="2">
        <f t="shared" si="45"/>
        <v>25</v>
      </c>
      <c r="D901" s="3">
        <v>194</v>
      </c>
      <c r="E901" s="70">
        <f>[1]DETAY!$A$2</f>
        <v>0</v>
      </c>
      <c r="F901" s="71">
        <f t="shared" si="44"/>
        <v>194</v>
      </c>
      <c r="G901" s="72">
        <f t="shared" si="46"/>
        <v>0</v>
      </c>
      <c r="H901" s="73">
        <f t="shared" si="47"/>
        <v>1</v>
      </c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F901" s="1"/>
    </row>
    <row r="902" spans="1:58" s="22" customFormat="1" x14ac:dyDescent="0.25">
      <c r="A902" s="5" t="s">
        <v>12</v>
      </c>
      <c r="B902" s="4">
        <v>46193</v>
      </c>
      <c r="C902" s="2">
        <f t="shared" si="45"/>
        <v>25</v>
      </c>
      <c r="D902" s="3">
        <v>160</v>
      </c>
      <c r="E902" s="70">
        <f>[1]DETAY!$A$2</f>
        <v>0</v>
      </c>
      <c r="F902" s="71">
        <f t="shared" si="44"/>
        <v>159</v>
      </c>
      <c r="G902" s="72">
        <f t="shared" si="46"/>
        <v>1</v>
      </c>
      <c r="H902" s="73">
        <f t="shared" si="47"/>
        <v>0.99375000000000002</v>
      </c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>
        <v>1</v>
      </c>
      <c r="AZ902" s="2"/>
      <c r="BA902" s="2"/>
      <c r="BB902" s="2"/>
      <c r="BC902" s="2"/>
      <c r="BD902" s="2"/>
      <c r="BF902" s="1"/>
    </row>
    <row r="903" spans="1:58" s="22" customFormat="1" x14ac:dyDescent="0.25">
      <c r="A903" s="5" t="s">
        <v>5</v>
      </c>
      <c r="B903" s="4">
        <v>46193</v>
      </c>
      <c r="C903" s="2">
        <f t="shared" si="45"/>
        <v>25</v>
      </c>
      <c r="D903" s="3">
        <v>154</v>
      </c>
      <c r="E903" s="70">
        <f>[1]DETAY!$A$2</f>
        <v>0</v>
      </c>
      <c r="F903" s="71">
        <f t="shared" si="44"/>
        <v>154</v>
      </c>
      <c r="G903" s="72">
        <f t="shared" si="46"/>
        <v>0</v>
      </c>
      <c r="H903" s="73">
        <f t="shared" si="47"/>
        <v>1</v>
      </c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F903" s="1"/>
    </row>
    <row r="904" spans="1:58" s="22" customFormat="1" x14ac:dyDescent="0.25">
      <c r="A904" s="5" t="s">
        <v>4</v>
      </c>
      <c r="B904" s="4">
        <v>46193</v>
      </c>
      <c r="C904" s="2">
        <f t="shared" si="45"/>
        <v>25</v>
      </c>
      <c r="D904" s="3">
        <v>78</v>
      </c>
      <c r="E904" s="70">
        <f>[1]DETAY!$A$2</f>
        <v>0</v>
      </c>
      <c r="F904" s="71">
        <f t="shared" si="44"/>
        <v>76</v>
      </c>
      <c r="G904" s="72">
        <f t="shared" si="46"/>
        <v>2</v>
      </c>
      <c r="H904" s="73">
        <f t="shared" si="47"/>
        <v>0.97435897435897434</v>
      </c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>
        <v>2</v>
      </c>
      <c r="AZ904" s="2"/>
      <c r="BA904" s="2"/>
      <c r="BB904" s="2"/>
      <c r="BC904" s="2"/>
      <c r="BD904" s="2"/>
      <c r="BF904" s="1"/>
    </row>
    <row r="905" spans="1:58" s="22" customFormat="1" x14ac:dyDescent="0.25">
      <c r="A905" s="5" t="s">
        <v>21</v>
      </c>
      <c r="B905" s="4">
        <v>46193</v>
      </c>
      <c r="C905" s="2">
        <f t="shared" si="45"/>
        <v>25</v>
      </c>
      <c r="D905" s="3">
        <v>684</v>
      </c>
      <c r="E905" s="70">
        <f>[1]DETAY!$A$2</f>
        <v>0</v>
      </c>
      <c r="F905" s="71">
        <f t="shared" si="44"/>
        <v>682</v>
      </c>
      <c r="G905" s="72">
        <f t="shared" si="46"/>
        <v>2</v>
      </c>
      <c r="H905" s="73">
        <f t="shared" si="47"/>
        <v>0.99707602339181289</v>
      </c>
      <c r="I905" s="2"/>
      <c r="J905" s="2"/>
      <c r="K905" s="2"/>
      <c r="L905" s="2">
        <v>2</v>
      </c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F905" s="1"/>
    </row>
    <row r="906" spans="1:58" s="22" customFormat="1" x14ac:dyDescent="0.25">
      <c r="A906" s="5" t="s">
        <v>20</v>
      </c>
      <c r="B906" s="4">
        <v>46193</v>
      </c>
      <c r="C906" s="2">
        <f t="shared" si="45"/>
        <v>25</v>
      </c>
      <c r="D906" s="3">
        <v>716</v>
      </c>
      <c r="E906" s="70">
        <f>[1]DETAY!$A$2</f>
        <v>0</v>
      </c>
      <c r="F906" s="71">
        <f t="shared" si="44"/>
        <v>700</v>
      </c>
      <c r="G906" s="72">
        <f t="shared" si="46"/>
        <v>16</v>
      </c>
      <c r="H906" s="73">
        <f t="shared" si="47"/>
        <v>0.97765363128491622</v>
      </c>
      <c r="I906" s="2"/>
      <c r="J906" s="2">
        <v>16</v>
      </c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F906" s="1"/>
    </row>
    <row r="907" spans="1:58" s="22" customFormat="1" x14ac:dyDescent="0.25">
      <c r="A907" s="5" t="s">
        <v>19</v>
      </c>
      <c r="B907" s="4">
        <v>46193</v>
      </c>
      <c r="C907" s="2">
        <f t="shared" si="45"/>
        <v>25</v>
      </c>
      <c r="D907" s="3">
        <v>728</v>
      </c>
      <c r="E907" s="70">
        <f>[1]DETAY!$A$2</f>
        <v>0</v>
      </c>
      <c r="F907" s="71">
        <f t="shared" si="44"/>
        <v>690</v>
      </c>
      <c r="G907" s="72">
        <f t="shared" si="46"/>
        <v>38</v>
      </c>
      <c r="H907" s="73">
        <f t="shared" si="47"/>
        <v>0.94780219780219777</v>
      </c>
      <c r="I907" s="2"/>
      <c r="J907" s="2">
        <v>38</v>
      </c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F907" s="1"/>
    </row>
    <row r="908" spans="1:58" s="22" customFormat="1" x14ac:dyDescent="0.25">
      <c r="A908" s="5" t="s">
        <v>16</v>
      </c>
      <c r="B908" s="4">
        <v>46193</v>
      </c>
      <c r="C908" s="2">
        <f t="shared" si="45"/>
        <v>25</v>
      </c>
      <c r="D908" s="3">
        <v>2075</v>
      </c>
      <c r="E908" s="70">
        <f>[1]DETAY!$A$2</f>
        <v>0</v>
      </c>
      <c r="F908" s="71">
        <f t="shared" si="44"/>
        <v>1960</v>
      </c>
      <c r="G908" s="72">
        <f t="shared" si="46"/>
        <v>115</v>
      </c>
      <c r="H908" s="73">
        <f t="shared" si="47"/>
        <v>0.944578313253012</v>
      </c>
      <c r="I908" s="2"/>
      <c r="J908" s="2"/>
      <c r="K908" s="2">
        <v>2</v>
      </c>
      <c r="L908" s="2"/>
      <c r="M908" s="2">
        <v>32</v>
      </c>
      <c r="N908" s="2"/>
      <c r="O908" s="2"/>
      <c r="P908" s="2">
        <v>1</v>
      </c>
      <c r="Q908" s="2">
        <v>17</v>
      </c>
      <c r="R908" s="2"/>
      <c r="S908" s="2"/>
      <c r="T908" s="2"/>
      <c r="U908" s="2">
        <v>1</v>
      </c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>
        <v>4</v>
      </c>
      <c r="AI908" s="2"/>
      <c r="AJ908" s="2">
        <v>58</v>
      </c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F908" s="1"/>
    </row>
    <row r="909" spans="1:58" s="22" customFormat="1" x14ac:dyDescent="0.25">
      <c r="A909" s="5" t="s">
        <v>10</v>
      </c>
      <c r="B909" s="4">
        <v>46193</v>
      </c>
      <c r="C909" s="2">
        <f t="shared" si="45"/>
        <v>25</v>
      </c>
      <c r="D909" s="3">
        <v>488</v>
      </c>
      <c r="E909" s="70">
        <f>[1]DETAY!$A$2</f>
        <v>0</v>
      </c>
      <c r="F909" s="71">
        <f t="shared" si="44"/>
        <v>480</v>
      </c>
      <c r="G909" s="72">
        <f t="shared" si="46"/>
        <v>8</v>
      </c>
      <c r="H909" s="73">
        <f t="shared" si="47"/>
        <v>0.98360655737704916</v>
      </c>
      <c r="I909" s="2"/>
      <c r="J909" s="2"/>
      <c r="K909" s="2"/>
      <c r="L909" s="2"/>
      <c r="M909" s="2">
        <v>8</v>
      </c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F909" s="1"/>
    </row>
    <row r="910" spans="1:58" s="22" customFormat="1" x14ac:dyDescent="0.25">
      <c r="A910" s="5" t="s">
        <v>9</v>
      </c>
      <c r="B910" s="4">
        <v>46193</v>
      </c>
      <c r="C910" s="2">
        <f t="shared" si="45"/>
        <v>25</v>
      </c>
      <c r="D910" s="3">
        <v>305</v>
      </c>
      <c r="E910" s="70">
        <f>[1]DETAY!$A$2</f>
        <v>0</v>
      </c>
      <c r="F910" s="71">
        <f t="shared" si="44"/>
        <v>300</v>
      </c>
      <c r="G910" s="72">
        <f t="shared" si="46"/>
        <v>5</v>
      </c>
      <c r="H910" s="73">
        <f t="shared" si="47"/>
        <v>0.98360655737704916</v>
      </c>
      <c r="I910" s="2"/>
      <c r="J910" s="2"/>
      <c r="K910" s="2"/>
      <c r="L910" s="2"/>
      <c r="M910" s="2">
        <v>5</v>
      </c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F910" s="1"/>
    </row>
    <row r="911" spans="1:58" s="22" customFormat="1" x14ac:dyDescent="0.25">
      <c r="A911" s="5" t="s">
        <v>8</v>
      </c>
      <c r="B911" s="4">
        <v>46194</v>
      </c>
      <c r="C911" s="2">
        <f t="shared" si="45"/>
        <v>26</v>
      </c>
      <c r="D911" s="3">
        <v>277</v>
      </c>
      <c r="E911" s="70">
        <f>[1]DETAY!$A$2</f>
        <v>0</v>
      </c>
      <c r="F911" s="71">
        <f t="shared" si="44"/>
        <v>277</v>
      </c>
      <c r="G911" s="72">
        <f t="shared" si="46"/>
        <v>0</v>
      </c>
      <c r="H911" s="73">
        <f t="shared" si="47"/>
        <v>1</v>
      </c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F911" s="1"/>
    </row>
    <row r="912" spans="1:58" s="22" customFormat="1" x14ac:dyDescent="0.25">
      <c r="A912" s="5" t="s">
        <v>15</v>
      </c>
      <c r="B912" s="4">
        <v>46194</v>
      </c>
      <c r="C912" s="2">
        <f t="shared" si="45"/>
        <v>26</v>
      </c>
      <c r="D912" s="3">
        <v>440</v>
      </c>
      <c r="E912" s="70">
        <f>[1]DETAY!$A$2</f>
        <v>0</v>
      </c>
      <c r="F912" s="71">
        <f t="shared" si="44"/>
        <v>440</v>
      </c>
      <c r="G912" s="72">
        <f t="shared" si="46"/>
        <v>0</v>
      </c>
      <c r="H912" s="73">
        <f t="shared" si="47"/>
        <v>1</v>
      </c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F912" s="1"/>
    </row>
    <row r="913" spans="1:58" s="22" customFormat="1" x14ac:dyDescent="0.25">
      <c r="A913" s="5" t="s">
        <v>13</v>
      </c>
      <c r="B913" s="4">
        <v>46194</v>
      </c>
      <c r="C913" s="2">
        <f t="shared" si="45"/>
        <v>26</v>
      </c>
      <c r="D913" s="3">
        <v>240</v>
      </c>
      <c r="E913" s="70">
        <f>[1]DETAY!$A$2</f>
        <v>0</v>
      </c>
      <c r="F913" s="71">
        <f t="shared" si="44"/>
        <v>240</v>
      </c>
      <c r="G913" s="72">
        <f t="shared" si="46"/>
        <v>0</v>
      </c>
      <c r="H913" s="73">
        <f t="shared" si="47"/>
        <v>1</v>
      </c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F913" s="1"/>
    </row>
    <row r="914" spans="1:58" s="22" customFormat="1" x14ac:dyDescent="0.25">
      <c r="A914" s="5" t="s">
        <v>5</v>
      </c>
      <c r="B914" s="4">
        <v>46194</v>
      </c>
      <c r="C914" s="2">
        <f t="shared" si="45"/>
        <v>26</v>
      </c>
      <c r="D914" s="3">
        <v>58</v>
      </c>
      <c r="E914" s="70">
        <f>[1]DETAY!$A$2</f>
        <v>0</v>
      </c>
      <c r="F914" s="71">
        <f t="shared" ref="F914:F977" si="48">D914-G914</f>
        <v>58</v>
      </c>
      <c r="G914" s="72">
        <f t="shared" si="46"/>
        <v>0</v>
      </c>
      <c r="H914" s="73">
        <f t="shared" si="47"/>
        <v>1</v>
      </c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F914" s="1"/>
    </row>
    <row r="915" spans="1:58" s="22" customFormat="1" x14ac:dyDescent="0.25">
      <c r="A915" s="5" t="s">
        <v>4</v>
      </c>
      <c r="B915" s="4">
        <v>46194</v>
      </c>
      <c r="C915" s="2">
        <f t="shared" si="45"/>
        <v>26</v>
      </c>
      <c r="D915" s="3">
        <v>231</v>
      </c>
      <c r="E915" s="70">
        <f>[1]DETAY!$A$2</f>
        <v>0</v>
      </c>
      <c r="F915" s="71">
        <f t="shared" si="48"/>
        <v>231</v>
      </c>
      <c r="G915" s="72">
        <f t="shared" si="46"/>
        <v>0</v>
      </c>
      <c r="H915" s="73">
        <f t="shared" si="47"/>
        <v>1</v>
      </c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F915" s="1"/>
    </row>
    <row r="916" spans="1:58" s="22" customFormat="1" x14ac:dyDescent="0.25">
      <c r="A916" s="5" t="s">
        <v>6</v>
      </c>
      <c r="B916" s="4">
        <v>46194</v>
      </c>
      <c r="C916" s="2">
        <f t="shared" si="45"/>
        <v>26</v>
      </c>
      <c r="D916" s="3">
        <v>154</v>
      </c>
      <c r="E916" s="70">
        <f>[1]DETAY!$A$2</f>
        <v>0</v>
      </c>
      <c r="F916" s="71">
        <f t="shared" si="48"/>
        <v>154</v>
      </c>
      <c r="G916" s="72">
        <f t="shared" si="46"/>
        <v>0</v>
      </c>
      <c r="H916" s="73">
        <f t="shared" si="47"/>
        <v>1</v>
      </c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F916" s="1"/>
    </row>
    <row r="917" spans="1:58" s="22" customFormat="1" x14ac:dyDescent="0.25">
      <c r="A917" s="5" t="s">
        <v>83</v>
      </c>
      <c r="B917" s="4">
        <v>46194</v>
      </c>
      <c r="C917" s="2">
        <f t="shared" si="45"/>
        <v>26</v>
      </c>
      <c r="D917" s="3">
        <v>145</v>
      </c>
      <c r="E917" s="70">
        <f>[1]DETAY!$A$2</f>
        <v>0</v>
      </c>
      <c r="F917" s="71">
        <f t="shared" si="48"/>
        <v>100</v>
      </c>
      <c r="G917" s="72">
        <f t="shared" si="46"/>
        <v>45</v>
      </c>
      <c r="H917" s="73">
        <f t="shared" si="47"/>
        <v>0.68965517241379315</v>
      </c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>
        <v>45</v>
      </c>
      <c r="AV917" s="2"/>
      <c r="AW917" s="2"/>
      <c r="AX917" s="2"/>
      <c r="AY917" s="2"/>
      <c r="AZ917" s="2"/>
      <c r="BA917" s="2"/>
      <c r="BB917" s="2"/>
      <c r="BC917" s="2"/>
      <c r="BD917" s="2"/>
      <c r="BF917" s="1"/>
    </row>
    <row r="918" spans="1:58" s="22" customFormat="1" x14ac:dyDescent="0.25">
      <c r="A918" s="5" t="s">
        <v>21</v>
      </c>
      <c r="B918" s="4">
        <v>46194</v>
      </c>
      <c r="C918" s="2">
        <f t="shared" si="45"/>
        <v>26</v>
      </c>
      <c r="D918" s="3">
        <v>305</v>
      </c>
      <c r="E918" s="70">
        <f>[1]DETAY!$A$2</f>
        <v>0</v>
      </c>
      <c r="F918" s="71">
        <f t="shared" si="48"/>
        <v>300</v>
      </c>
      <c r="G918" s="72">
        <f t="shared" si="46"/>
        <v>5</v>
      </c>
      <c r="H918" s="73">
        <f t="shared" si="47"/>
        <v>0.98360655737704916</v>
      </c>
      <c r="I918" s="2"/>
      <c r="J918" s="2"/>
      <c r="K918" s="2"/>
      <c r="L918" s="2">
        <v>5</v>
      </c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F918" s="1"/>
    </row>
    <row r="919" spans="1:58" s="22" customFormat="1" x14ac:dyDescent="0.25">
      <c r="A919" s="5" t="s">
        <v>20</v>
      </c>
      <c r="B919" s="4">
        <v>46194</v>
      </c>
      <c r="C919" s="2">
        <f t="shared" si="45"/>
        <v>26</v>
      </c>
      <c r="D919" s="3">
        <v>175</v>
      </c>
      <c r="E919" s="70">
        <f>[1]DETAY!$A$2</f>
        <v>0</v>
      </c>
      <c r="F919" s="71">
        <f t="shared" si="48"/>
        <v>175</v>
      </c>
      <c r="G919" s="72">
        <f t="shared" si="46"/>
        <v>0</v>
      </c>
      <c r="H919" s="73">
        <f t="shared" si="47"/>
        <v>1</v>
      </c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F919" s="1"/>
    </row>
    <row r="920" spans="1:58" s="22" customFormat="1" x14ac:dyDescent="0.25">
      <c r="A920" s="5" t="s">
        <v>19</v>
      </c>
      <c r="B920" s="4">
        <v>46194</v>
      </c>
      <c r="C920" s="2">
        <f t="shared" si="45"/>
        <v>26</v>
      </c>
      <c r="D920" s="3">
        <v>360</v>
      </c>
      <c r="E920" s="70">
        <f>[1]DETAY!$A$2</f>
        <v>0</v>
      </c>
      <c r="F920" s="71">
        <f t="shared" si="48"/>
        <v>350</v>
      </c>
      <c r="G920" s="72">
        <f t="shared" si="46"/>
        <v>10</v>
      </c>
      <c r="H920" s="73">
        <f t="shared" si="47"/>
        <v>0.97222222222222221</v>
      </c>
      <c r="I920" s="2"/>
      <c r="J920" s="2">
        <v>10</v>
      </c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F920" s="1"/>
    </row>
    <row r="921" spans="1:58" s="22" customFormat="1" x14ac:dyDescent="0.25">
      <c r="A921" s="5" t="s">
        <v>10</v>
      </c>
      <c r="B921" s="4">
        <v>46194</v>
      </c>
      <c r="C921" s="2">
        <f t="shared" si="45"/>
        <v>26</v>
      </c>
      <c r="D921" s="3">
        <v>560</v>
      </c>
      <c r="E921" s="70">
        <f>[1]DETAY!$A$2</f>
        <v>0</v>
      </c>
      <c r="F921" s="71">
        <f t="shared" si="48"/>
        <v>540</v>
      </c>
      <c r="G921" s="72">
        <f t="shared" si="46"/>
        <v>20</v>
      </c>
      <c r="H921" s="73">
        <f t="shared" si="47"/>
        <v>0.9642857142857143</v>
      </c>
      <c r="I921" s="2"/>
      <c r="J921" s="2"/>
      <c r="K921" s="2"/>
      <c r="L921" s="2"/>
      <c r="M921" s="2">
        <v>20</v>
      </c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F921" s="1"/>
    </row>
    <row r="922" spans="1:58" s="22" customFormat="1" x14ac:dyDescent="0.25">
      <c r="A922" s="5" t="s">
        <v>9</v>
      </c>
      <c r="B922" s="4">
        <v>46194</v>
      </c>
      <c r="C922" s="2">
        <f t="shared" si="45"/>
        <v>26</v>
      </c>
      <c r="D922" s="3">
        <v>375</v>
      </c>
      <c r="E922" s="70">
        <f>[1]DETAY!$A$2</f>
        <v>0</v>
      </c>
      <c r="F922" s="71">
        <f t="shared" si="48"/>
        <v>360</v>
      </c>
      <c r="G922" s="72">
        <f t="shared" si="46"/>
        <v>15</v>
      </c>
      <c r="H922" s="73">
        <f t="shared" si="47"/>
        <v>0.96</v>
      </c>
      <c r="I922" s="2"/>
      <c r="J922" s="2"/>
      <c r="K922" s="2"/>
      <c r="L922" s="2"/>
      <c r="M922" s="2">
        <v>15</v>
      </c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F922" s="1"/>
    </row>
    <row r="923" spans="1:58" s="22" customFormat="1" x14ac:dyDescent="0.25">
      <c r="A923" s="5" t="s">
        <v>8</v>
      </c>
      <c r="B923" s="4">
        <v>46194</v>
      </c>
      <c r="C923" s="2">
        <f t="shared" si="45"/>
        <v>26</v>
      </c>
      <c r="D923" s="3">
        <v>441</v>
      </c>
      <c r="E923" s="70">
        <f>[1]DETAY!$A$2</f>
        <v>0</v>
      </c>
      <c r="F923" s="71">
        <f t="shared" si="48"/>
        <v>441</v>
      </c>
      <c r="G923" s="72">
        <f t="shared" si="46"/>
        <v>0</v>
      </c>
      <c r="H923" s="73">
        <f t="shared" si="47"/>
        <v>1</v>
      </c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F923" s="1"/>
    </row>
    <row r="924" spans="1:58" s="22" customFormat="1" x14ac:dyDescent="0.25">
      <c r="A924" s="5" t="s">
        <v>15</v>
      </c>
      <c r="B924" s="4">
        <v>46194</v>
      </c>
      <c r="C924" s="2">
        <f t="shared" si="45"/>
        <v>26</v>
      </c>
      <c r="D924" s="3">
        <v>220</v>
      </c>
      <c r="E924" s="70">
        <f>[1]DETAY!$A$2</f>
        <v>0</v>
      </c>
      <c r="F924" s="71">
        <f t="shared" si="48"/>
        <v>220</v>
      </c>
      <c r="G924" s="72">
        <f t="shared" si="46"/>
        <v>0</v>
      </c>
      <c r="H924" s="73">
        <f t="shared" si="47"/>
        <v>1</v>
      </c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F924" s="1"/>
    </row>
    <row r="925" spans="1:58" s="22" customFormat="1" x14ac:dyDescent="0.25">
      <c r="A925" s="5" t="s">
        <v>14</v>
      </c>
      <c r="B925" s="4">
        <v>46194</v>
      </c>
      <c r="C925" s="2">
        <f t="shared" si="45"/>
        <v>26</v>
      </c>
      <c r="D925" s="3">
        <v>1760</v>
      </c>
      <c r="E925" s="70">
        <f>[1]DETAY!$A$2</f>
        <v>0</v>
      </c>
      <c r="F925" s="71">
        <f t="shared" si="48"/>
        <v>1760</v>
      </c>
      <c r="G925" s="72">
        <f t="shared" si="46"/>
        <v>0</v>
      </c>
      <c r="H925" s="73">
        <f t="shared" si="47"/>
        <v>1</v>
      </c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F925" s="1"/>
    </row>
    <row r="926" spans="1:58" s="22" customFormat="1" x14ac:dyDescent="0.25">
      <c r="A926" s="5" t="s">
        <v>7</v>
      </c>
      <c r="B926" s="4">
        <v>46194</v>
      </c>
      <c r="C926" s="2">
        <f t="shared" si="45"/>
        <v>26</v>
      </c>
      <c r="D926" s="3">
        <v>576</v>
      </c>
      <c r="E926" s="70">
        <f>[1]DETAY!$A$2</f>
        <v>0</v>
      </c>
      <c r="F926" s="71">
        <f t="shared" si="48"/>
        <v>576</v>
      </c>
      <c r="G926" s="72">
        <f t="shared" si="46"/>
        <v>0</v>
      </c>
      <c r="H926" s="73">
        <f t="shared" si="47"/>
        <v>1</v>
      </c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F926" s="1"/>
    </row>
    <row r="927" spans="1:58" s="22" customFormat="1" x14ac:dyDescent="0.25">
      <c r="A927" s="5" t="s">
        <v>13</v>
      </c>
      <c r="B927" s="4">
        <v>46194</v>
      </c>
      <c r="C927" s="2">
        <f t="shared" si="45"/>
        <v>26</v>
      </c>
      <c r="D927" s="3">
        <v>120</v>
      </c>
      <c r="E927" s="70">
        <f>[1]DETAY!$A$2</f>
        <v>0</v>
      </c>
      <c r="F927" s="71">
        <f t="shared" si="48"/>
        <v>120</v>
      </c>
      <c r="G927" s="72">
        <f t="shared" si="46"/>
        <v>0</v>
      </c>
      <c r="H927" s="73">
        <f t="shared" si="47"/>
        <v>1</v>
      </c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F927" s="1"/>
    </row>
    <row r="928" spans="1:58" s="22" customFormat="1" x14ac:dyDescent="0.25">
      <c r="A928" s="5" t="s">
        <v>12</v>
      </c>
      <c r="B928" s="4">
        <v>46194</v>
      </c>
      <c r="C928" s="2">
        <f t="shared" si="45"/>
        <v>26</v>
      </c>
      <c r="D928" s="3">
        <v>804</v>
      </c>
      <c r="E928" s="70">
        <f>[1]DETAY!$A$2</f>
        <v>0</v>
      </c>
      <c r="F928" s="71">
        <f t="shared" si="48"/>
        <v>800</v>
      </c>
      <c r="G928" s="72">
        <f t="shared" si="46"/>
        <v>4</v>
      </c>
      <c r="H928" s="73">
        <f t="shared" si="47"/>
        <v>0.99502487562189057</v>
      </c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>
        <v>3</v>
      </c>
      <c r="AB928" s="2"/>
      <c r="AC928" s="2"/>
      <c r="AD928" s="2"/>
      <c r="AE928" s="2"/>
      <c r="AF928" s="2"/>
      <c r="AG928" s="2"/>
      <c r="AH928" s="2"/>
      <c r="AI928" s="2"/>
      <c r="AJ928" s="2"/>
      <c r="AK928" s="2">
        <v>1</v>
      </c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F928" s="1"/>
    </row>
    <row r="929" spans="1:58" s="22" customFormat="1" x14ac:dyDescent="0.25">
      <c r="A929" s="5" t="s">
        <v>4</v>
      </c>
      <c r="B929" s="4">
        <v>46194</v>
      </c>
      <c r="C929" s="2">
        <f t="shared" si="45"/>
        <v>26</v>
      </c>
      <c r="D929" s="3">
        <v>308</v>
      </c>
      <c r="E929" s="70">
        <f>[1]DETAY!$A$2</f>
        <v>0</v>
      </c>
      <c r="F929" s="71">
        <f t="shared" si="48"/>
        <v>308</v>
      </c>
      <c r="G929" s="72">
        <f t="shared" si="46"/>
        <v>0</v>
      </c>
      <c r="H929" s="73">
        <f t="shared" si="47"/>
        <v>1</v>
      </c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F929" s="1"/>
    </row>
    <row r="930" spans="1:58" s="22" customFormat="1" x14ac:dyDescent="0.25">
      <c r="A930" s="5" t="s">
        <v>10</v>
      </c>
      <c r="B930" s="4">
        <v>46194</v>
      </c>
      <c r="C930" s="2">
        <f t="shared" si="45"/>
        <v>26</v>
      </c>
      <c r="D930" s="3">
        <v>438</v>
      </c>
      <c r="E930" s="70">
        <f>[1]DETAY!$A$2</f>
        <v>0</v>
      </c>
      <c r="F930" s="71">
        <f t="shared" si="48"/>
        <v>420</v>
      </c>
      <c r="G930" s="72">
        <f t="shared" si="46"/>
        <v>18</v>
      </c>
      <c r="H930" s="73">
        <f t="shared" si="47"/>
        <v>0.95890410958904104</v>
      </c>
      <c r="I930" s="2"/>
      <c r="J930" s="2"/>
      <c r="K930" s="2"/>
      <c r="L930" s="2"/>
      <c r="M930" s="2">
        <v>16</v>
      </c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>
        <v>2</v>
      </c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F930" s="1"/>
    </row>
    <row r="931" spans="1:58" s="22" customFormat="1" x14ac:dyDescent="0.25">
      <c r="A931" s="5" t="s">
        <v>9</v>
      </c>
      <c r="B931" s="4">
        <v>46194</v>
      </c>
      <c r="C931" s="2">
        <f t="shared" si="45"/>
        <v>26</v>
      </c>
      <c r="D931" s="3">
        <v>174</v>
      </c>
      <c r="E931" s="70">
        <f>[1]DETAY!$A$2</f>
        <v>0</v>
      </c>
      <c r="F931" s="71">
        <f t="shared" si="48"/>
        <v>170</v>
      </c>
      <c r="G931" s="72">
        <f t="shared" si="46"/>
        <v>4</v>
      </c>
      <c r="H931" s="73">
        <f t="shared" si="47"/>
        <v>0.97701149425287359</v>
      </c>
      <c r="I931" s="2"/>
      <c r="J931" s="2"/>
      <c r="K931" s="2"/>
      <c r="L931" s="2"/>
      <c r="M931" s="2">
        <v>4</v>
      </c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F931" s="1"/>
    </row>
    <row r="932" spans="1:58" s="22" customFormat="1" x14ac:dyDescent="0.25">
      <c r="A932" s="5" t="s">
        <v>15</v>
      </c>
      <c r="B932" s="4">
        <v>46194</v>
      </c>
      <c r="C932" s="2">
        <f t="shared" si="45"/>
        <v>26</v>
      </c>
      <c r="D932" s="3">
        <v>220</v>
      </c>
      <c r="E932" s="70">
        <f>[1]DETAY!$A$2</f>
        <v>0</v>
      </c>
      <c r="F932" s="71">
        <f t="shared" si="48"/>
        <v>220</v>
      </c>
      <c r="G932" s="72">
        <f t="shared" si="46"/>
        <v>0</v>
      </c>
      <c r="H932" s="73">
        <f t="shared" si="47"/>
        <v>1</v>
      </c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F932" s="1"/>
    </row>
    <row r="933" spans="1:58" s="22" customFormat="1" x14ac:dyDescent="0.25">
      <c r="A933" s="5" t="s">
        <v>7</v>
      </c>
      <c r="B933" s="4">
        <v>46194</v>
      </c>
      <c r="C933" s="2">
        <f t="shared" si="45"/>
        <v>26</v>
      </c>
      <c r="D933" s="3">
        <v>128</v>
      </c>
      <c r="E933" s="70">
        <f>[1]DETAY!$A$2</f>
        <v>0</v>
      </c>
      <c r="F933" s="71">
        <f t="shared" si="48"/>
        <v>128</v>
      </c>
      <c r="G933" s="72">
        <f t="shared" si="46"/>
        <v>0</v>
      </c>
      <c r="H933" s="73">
        <f t="shared" si="47"/>
        <v>1</v>
      </c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F933" s="1"/>
    </row>
    <row r="934" spans="1:58" s="22" customFormat="1" x14ac:dyDescent="0.25">
      <c r="A934" s="5" t="s">
        <v>13</v>
      </c>
      <c r="B934" s="4">
        <v>46194</v>
      </c>
      <c r="C934" s="2">
        <f t="shared" si="45"/>
        <v>26</v>
      </c>
      <c r="D934" s="3">
        <v>120</v>
      </c>
      <c r="E934" s="70">
        <f>[1]DETAY!$A$2</f>
        <v>0</v>
      </c>
      <c r="F934" s="71">
        <f t="shared" si="48"/>
        <v>120</v>
      </c>
      <c r="G934" s="72">
        <f t="shared" si="46"/>
        <v>0</v>
      </c>
      <c r="H934" s="73">
        <f t="shared" si="47"/>
        <v>1</v>
      </c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F934" s="1"/>
    </row>
    <row r="935" spans="1:58" s="22" customFormat="1" x14ac:dyDescent="0.25">
      <c r="A935" s="5" t="s">
        <v>4</v>
      </c>
      <c r="B935" s="4">
        <v>46194</v>
      </c>
      <c r="C935" s="2">
        <f t="shared" si="45"/>
        <v>26</v>
      </c>
      <c r="D935" s="3">
        <v>231</v>
      </c>
      <c r="E935" s="70">
        <f>[1]DETAY!$A$2</f>
        <v>0</v>
      </c>
      <c r="F935" s="71">
        <f t="shared" si="48"/>
        <v>231</v>
      </c>
      <c r="G935" s="72">
        <f t="shared" si="46"/>
        <v>0</v>
      </c>
      <c r="H935" s="73">
        <f t="shared" si="47"/>
        <v>1</v>
      </c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F935" s="1"/>
    </row>
    <row r="936" spans="1:58" s="22" customFormat="1" x14ac:dyDescent="0.25">
      <c r="A936" s="5" t="s">
        <v>22</v>
      </c>
      <c r="B936" s="4">
        <v>46194</v>
      </c>
      <c r="C936" s="2">
        <f t="shared" si="45"/>
        <v>26</v>
      </c>
      <c r="D936" s="3">
        <v>455</v>
      </c>
      <c r="E936" s="70">
        <f>[1]DETAY!$A$2</f>
        <v>0</v>
      </c>
      <c r="F936" s="71">
        <f t="shared" si="48"/>
        <v>455</v>
      </c>
      <c r="G936" s="72">
        <f t="shared" si="46"/>
        <v>0</v>
      </c>
      <c r="H936" s="73">
        <f t="shared" si="47"/>
        <v>1</v>
      </c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F936" s="1"/>
    </row>
    <row r="937" spans="1:58" s="22" customFormat="1" x14ac:dyDescent="0.25">
      <c r="A937" s="5" t="s">
        <v>19</v>
      </c>
      <c r="B937" s="4">
        <v>46194</v>
      </c>
      <c r="C937" s="2">
        <f t="shared" si="45"/>
        <v>26</v>
      </c>
      <c r="D937" s="3">
        <v>302</v>
      </c>
      <c r="E937" s="70">
        <f>[1]DETAY!$A$2</f>
        <v>0</v>
      </c>
      <c r="F937" s="71">
        <f t="shared" si="48"/>
        <v>284</v>
      </c>
      <c r="G937" s="72">
        <f t="shared" si="46"/>
        <v>18</v>
      </c>
      <c r="H937" s="73">
        <f t="shared" si="47"/>
        <v>0.94039735099337751</v>
      </c>
      <c r="I937" s="2"/>
      <c r="J937" s="2">
        <v>18</v>
      </c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F937" s="1"/>
    </row>
    <row r="938" spans="1:58" s="22" customFormat="1" x14ac:dyDescent="0.25">
      <c r="A938" s="5" t="s">
        <v>8</v>
      </c>
      <c r="B938" s="4">
        <v>46195</v>
      </c>
      <c r="C938" s="2">
        <f t="shared" si="45"/>
        <v>26</v>
      </c>
      <c r="D938" s="3">
        <v>50</v>
      </c>
      <c r="E938" s="70">
        <f>[1]DETAY!$A$2</f>
        <v>0</v>
      </c>
      <c r="F938" s="71">
        <f t="shared" si="48"/>
        <v>50</v>
      </c>
      <c r="G938" s="72">
        <f t="shared" si="46"/>
        <v>0</v>
      </c>
      <c r="H938" s="73">
        <f t="shared" si="47"/>
        <v>1</v>
      </c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F938" s="1"/>
    </row>
    <row r="939" spans="1:58" s="22" customFormat="1" x14ac:dyDescent="0.25">
      <c r="A939" s="5" t="s">
        <v>7</v>
      </c>
      <c r="B939" s="4">
        <v>46195</v>
      </c>
      <c r="C939" s="2">
        <f t="shared" si="45"/>
        <v>26</v>
      </c>
      <c r="D939" s="3">
        <v>64</v>
      </c>
      <c r="E939" s="70">
        <f>[1]DETAY!$A$2</f>
        <v>0</v>
      </c>
      <c r="F939" s="71">
        <f t="shared" si="48"/>
        <v>64</v>
      </c>
      <c r="G939" s="72">
        <f t="shared" si="46"/>
        <v>0</v>
      </c>
      <c r="H939" s="73">
        <f t="shared" si="47"/>
        <v>1</v>
      </c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F939" s="1"/>
    </row>
    <row r="940" spans="1:58" s="22" customFormat="1" x14ac:dyDescent="0.25">
      <c r="A940" s="5" t="s">
        <v>13</v>
      </c>
      <c r="B940" s="4">
        <v>46195</v>
      </c>
      <c r="C940" s="2">
        <f t="shared" si="45"/>
        <v>26</v>
      </c>
      <c r="D940" s="3">
        <v>120</v>
      </c>
      <c r="E940" s="70">
        <f>[1]DETAY!$A$2</f>
        <v>0</v>
      </c>
      <c r="F940" s="71">
        <f t="shared" si="48"/>
        <v>120</v>
      </c>
      <c r="G940" s="72">
        <f t="shared" si="46"/>
        <v>0</v>
      </c>
      <c r="H940" s="73">
        <f t="shared" si="47"/>
        <v>1</v>
      </c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F940" s="1"/>
    </row>
    <row r="941" spans="1:58" s="22" customFormat="1" x14ac:dyDescent="0.25">
      <c r="A941" s="5" t="s">
        <v>12</v>
      </c>
      <c r="B941" s="4">
        <v>46195</v>
      </c>
      <c r="C941" s="2">
        <f t="shared" ref="C941:C1004" si="49">WEEKNUM(B941)</f>
        <v>26</v>
      </c>
      <c r="D941" s="3">
        <v>800</v>
      </c>
      <c r="E941" s="70">
        <f>[1]DETAY!$A$2</f>
        <v>0</v>
      </c>
      <c r="F941" s="71">
        <f t="shared" si="48"/>
        <v>800</v>
      </c>
      <c r="G941" s="72">
        <f t="shared" ref="G941:G1004" si="50">SUBTOTAL(9,I941:BD941)</f>
        <v>0</v>
      </c>
      <c r="H941" s="73">
        <f t="shared" ref="H941:H1004" si="51">F941/D941</f>
        <v>1</v>
      </c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F941" s="1"/>
    </row>
    <row r="942" spans="1:58" s="22" customFormat="1" x14ac:dyDescent="0.25">
      <c r="A942" s="5" t="s">
        <v>4</v>
      </c>
      <c r="B942" s="4">
        <v>46195</v>
      </c>
      <c r="C942" s="2">
        <f t="shared" si="49"/>
        <v>26</v>
      </c>
      <c r="D942" s="3">
        <v>288</v>
      </c>
      <c r="E942" s="70">
        <f>[1]DETAY!$A$2</f>
        <v>0</v>
      </c>
      <c r="F942" s="71">
        <f t="shared" si="48"/>
        <v>288</v>
      </c>
      <c r="G942" s="72">
        <f t="shared" si="50"/>
        <v>0</v>
      </c>
      <c r="H942" s="73">
        <f t="shared" si="51"/>
        <v>1</v>
      </c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F942" s="1"/>
    </row>
    <row r="943" spans="1:58" s="22" customFormat="1" x14ac:dyDescent="0.25">
      <c r="A943" s="5" t="s">
        <v>21</v>
      </c>
      <c r="B943" s="4">
        <v>46195</v>
      </c>
      <c r="C943" s="2">
        <f t="shared" si="49"/>
        <v>26</v>
      </c>
      <c r="D943" s="3">
        <v>606</v>
      </c>
      <c r="E943" s="70">
        <f>[1]DETAY!$A$2</f>
        <v>0</v>
      </c>
      <c r="F943" s="71">
        <f t="shared" si="48"/>
        <v>600</v>
      </c>
      <c r="G943" s="72">
        <f t="shared" si="50"/>
        <v>6</v>
      </c>
      <c r="H943" s="73">
        <f t="shared" si="51"/>
        <v>0.99009900990099009</v>
      </c>
      <c r="I943" s="2"/>
      <c r="J943" s="2"/>
      <c r="K943" s="2"/>
      <c r="L943" s="2">
        <v>6</v>
      </c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F943" s="1"/>
    </row>
    <row r="944" spans="1:58" s="22" customFormat="1" x14ac:dyDescent="0.25">
      <c r="A944" s="5" t="s">
        <v>19</v>
      </c>
      <c r="B944" s="4">
        <v>46195</v>
      </c>
      <c r="C944" s="2">
        <f t="shared" si="49"/>
        <v>26</v>
      </c>
      <c r="D944" s="3">
        <v>1674</v>
      </c>
      <c r="E944" s="70">
        <f>[1]DETAY!$A$2</f>
        <v>0</v>
      </c>
      <c r="F944" s="71">
        <f t="shared" si="48"/>
        <v>1578</v>
      </c>
      <c r="G944" s="72">
        <f t="shared" si="50"/>
        <v>96</v>
      </c>
      <c r="H944" s="73">
        <f t="shared" si="51"/>
        <v>0.94265232974910396</v>
      </c>
      <c r="I944" s="2"/>
      <c r="J944" s="2">
        <v>96</v>
      </c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F944" s="1"/>
    </row>
    <row r="945" spans="1:58" s="22" customFormat="1" x14ac:dyDescent="0.25">
      <c r="A945" s="5" t="s">
        <v>18</v>
      </c>
      <c r="B945" s="4">
        <v>46195</v>
      </c>
      <c r="C945" s="2">
        <f t="shared" si="49"/>
        <v>26</v>
      </c>
      <c r="D945" s="3">
        <v>1791</v>
      </c>
      <c r="E945" s="70">
        <f>[1]DETAY!$A$2</f>
        <v>0</v>
      </c>
      <c r="F945" s="71">
        <f t="shared" si="48"/>
        <v>1750</v>
      </c>
      <c r="G945" s="72">
        <f t="shared" si="50"/>
        <v>41</v>
      </c>
      <c r="H945" s="73">
        <f t="shared" si="51"/>
        <v>0.97710776102735897</v>
      </c>
      <c r="I945" s="2"/>
      <c r="J945" s="2">
        <v>39</v>
      </c>
      <c r="K945" s="2"/>
      <c r="L945" s="2">
        <v>1</v>
      </c>
      <c r="M945" s="2">
        <v>1</v>
      </c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F945" s="1"/>
    </row>
    <row r="946" spans="1:58" s="22" customFormat="1" x14ac:dyDescent="0.25">
      <c r="A946" s="5" t="s">
        <v>10</v>
      </c>
      <c r="B946" s="4">
        <v>46195</v>
      </c>
      <c r="C946" s="2">
        <f t="shared" si="49"/>
        <v>26</v>
      </c>
      <c r="D946" s="3">
        <v>546</v>
      </c>
      <c r="E946" s="70">
        <f>[1]DETAY!$A$2</f>
        <v>0</v>
      </c>
      <c r="F946" s="71">
        <f t="shared" si="48"/>
        <v>540</v>
      </c>
      <c r="G946" s="72">
        <f t="shared" si="50"/>
        <v>6</v>
      </c>
      <c r="H946" s="73">
        <f t="shared" si="51"/>
        <v>0.98901098901098905</v>
      </c>
      <c r="I946" s="2"/>
      <c r="J946" s="2"/>
      <c r="K946" s="2"/>
      <c r="L946" s="2"/>
      <c r="M946" s="2">
        <v>6</v>
      </c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F946" s="1"/>
    </row>
    <row r="947" spans="1:58" s="22" customFormat="1" x14ac:dyDescent="0.25">
      <c r="A947" s="5" t="s">
        <v>9</v>
      </c>
      <c r="B947" s="4">
        <v>46195</v>
      </c>
      <c r="C947" s="2">
        <f t="shared" si="49"/>
        <v>26</v>
      </c>
      <c r="D947" s="3">
        <v>663</v>
      </c>
      <c r="E947" s="70">
        <f>[1]DETAY!$A$2</f>
        <v>0</v>
      </c>
      <c r="F947" s="71">
        <f t="shared" si="48"/>
        <v>660</v>
      </c>
      <c r="G947" s="72">
        <f t="shared" si="50"/>
        <v>3</v>
      </c>
      <c r="H947" s="73">
        <f t="shared" si="51"/>
        <v>0.99547511312217196</v>
      </c>
      <c r="I947" s="2"/>
      <c r="J947" s="2"/>
      <c r="K947" s="2"/>
      <c r="L947" s="2"/>
      <c r="M947" s="2">
        <v>3</v>
      </c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F947" s="1"/>
    </row>
    <row r="948" spans="1:58" s="22" customFormat="1" x14ac:dyDescent="0.25">
      <c r="A948" s="5" t="s">
        <v>8</v>
      </c>
      <c r="B948" s="4">
        <v>46195</v>
      </c>
      <c r="C948" s="2">
        <f t="shared" si="49"/>
        <v>26</v>
      </c>
      <c r="D948" s="3">
        <v>300</v>
      </c>
      <c r="E948" s="70">
        <f>[1]DETAY!$A$2</f>
        <v>0</v>
      </c>
      <c r="F948" s="71">
        <f t="shared" si="48"/>
        <v>298</v>
      </c>
      <c r="G948" s="72">
        <f t="shared" si="50"/>
        <v>2</v>
      </c>
      <c r="H948" s="73">
        <f t="shared" si="51"/>
        <v>0.99333333333333329</v>
      </c>
      <c r="I948" s="2"/>
      <c r="J948" s="2"/>
      <c r="K948" s="2"/>
      <c r="L948" s="2">
        <v>1</v>
      </c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>
        <v>1</v>
      </c>
      <c r="AZ948" s="2"/>
      <c r="BA948" s="2"/>
      <c r="BB948" s="2"/>
      <c r="BC948" s="2"/>
      <c r="BD948" s="2"/>
      <c r="BF948" s="1"/>
    </row>
    <row r="949" spans="1:58" s="22" customFormat="1" x14ac:dyDescent="0.25">
      <c r="A949" s="5" t="s">
        <v>14</v>
      </c>
      <c r="B949" s="4">
        <v>46195</v>
      </c>
      <c r="C949" s="2">
        <f t="shared" si="49"/>
        <v>26</v>
      </c>
      <c r="D949" s="3">
        <v>1210</v>
      </c>
      <c r="E949" s="70">
        <f>[1]DETAY!$A$2</f>
        <v>0</v>
      </c>
      <c r="F949" s="71">
        <f t="shared" si="48"/>
        <v>1184</v>
      </c>
      <c r="G949" s="72">
        <f t="shared" si="50"/>
        <v>26</v>
      </c>
      <c r="H949" s="73">
        <f t="shared" si="51"/>
        <v>0.97851239669421486</v>
      </c>
      <c r="I949" s="2"/>
      <c r="J949" s="2"/>
      <c r="K949" s="2"/>
      <c r="L949" s="2"/>
      <c r="M949" s="2">
        <v>1</v>
      </c>
      <c r="N949" s="2"/>
      <c r="O949" s="2">
        <v>25</v>
      </c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F949" s="1"/>
    </row>
    <row r="950" spans="1:58" s="22" customFormat="1" x14ac:dyDescent="0.25">
      <c r="A950" s="5" t="s">
        <v>4</v>
      </c>
      <c r="B950" s="4">
        <v>46195</v>
      </c>
      <c r="C950" s="2">
        <f t="shared" si="49"/>
        <v>26</v>
      </c>
      <c r="D950" s="3">
        <v>77</v>
      </c>
      <c r="E950" s="70">
        <f>[1]DETAY!$A$2</f>
        <v>0</v>
      </c>
      <c r="F950" s="71">
        <f t="shared" si="48"/>
        <v>77</v>
      </c>
      <c r="G950" s="72">
        <f t="shared" si="50"/>
        <v>0</v>
      </c>
      <c r="H950" s="73">
        <f t="shared" si="51"/>
        <v>1</v>
      </c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F950" s="1"/>
    </row>
    <row r="951" spans="1:58" s="22" customFormat="1" x14ac:dyDescent="0.25">
      <c r="A951" s="5" t="s">
        <v>1</v>
      </c>
      <c r="B951" s="4">
        <v>46195</v>
      </c>
      <c r="C951" s="2">
        <f t="shared" si="49"/>
        <v>26</v>
      </c>
      <c r="D951" s="3">
        <v>330</v>
      </c>
      <c r="E951" s="70">
        <f>[1]DETAY!$A$2</f>
        <v>0</v>
      </c>
      <c r="F951" s="71">
        <f t="shared" si="48"/>
        <v>290</v>
      </c>
      <c r="G951" s="72">
        <f t="shared" si="50"/>
        <v>40</v>
      </c>
      <c r="H951" s="73">
        <f t="shared" si="51"/>
        <v>0.87878787878787878</v>
      </c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>
        <v>40</v>
      </c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F951" s="1"/>
    </row>
    <row r="952" spans="1:58" s="22" customFormat="1" x14ac:dyDescent="0.25">
      <c r="A952" s="5" t="s">
        <v>22</v>
      </c>
      <c r="B952" s="4">
        <v>46195</v>
      </c>
      <c r="C952" s="2">
        <f t="shared" si="49"/>
        <v>26</v>
      </c>
      <c r="D952" s="3">
        <v>607</v>
      </c>
      <c r="E952" s="70">
        <f>[1]DETAY!$A$2</f>
        <v>0</v>
      </c>
      <c r="F952" s="71">
        <f t="shared" si="48"/>
        <v>600</v>
      </c>
      <c r="G952" s="72">
        <f t="shared" si="50"/>
        <v>7</v>
      </c>
      <c r="H952" s="73">
        <f t="shared" si="51"/>
        <v>0.98846787479406917</v>
      </c>
      <c r="I952" s="2"/>
      <c r="J952" s="2"/>
      <c r="K952" s="2"/>
      <c r="L952" s="2">
        <v>7</v>
      </c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F952" s="1"/>
    </row>
    <row r="953" spans="1:58" s="22" customFormat="1" x14ac:dyDescent="0.25">
      <c r="A953" s="5" t="s">
        <v>21</v>
      </c>
      <c r="B953" s="4">
        <v>46195</v>
      </c>
      <c r="C953" s="2">
        <f t="shared" si="49"/>
        <v>26</v>
      </c>
      <c r="D953" s="3">
        <v>613</v>
      </c>
      <c r="E953" s="70">
        <f>[1]DETAY!$A$2</f>
        <v>0</v>
      </c>
      <c r="F953" s="71">
        <f t="shared" si="48"/>
        <v>600</v>
      </c>
      <c r="G953" s="72">
        <f t="shared" si="50"/>
        <v>13</v>
      </c>
      <c r="H953" s="73">
        <f t="shared" si="51"/>
        <v>0.97879282218597063</v>
      </c>
      <c r="I953" s="2"/>
      <c r="J953" s="2"/>
      <c r="K953" s="2"/>
      <c r="L953" s="2">
        <v>13</v>
      </c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F953" s="1"/>
    </row>
    <row r="954" spans="1:58" s="22" customFormat="1" x14ac:dyDescent="0.25">
      <c r="A954" s="5" t="s">
        <v>19</v>
      </c>
      <c r="B954" s="4">
        <v>46195</v>
      </c>
      <c r="C954" s="2">
        <f t="shared" si="49"/>
        <v>26</v>
      </c>
      <c r="D954" s="3">
        <v>358</v>
      </c>
      <c r="E954" s="70">
        <f>[1]DETAY!$A$2</f>
        <v>0</v>
      </c>
      <c r="F954" s="71">
        <f t="shared" si="48"/>
        <v>350</v>
      </c>
      <c r="G954" s="72">
        <f t="shared" si="50"/>
        <v>8</v>
      </c>
      <c r="H954" s="73">
        <f t="shared" si="51"/>
        <v>0.97765363128491622</v>
      </c>
      <c r="I954" s="2"/>
      <c r="J954" s="2">
        <v>5</v>
      </c>
      <c r="K954" s="2"/>
      <c r="L954" s="2">
        <v>3</v>
      </c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F954" s="1"/>
    </row>
    <row r="955" spans="1:58" s="22" customFormat="1" x14ac:dyDescent="0.25">
      <c r="A955" s="5" t="s">
        <v>11</v>
      </c>
      <c r="B955" s="4">
        <v>46195</v>
      </c>
      <c r="C955" s="2">
        <f t="shared" si="49"/>
        <v>26</v>
      </c>
      <c r="D955" s="3">
        <v>270</v>
      </c>
      <c r="E955" s="70">
        <f>[1]DETAY!$A$2</f>
        <v>0</v>
      </c>
      <c r="F955" s="71">
        <f t="shared" si="48"/>
        <v>270</v>
      </c>
      <c r="G955" s="72">
        <f t="shared" si="50"/>
        <v>0</v>
      </c>
      <c r="H955" s="73">
        <f t="shared" si="51"/>
        <v>1</v>
      </c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F955" s="1"/>
    </row>
    <row r="956" spans="1:58" s="22" customFormat="1" x14ac:dyDescent="0.25">
      <c r="A956" s="5" t="s">
        <v>10</v>
      </c>
      <c r="B956" s="4">
        <v>46195</v>
      </c>
      <c r="C956" s="2">
        <f t="shared" si="49"/>
        <v>26</v>
      </c>
      <c r="D956" s="3">
        <v>377</v>
      </c>
      <c r="E956" s="70">
        <f>[1]DETAY!$A$2</f>
        <v>0</v>
      </c>
      <c r="F956" s="71">
        <f t="shared" si="48"/>
        <v>360</v>
      </c>
      <c r="G956" s="72">
        <f t="shared" si="50"/>
        <v>17</v>
      </c>
      <c r="H956" s="73">
        <f t="shared" si="51"/>
        <v>0.95490716180371349</v>
      </c>
      <c r="I956" s="2"/>
      <c r="J956" s="2"/>
      <c r="K956" s="2"/>
      <c r="L956" s="2"/>
      <c r="M956" s="2">
        <v>17</v>
      </c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F956" s="1"/>
    </row>
    <row r="957" spans="1:58" s="22" customFormat="1" x14ac:dyDescent="0.25">
      <c r="A957" s="5" t="s">
        <v>9</v>
      </c>
      <c r="B957" s="4">
        <v>46195</v>
      </c>
      <c r="C957" s="2">
        <f t="shared" si="49"/>
        <v>26</v>
      </c>
      <c r="D957" s="3">
        <v>663</v>
      </c>
      <c r="E957" s="70">
        <f>[1]DETAY!$A$2</f>
        <v>0</v>
      </c>
      <c r="F957" s="71">
        <f t="shared" si="48"/>
        <v>651</v>
      </c>
      <c r="G957" s="72">
        <f t="shared" si="50"/>
        <v>12</v>
      </c>
      <c r="H957" s="73">
        <f t="shared" si="51"/>
        <v>0.98190045248868774</v>
      </c>
      <c r="I957" s="2"/>
      <c r="J957" s="2"/>
      <c r="K957" s="2"/>
      <c r="L957" s="2"/>
      <c r="M957" s="2">
        <v>11</v>
      </c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>
        <v>1</v>
      </c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F957" s="1"/>
    </row>
    <row r="958" spans="1:58" s="22" customFormat="1" x14ac:dyDescent="0.25">
      <c r="A958" s="5" t="s">
        <v>8</v>
      </c>
      <c r="B958" s="4">
        <v>46195</v>
      </c>
      <c r="C958" s="2">
        <f t="shared" si="49"/>
        <v>26</v>
      </c>
      <c r="D958" s="3">
        <v>600</v>
      </c>
      <c r="E958" s="70">
        <f>[1]DETAY!$A$2</f>
        <v>0</v>
      </c>
      <c r="F958" s="71">
        <f t="shared" si="48"/>
        <v>600</v>
      </c>
      <c r="G958" s="72">
        <f t="shared" si="50"/>
        <v>0</v>
      </c>
      <c r="H958" s="73">
        <f t="shared" si="51"/>
        <v>1</v>
      </c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F958" s="1"/>
    </row>
    <row r="959" spans="1:58" s="22" customFormat="1" x14ac:dyDescent="0.25">
      <c r="A959" s="5" t="s">
        <v>14</v>
      </c>
      <c r="B959" s="4">
        <v>46195</v>
      </c>
      <c r="C959" s="2">
        <f t="shared" si="49"/>
        <v>26</v>
      </c>
      <c r="D959" s="3">
        <v>504</v>
      </c>
      <c r="E959" s="70">
        <f>[1]DETAY!$A$2</f>
        <v>0</v>
      </c>
      <c r="F959" s="71">
        <f t="shared" si="48"/>
        <v>504</v>
      </c>
      <c r="G959" s="72">
        <f t="shared" si="50"/>
        <v>0</v>
      </c>
      <c r="H959" s="73">
        <f t="shared" si="51"/>
        <v>1</v>
      </c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F959" s="1"/>
    </row>
    <row r="960" spans="1:58" s="22" customFormat="1" x14ac:dyDescent="0.25">
      <c r="A960" s="5" t="s">
        <v>4</v>
      </c>
      <c r="B960" s="4">
        <v>46195</v>
      </c>
      <c r="C960" s="2">
        <f t="shared" si="49"/>
        <v>26</v>
      </c>
      <c r="D960" s="3">
        <v>231</v>
      </c>
      <c r="E960" s="70">
        <f>[1]DETAY!$A$2</f>
        <v>0</v>
      </c>
      <c r="F960" s="71">
        <f t="shared" si="48"/>
        <v>231</v>
      </c>
      <c r="G960" s="72">
        <f t="shared" si="50"/>
        <v>0</v>
      </c>
      <c r="H960" s="73">
        <f t="shared" si="51"/>
        <v>1</v>
      </c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F960" s="1"/>
    </row>
    <row r="961" spans="1:58" s="22" customFormat="1" x14ac:dyDescent="0.25">
      <c r="A961" s="5" t="s">
        <v>13</v>
      </c>
      <c r="B961" s="4">
        <v>46195</v>
      </c>
      <c r="C961" s="2">
        <f t="shared" si="49"/>
        <v>26</v>
      </c>
      <c r="D961" s="3">
        <v>480</v>
      </c>
      <c r="E961" s="70">
        <f>[1]DETAY!$A$2</f>
        <v>0</v>
      </c>
      <c r="F961" s="71">
        <f t="shared" si="48"/>
        <v>480</v>
      </c>
      <c r="G961" s="72">
        <f t="shared" si="50"/>
        <v>0</v>
      </c>
      <c r="H961" s="73">
        <f t="shared" si="51"/>
        <v>1</v>
      </c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F961" s="1"/>
    </row>
    <row r="962" spans="1:58" s="22" customFormat="1" x14ac:dyDescent="0.25">
      <c r="A962" s="5" t="s">
        <v>1</v>
      </c>
      <c r="B962" s="4">
        <v>46195</v>
      </c>
      <c r="C962" s="2">
        <f t="shared" si="49"/>
        <v>26</v>
      </c>
      <c r="D962" s="3">
        <f>265+38</f>
        <v>303</v>
      </c>
      <c r="E962" s="70">
        <f>[1]DETAY!$A$2</f>
        <v>0</v>
      </c>
      <c r="F962" s="71">
        <f t="shared" si="48"/>
        <v>265</v>
      </c>
      <c r="G962" s="72">
        <f t="shared" si="50"/>
        <v>38</v>
      </c>
      <c r="H962" s="73">
        <f t="shared" si="51"/>
        <v>0.87458745874587462</v>
      </c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>
        <v>38</v>
      </c>
      <c r="AV962" s="2"/>
      <c r="AW962" s="2"/>
      <c r="AX962" s="2"/>
      <c r="AY962" s="2"/>
      <c r="AZ962" s="2"/>
      <c r="BA962" s="2"/>
      <c r="BB962" s="2"/>
      <c r="BC962" s="2"/>
      <c r="BD962" s="2"/>
      <c r="BF962" s="1"/>
    </row>
    <row r="963" spans="1:58" s="22" customFormat="1" x14ac:dyDescent="0.25">
      <c r="A963" s="5" t="s">
        <v>22</v>
      </c>
      <c r="B963" s="4">
        <v>46195</v>
      </c>
      <c r="C963" s="2">
        <f t="shared" si="49"/>
        <v>26</v>
      </c>
      <c r="D963" s="3">
        <v>1153</v>
      </c>
      <c r="E963" s="70">
        <f>[1]DETAY!$A$2</f>
        <v>0</v>
      </c>
      <c r="F963" s="71">
        <f t="shared" si="48"/>
        <v>1139</v>
      </c>
      <c r="G963" s="72">
        <f t="shared" si="50"/>
        <v>14</v>
      </c>
      <c r="H963" s="73">
        <f t="shared" si="51"/>
        <v>0.98785776235906331</v>
      </c>
      <c r="I963" s="2"/>
      <c r="J963" s="2"/>
      <c r="K963" s="2"/>
      <c r="L963" s="2">
        <v>14</v>
      </c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F963" s="1"/>
    </row>
    <row r="964" spans="1:58" s="22" customFormat="1" x14ac:dyDescent="0.25">
      <c r="A964" s="5" t="s">
        <v>11</v>
      </c>
      <c r="B964" s="4">
        <v>46195</v>
      </c>
      <c r="C964" s="2">
        <f t="shared" si="49"/>
        <v>26</v>
      </c>
      <c r="D964" s="3">
        <v>327</v>
      </c>
      <c r="E964" s="70">
        <f>[1]DETAY!$A$2</f>
        <v>0</v>
      </c>
      <c r="F964" s="71">
        <f t="shared" si="48"/>
        <v>323</v>
      </c>
      <c r="G964" s="72">
        <f t="shared" si="50"/>
        <v>4</v>
      </c>
      <c r="H964" s="73">
        <f t="shared" si="51"/>
        <v>0.98776758409785936</v>
      </c>
      <c r="I964" s="2"/>
      <c r="J964" s="2"/>
      <c r="K964" s="2"/>
      <c r="L964" s="2">
        <v>4</v>
      </c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F964" s="1"/>
    </row>
    <row r="965" spans="1:58" s="22" customFormat="1" x14ac:dyDescent="0.25">
      <c r="A965" s="5" t="s">
        <v>17</v>
      </c>
      <c r="B965" s="4">
        <v>46195</v>
      </c>
      <c r="C965" s="2">
        <f t="shared" si="49"/>
        <v>26</v>
      </c>
      <c r="D965" s="3">
        <v>2152</v>
      </c>
      <c r="E965" s="70">
        <f>[1]DETAY!$A$2</f>
        <v>0</v>
      </c>
      <c r="F965" s="71">
        <f t="shared" si="48"/>
        <v>2132</v>
      </c>
      <c r="G965" s="72">
        <f t="shared" si="50"/>
        <v>20</v>
      </c>
      <c r="H965" s="73">
        <f t="shared" si="51"/>
        <v>0.99070631970260226</v>
      </c>
      <c r="I965" s="2"/>
      <c r="J965" s="2">
        <v>10</v>
      </c>
      <c r="K965" s="2"/>
      <c r="L965" s="2">
        <v>10</v>
      </c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F965" s="1"/>
    </row>
    <row r="966" spans="1:58" s="22" customFormat="1" x14ac:dyDescent="0.25">
      <c r="A966" s="5" t="s">
        <v>9</v>
      </c>
      <c r="B966" s="4">
        <v>46195</v>
      </c>
      <c r="C966" s="2">
        <f t="shared" si="49"/>
        <v>26</v>
      </c>
      <c r="D966" s="3">
        <v>710</v>
      </c>
      <c r="E966" s="70">
        <f>[1]DETAY!$A$2</f>
        <v>0</v>
      </c>
      <c r="F966" s="71">
        <f t="shared" si="48"/>
        <v>705</v>
      </c>
      <c r="G966" s="72">
        <f t="shared" si="50"/>
        <v>5</v>
      </c>
      <c r="H966" s="73">
        <f t="shared" si="51"/>
        <v>0.99295774647887325</v>
      </c>
      <c r="I966" s="2"/>
      <c r="J966" s="2"/>
      <c r="K966" s="2"/>
      <c r="L966" s="2"/>
      <c r="M966" s="2">
        <v>5</v>
      </c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F966" s="1"/>
    </row>
    <row r="967" spans="1:58" s="22" customFormat="1" x14ac:dyDescent="0.25">
      <c r="A967" s="5" t="s">
        <v>10</v>
      </c>
      <c r="B967" s="4">
        <v>46195</v>
      </c>
      <c r="C967" s="2">
        <f t="shared" si="49"/>
        <v>26</v>
      </c>
      <c r="D967" s="3">
        <v>784</v>
      </c>
      <c r="E967" s="70">
        <f>[1]DETAY!$A$2</f>
        <v>0</v>
      </c>
      <c r="F967" s="71">
        <f t="shared" si="48"/>
        <v>780</v>
      </c>
      <c r="G967" s="72">
        <f t="shared" si="50"/>
        <v>4</v>
      </c>
      <c r="H967" s="73">
        <f t="shared" si="51"/>
        <v>0.99489795918367352</v>
      </c>
      <c r="I967" s="2"/>
      <c r="J967" s="2"/>
      <c r="K967" s="2"/>
      <c r="L967" s="2"/>
      <c r="M967" s="2">
        <v>4</v>
      </c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F967" s="1"/>
    </row>
    <row r="968" spans="1:58" s="22" customFormat="1" x14ac:dyDescent="0.25">
      <c r="A968" s="5" t="s">
        <v>16</v>
      </c>
      <c r="B968" s="4">
        <v>46195</v>
      </c>
      <c r="C968" s="2">
        <f t="shared" si="49"/>
        <v>26</v>
      </c>
      <c r="D968" s="3">
        <f>455+21</f>
        <v>476</v>
      </c>
      <c r="E968" s="70">
        <f>[1]DETAY!$A$2</f>
        <v>0</v>
      </c>
      <c r="F968" s="71">
        <f t="shared" si="48"/>
        <v>455</v>
      </c>
      <c r="G968" s="72">
        <f t="shared" si="50"/>
        <v>21</v>
      </c>
      <c r="H968" s="73">
        <f t="shared" si="51"/>
        <v>0.95588235294117652</v>
      </c>
      <c r="I968" s="2"/>
      <c r="J968" s="2"/>
      <c r="K968" s="2"/>
      <c r="L968" s="2"/>
      <c r="M968" s="2">
        <v>1</v>
      </c>
      <c r="N968" s="2"/>
      <c r="O968" s="2"/>
      <c r="P968" s="2"/>
      <c r="Q968" s="2">
        <v>2</v>
      </c>
      <c r="R968" s="2"/>
      <c r="S968" s="2"/>
      <c r="T968" s="2"/>
      <c r="U968" s="2">
        <v>3</v>
      </c>
      <c r="V968" s="2"/>
      <c r="W968" s="2"/>
      <c r="X968" s="2">
        <v>4</v>
      </c>
      <c r="Y968" s="2"/>
      <c r="Z968" s="2"/>
      <c r="AA968" s="2"/>
      <c r="AB968" s="2"/>
      <c r="AC968" s="2"/>
      <c r="AD968" s="2"/>
      <c r="AE968" s="2"/>
      <c r="AF968" s="2"/>
      <c r="AG968" s="2"/>
      <c r="AH968" s="2">
        <v>7</v>
      </c>
      <c r="AI968" s="2"/>
      <c r="AJ968" s="2">
        <v>4</v>
      </c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F968" s="1"/>
    </row>
    <row r="969" spans="1:58" s="22" customFormat="1" x14ac:dyDescent="0.25">
      <c r="A969" s="5" t="s">
        <v>22</v>
      </c>
      <c r="B969" s="4">
        <v>46196</v>
      </c>
      <c r="C969" s="2">
        <f t="shared" si="49"/>
        <v>26</v>
      </c>
      <c r="D969" s="3">
        <v>74</v>
      </c>
      <c r="E969" s="70">
        <f>[1]DETAY!$A$2</f>
        <v>0</v>
      </c>
      <c r="F969" s="71">
        <f t="shared" si="48"/>
        <v>74</v>
      </c>
      <c r="G969" s="72">
        <f t="shared" si="50"/>
        <v>0</v>
      </c>
      <c r="H969" s="73">
        <f t="shared" si="51"/>
        <v>1</v>
      </c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F969" s="1"/>
    </row>
    <row r="970" spans="1:58" s="22" customFormat="1" x14ac:dyDescent="0.25">
      <c r="A970" s="5" t="s">
        <v>21</v>
      </c>
      <c r="B970" s="4">
        <v>46196</v>
      </c>
      <c r="C970" s="2">
        <f t="shared" si="49"/>
        <v>26</v>
      </c>
      <c r="D970" s="3">
        <v>944</v>
      </c>
      <c r="E970" s="70">
        <f>[1]DETAY!$A$2</f>
        <v>0</v>
      </c>
      <c r="F970" s="71">
        <f t="shared" si="48"/>
        <v>900</v>
      </c>
      <c r="G970" s="72">
        <f t="shared" si="50"/>
        <v>44</v>
      </c>
      <c r="H970" s="73">
        <f t="shared" si="51"/>
        <v>0.95338983050847459</v>
      </c>
      <c r="I970" s="2"/>
      <c r="J970" s="2"/>
      <c r="K970" s="2"/>
      <c r="L970" s="2">
        <v>42</v>
      </c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>
        <v>2</v>
      </c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F970" s="1"/>
    </row>
    <row r="971" spans="1:58" s="22" customFormat="1" x14ac:dyDescent="0.25">
      <c r="A971" s="5" t="s">
        <v>20</v>
      </c>
      <c r="B971" s="4">
        <v>46196</v>
      </c>
      <c r="C971" s="2">
        <f t="shared" si="49"/>
        <v>26</v>
      </c>
      <c r="D971" s="3">
        <v>1075</v>
      </c>
      <c r="E971" s="70">
        <f>[1]DETAY!$A$2</f>
        <v>0</v>
      </c>
      <c r="F971" s="71">
        <f t="shared" si="48"/>
        <v>1050</v>
      </c>
      <c r="G971" s="72">
        <f t="shared" si="50"/>
        <v>25</v>
      </c>
      <c r="H971" s="73">
        <f t="shared" si="51"/>
        <v>0.97674418604651159</v>
      </c>
      <c r="I971" s="2"/>
      <c r="J971" s="2">
        <v>24</v>
      </c>
      <c r="K971" s="2"/>
      <c r="L971" s="2">
        <v>1</v>
      </c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F971" s="1"/>
    </row>
    <row r="972" spans="1:58" s="22" customFormat="1" x14ac:dyDescent="0.25">
      <c r="A972" s="5" t="s">
        <v>16</v>
      </c>
      <c r="B972" s="4">
        <v>46196</v>
      </c>
      <c r="C972" s="2">
        <f t="shared" si="49"/>
        <v>26</v>
      </c>
      <c r="D972" s="3">
        <v>1219</v>
      </c>
      <c r="E972" s="70">
        <f>[1]DETAY!$A$2</f>
        <v>0</v>
      </c>
      <c r="F972" s="71">
        <f t="shared" si="48"/>
        <v>1190</v>
      </c>
      <c r="G972" s="72">
        <f t="shared" si="50"/>
        <v>29</v>
      </c>
      <c r="H972" s="73">
        <f t="shared" si="51"/>
        <v>0.9762100082034455</v>
      </c>
      <c r="I972" s="2"/>
      <c r="J972" s="2"/>
      <c r="K972" s="2">
        <v>2</v>
      </c>
      <c r="L972" s="2"/>
      <c r="M972" s="2">
        <v>2</v>
      </c>
      <c r="N972" s="2"/>
      <c r="O972" s="2"/>
      <c r="P972" s="2"/>
      <c r="Q972" s="2">
        <v>1</v>
      </c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>
        <v>2</v>
      </c>
      <c r="AG972" s="2"/>
      <c r="AH972" s="2">
        <v>3</v>
      </c>
      <c r="AI972" s="2"/>
      <c r="AJ972" s="2">
        <v>19</v>
      </c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F972" s="1"/>
    </row>
    <row r="973" spans="1:58" s="22" customFormat="1" x14ac:dyDescent="0.25">
      <c r="A973" s="5" t="s">
        <v>10</v>
      </c>
      <c r="B973" s="4">
        <v>46196</v>
      </c>
      <c r="C973" s="2">
        <f t="shared" si="49"/>
        <v>26</v>
      </c>
      <c r="D973" s="3">
        <v>185</v>
      </c>
      <c r="E973" s="70">
        <f>[1]DETAY!$A$2</f>
        <v>0</v>
      </c>
      <c r="F973" s="71">
        <f t="shared" si="48"/>
        <v>180</v>
      </c>
      <c r="G973" s="72">
        <f t="shared" si="50"/>
        <v>5</v>
      </c>
      <c r="H973" s="73">
        <f t="shared" si="51"/>
        <v>0.97297297297297303</v>
      </c>
      <c r="I973" s="2"/>
      <c r="J973" s="2"/>
      <c r="K973" s="2"/>
      <c r="L973" s="2"/>
      <c r="M973" s="2">
        <v>5</v>
      </c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F973" s="1"/>
    </row>
    <row r="974" spans="1:58" s="22" customFormat="1" x14ac:dyDescent="0.25">
      <c r="A974" s="5" t="s">
        <v>8</v>
      </c>
      <c r="B974" s="4">
        <v>46196</v>
      </c>
      <c r="C974" s="2">
        <f t="shared" si="49"/>
        <v>26</v>
      </c>
      <c r="D974" s="3">
        <v>591</v>
      </c>
      <c r="E974" s="70">
        <f>[1]DETAY!$A$2</f>
        <v>0</v>
      </c>
      <c r="F974" s="71">
        <f t="shared" si="48"/>
        <v>590</v>
      </c>
      <c r="G974" s="72">
        <f t="shared" si="50"/>
        <v>1</v>
      </c>
      <c r="H974" s="73">
        <f t="shared" si="51"/>
        <v>0.99830795262267347</v>
      </c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>
        <v>1</v>
      </c>
      <c r="AZ974" s="2"/>
      <c r="BA974" s="2"/>
      <c r="BB974" s="2"/>
      <c r="BC974" s="2"/>
      <c r="BD974" s="2"/>
      <c r="BF974" s="1"/>
    </row>
    <row r="975" spans="1:58" s="22" customFormat="1" x14ac:dyDescent="0.25">
      <c r="A975" s="5" t="s">
        <v>14</v>
      </c>
      <c r="B975" s="4">
        <v>46196</v>
      </c>
      <c r="C975" s="2">
        <f t="shared" si="49"/>
        <v>26</v>
      </c>
      <c r="D975" s="3">
        <v>220</v>
      </c>
      <c r="E975" s="70">
        <f>[1]DETAY!$A$2</f>
        <v>0</v>
      </c>
      <c r="F975" s="71">
        <f t="shared" si="48"/>
        <v>220</v>
      </c>
      <c r="G975" s="72">
        <f t="shared" si="50"/>
        <v>0</v>
      </c>
      <c r="H975" s="73">
        <f t="shared" si="51"/>
        <v>1</v>
      </c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F975" s="1"/>
    </row>
    <row r="976" spans="1:58" s="22" customFormat="1" x14ac:dyDescent="0.25">
      <c r="A976" s="5" t="s">
        <v>13</v>
      </c>
      <c r="B976" s="4">
        <v>46196</v>
      </c>
      <c r="C976" s="2">
        <f t="shared" si="49"/>
        <v>26</v>
      </c>
      <c r="D976" s="3">
        <v>120</v>
      </c>
      <c r="E976" s="70">
        <f>[1]DETAY!$A$2</f>
        <v>0</v>
      </c>
      <c r="F976" s="71">
        <f t="shared" si="48"/>
        <v>120</v>
      </c>
      <c r="G976" s="72">
        <f t="shared" si="50"/>
        <v>0</v>
      </c>
      <c r="H976" s="73">
        <f t="shared" si="51"/>
        <v>1</v>
      </c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F976" s="1"/>
    </row>
    <row r="977" spans="1:58" s="22" customFormat="1" x14ac:dyDescent="0.25">
      <c r="A977" s="5" t="s">
        <v>12</v>
      </c>
      <c r="B977" s="4">
        <v>46196</v>
      </c>
      <c r="C977" s="2">
        <f t="shared" si="49"/>
        <v>26</v>
      </c>
      <c r="D977" s="3">
        <v>200</v>
      </c>
      <c r="E977" s="70">
        <f>[1]DETAY!$A$2</f>
        <v>0</v>
      </c>
      <c r="F977" s="71">
        <f t="shared" si="48"/>
        <v>200</v>
      </c>
      <c r="G977" s="72">
        <f t="shared" si="50"/>
        <v>0</v>
      </c>
      <c r="H977" s="73">
        <f t="shared" si="51"/>
        <v>1</v>
      </c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F977" s="1"/>
    </row>
    <row r="978" spans="1:58" s="22" customFormat="1" x14ac:dyDescent="0.25">
      <c r="A978" s="5" t="s">
        <v>5</v>
      </c>
      <c r="B978" s="4">
        <v>46196</v>
      </c>
      <c r="C978" s="2">
        <f t="shared" si="49"/>
        <v>26</v>
      </c>
      <c r="D978" s="3">
        <v>308</v>
      </c>
      <c r="E978" s="70">
        <f>[1]DETAY!$A$2</f>
        <v>0</v>
      </c>
      <c r="F978" s="71">
        <f t="shared" ref="F978:F1038" si="52">D978-G978</f>
        <v>308</v>
      </c>
      <c r="G978" s="72">
        <f t="shared" si="50"/>
        <v>0</v>
      </c>
      <c r="H978" s="73">
        <f t="shared" si="51"/>
        <v>1</v>
      </c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F978" s="1"/>
    </row>
    <row r="979" spans="1:58" s="22" customFormat="1" x14ac:dyDescent="0.25">
      <c r="A979" s="5" t="s">
        <v>6</v>
      </c>
      <c r="B979" s="4">
        <v>46196</v>
      </c>
      <c r="C979" s="2">
        <f t="shared" si="49"/>
        <v>26</v>
      </c>
      <c r="D979" s="3">
        <v>135</v>
      </c>
      <c r="E979" s="70">
        <f>[1]DETAY!$A$2</f>
        <v>0</v>
      </c>
      <c r="F979" s="71">
        <f t="shared" si="52"/>
        <v>135</v>
      </c>
      <c r="G979" s="72">
        <f t="shared" si="50"/>
        <v>0</v>
      </c>
      <c r="H979" s="73">
        <f t="shared" si="51"/>
        <v>1</v>
      </c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F979" s="1"/>
    </row>
    <row r="980" spans="1:58" s="22" customFormat="1" x14ac:dyDescent="0.25">
      <c r="A980" s="5" t="s">
        <v>1</v>
      </c>
      <c r="B980" s="4">
        <v>46196</v>
      </c>
      <c r="C980" s="2">
        <f t="shared" si="49"/>
        <v>26</v>
      </c>
      <c r="D980" s="3">
        <v>423</v>
      </c>
      <c r="E980" s="70">
        <f>[1]DETAY!$A$2</f>
        <v>0</v>
      </c>
      <c r="F980" s="71">
        <f t="shared" si="52"/>
        <v>351</v>
      </c>
      <c r="G980" s="72">
        <f t="shared" si="50"/>
        <v>72</v>
      </c>
      <c r="H980" s="73">
        <f t="shared" si="51"/>
        <v>0.82978723404255317</v>
      </c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>
        <v>72</v>
      </c>
      <c r="AV980" s="2"/>
      <c r="AW980" s="2"/>
      <c r="AX980" s="2"/>
      <c r="AY980" s="2"/>
      <c r="AZ980" s="2"/>
      <c r="BA980" s="2"/>
      <c r="BB980" s="2"/>
      <c r="BC980" s="2"/>
      <c r="BD980" s="2"/>
      <c r="BF980" s="1"/>
    </row>
    <row r="981" spans="1:58" s="22" customFormat="1" x14ac:dyDescent="0.25">
      <c r="A981" s="5" t="s">
        <v>21</v>
      </c>
      <c r="B981" s="4">
        <v>46196</v>
      </c>
      <c r="C981" s="2">
        <f t="shared" si="49"/>
        <v>26</v>
      </c>
      <c r="D981" s="3">
        <v>606</v>
      </c>
      <c r="E981" s="70">
        <f>[1]DETAY!$A$2</f>
        <v>0</v>
      </c>
      <c r="F981" s="71">
        <f t="shared" si="52"/>
        <v>600</v>
      </c>
      <c r="G981" s="72">
        <f t="shared" si="50"/>
        <v>6</v>
      </c>
      <c r="H981" s="73">
        <f t="shared" si="51"/>
        <v>0.99009900990099009</v>
      </c>
      <c r="I981" s="2"/>
      <c r="J981" s="2"/>
      <c r="K981" s="2"/>
      <c r="L981" s="2">
        <v>6</v>
      </c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F981" s="1"/>
    </row>
    <row r="982" spans="1:58" s="22" customFormat="1" x14ac:dyDescent="0.25">
      <c r="A982" s="5" t="s">
        <v>20</v>
      </c>
      <c r="B982" s="4">
        <v>46196</v>
      </c>
      <c r="C982" s="2">
        <f t="shared" si="49"/>
        <v>26</v>
      </c>
      <c r="D982" s="3">
        <v>350</v>
      </c>
      <c r="E982" s="70">
        <f>[1]DETAY!$A$2</f>
        <v>0</v>
      </c>
      <c r="F982" s="71">
        <f t="shared" si="52"/>
        <v>350</v>
      </c>
      <c r="G982" s="72">
        <f t="shared" si="50"/>
        <v>0</v>
      </c>
      <c r="H982" s="73">
        <f t="shared" si="51"/>
        <v>1</v>
      </c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F982" s="1"/>
    </row>
    <row r="983" spans="1:58" s="22" customFormat="1" x14ac:dyDescent="0.25">
      <c r="A983" s="5" t="s">
        <v>19</v>
      </c>
      <c r="B983" s="4">
        <v>46196</v>
      </c>
      <c r="C983" s="2">
        <f t="shared" si="49"/>
        <v>26</v>
      </c>
      <c r="D983" s="3">
        <v>528</v>
      </c>
      <c r="E983" s="70">
        <f>[1]DETAY!$A$2</f>
        <v>0</v>
      </c>
      <c r="F983" s="71">
        <f t="shared" si="52"/>
        <v>513</v>
      </c>
      <c r="G983" s="72">
        <f t="shared" si="50"/>
        <v>15</v>
      </c>
      <c r="H983" s="73">
        <f t="shared" si="51"/>
        <v>0.97159090909090906</v>
      </c>
      <c r="I983" s="2"/>
      <c r="J983" s="2">
        <v>15</v>
      </c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F983" s="1"/>
    </row>
    <row r="984" spans="1:58" s="22" customFormat="1" x14ac:dyDescent="0.25">
      <c r="A984" s="5" t="s">
        <v>17</v>
      </c>
      <c r="B984" s="4">
        <v>46196</v>
      </c>
      <c r="C984" s="2">
        <f t="shared" si="49"/>
        <v>26</v>
      </c>
      <c r="D984" s="3">
        <v>359</v>
      </c>
      <c r="E984" s="70">
        <f>[1]DETAY!$A$2</f>
        <v>0</v>
      </c>
      <c r="F984" s="71">
        <f t="shared" si="52"/>
        <v>350</v>
      </c>
      <c r="G984" s="72">
        <f t="shared" si="50"/>
        <v>9</v>
      </c>
      <c r="H984" s="73">
        <f t="shared" si="51"/>
        <v>0.97493036211699169</v>
      </c>
      <c r="I984" s="2"/>
      <c r="J984" s="2">
        <v>7</v>
      </c>
      <c r="K984" s="2"/>
      <c r="L984" s="2">
        <v>1</v>
      </c>
      <c r="M984" s="2">
        <v>1</v>
      </c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F984" s="1"/>
    </row>
    <row r="985" spans="1:58" s="22" customFormat="1" x14ac:dyDescent="0.25">
      <c r="A985" s="5" t="s">
        <v>11</v>
      </c>
      <c r="B985" s="4">
        <v>46196</v>
      </c>
      <c r="C985" s="2">
        <f t="shared" si="49"/>
        <v>26</v>
      </c>
      <c r="D985" s="3">
        <v>1346</v>
      </c>
      <c r="E985" s="70">
        <f>[1]DETAY!$A$2</f>
        <v>0</v>
      </c>
      <c r="F985" s="71">
        <f t="shared" si="52"/>
        <v>1344</v>
      </c>
      <c r="G985" s="72">
        <f t="shared" si="50"/>
        <v>2</v>
      </c>
      <c r="H985" s="73">
        <f t="shared" si="51"/>
        <v>0.99851411589895989</v>
      </c>
      <c r="I985" s="2"/>
      <c r="J985" s="2"/>
      <c r="K985" s="2"/>
      <c r="L985" s="2">
        <v>2</v>
      </c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F985" s="1"/>
    </row>
    <row r="986" spans="1:58" s="22" customFormat="1" x14ac:dyDescent="0.25">
      <c r="A986" s="5" t="s">
        <v>9</v>
      </c>
      <c r="B986" s="4">
        <v>46196</v>
      </c>
      <c r="C986" s="2">
        <f t="shared" si="49"/>
        <v>26</v>
      </c>
      <c r="D986" s="3">
        <v>802</v>
      </c>
      <c r="E986" s="70">
        <f>[1]DETAY!$A$2</f>
        <v>0</v>
      </c>
      <c r="F986" s="71">
        <f t="shared" si="52"/>
        <v>797</v>
      </c>
      <c r="G986" s="72">
        <f t="shared" si="50"/>
        <v>5</v>
      </c>
      <c r="H986" s="73">
        <f t="shared" si="51"/>
        <v>0.99376558603491272</v>
      </c>
      <c r="I986" s="2"/>
      <c r="J986" s="2"/>
      <c r="K986" s="2"/>
      <c r="L986" s="2"/>
      <c r="M986" s="2">
        <v>5</v>
      </c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F986" s="1"/>
    </row>
    <row r="987" spans="1:58" s="22" customFormat="1" x14ac:dyDescent="0.25">
      <c r="A987" s="5" t="s">
        <v>10</v>
      </c>
      <c r="B987" s="4">
        <v>46196</v>
      </c>
      <c r="C987" s="2">
        <f t="shared" si="49"/>
        <v>26</v>
      </c>
      <c r="D987" s="3">
        <v>152</v>
      </c>
      <c r="E987" s="70">
        <f>[1]DETAY!$A$2</f>
        <v>0</v>
      </c>
      <c r="F987" s="71">
        <f t="shared" si="52"/>
        <v>146</v>
      </c>
      <c r="G987" s="72">
        <f t="shared" si="50"/>
        <v>6</v>
      </c>
      <c r="H987" s="73">
        <f t="shared" si="51"/>
        <v>0.96052631578947367</v>
      </c>
      <c r="I987" s="2"/>
      <c r="J987" s="2"/>
      <c r="K987" s="2"/>
      <c r="L987" s="2"/>
      <c r="M987" s="2">
        <v>6</v>
      </c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F987" s="1"/>
    </row>
    <row r="988" spans="1:58" s="22" customFormat="1" x14ac:dyDescent="0.25">
      <c r="A988" s="5" t="s">
        <v>8</v>
      </c>
      <c r="B988" s="4">
        <v>46196</v>
      </c>
      <c r="C988" s="2">
        <f t="shared" si="49"/>
        <v>26</v>
      </c>
      <c r="D988" s="3">
        <v>100</v>
      </c>
      <c r="E988" s="70">
        <f>[1]DETAY!$A$2</f>
        <v>0</v>
      </c>
      <c r="F988" s="71">
        <f t="shared" si="52"/>
        <v>100</v>
      </c>
      <c r="G988" s="72">
        <f t="shared" si="50"/>
        <v>0</v>
      </c>
      <c r="H988" s="73">
        <f t="shared" si="51"/>
        <v>1</v>
      </c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F988" s="1"/>
    </row>
    <row r="989" spans="1:58" s="22" customFormat="1" x14ac:dyDescent="0.25">
      <c r="A989" s="5" t="s">
        <v>14</v>
      </c>
      <c r="B989" s="4">
        <v>46196</v>
      </c>
      <c r="C989" s="2">
        <f t="shared" si="49"/>
        <v>26</v>
      </c>
      <c r="D989" s="3">
        <v>220</v>
      </c>
      <c r="E989" s="70">
        <f>[1]DETAY!$A$2</f>
        <v>0</v>
      </c>
      <c r="F989" s="71">
        <f t="shared" si="52"/>
        <v>220</v>
      </c>
      <c r="G989" s="72">
        <f t="shared" si="50"/>
        <v>0</v>
      </c>
      <c r="H989" s="73">
        <f t="shared" si="51"/>
        <v>1</v>
      </c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F989" s="1"/>
    </row>
    <row r="990" spans="1:58" s="22" customFormat="1" x14ac:dyDescent="0.25">
      <c r="A990" s="5" t="s">
        <v>7</v>
      </c>
      <c r="B990" s="4">
        <v>46196</v>
      </c>
      <c r="C990" s="2">
        <f t="shared" si="49"/>
        <v>26</v>
      </c>
      <c r="D990" s="3">
        <v>512</v>
      </c>
      <c r="E990" s="70">
        <f>[1]DETAY!$A$2</f>
        <v>0</v>
      </c>
      <c r="F990" s="71">
        <f t="shared" si="52"/>
        <v>512</v>
      </c>
      <c r="G990" s="72">
        <f t="shared" si="50"/>
        <v>0</v>
      </c>
      <c r="H990" s="73">
        <f t="shared" si="51"/>
        <v>1</v>
      </c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F990" s="1"/>
    </row>
    <row r="991" spans="1:58" s="22" customFormat="1" x14ac:dyDescent="0.25">
      <c r="A991" s="5" t="s">
        <v>13</v>
      </c>
      <c r="B991" s="4">
        <v>46196</v>
      </c>
      <c r="C991" s="2">
        <f t="shared" si="49"/>
        <v>26</v>
      </c>
      <c r="D991" s="3">
        <v>580</v>
      </c>
      <c r="E991" s="70">
        <f>[1]DETAY!$A$2</f>
        <v>0</v>
      </c>
      <c r="F991" s="71">
        <f t="shared" si="52"/>
        <v>480</v>
      </c>
      <c r="G991" s="72">
        <f t="shared" si="50"/>
        <v>100</v>
      </c>
      <c r="H991" s="73">
        <f t="shared" si="51"/>
        <v>0.82758620689655171</v>
      </c>
      <c r="I991" s="2">
        <v>100</v>
      </c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F991" s="1"/>
    </row>
    <row r="992" spans="1:58" s="22" customFormat="1" x14ac:dyDescent="0.25">
      <c r="A992" s="5" t="s">
        <v>12</v>
      </c>
      <c r="B992" s="4">
        <v>46196</v>
      </c>
      <c r="C992" s="2">
        <f t="shared" si="49"/>
        <v>26</v>
      </c>
      <c r="D992" s="3">
        <v>800</v>
      </c>
      <c r="E992" s="70">
        <f>[1]DETAY!$A$2</f>
        <v>0</v>
      </c>
      <c r="F992" s="71">
        <f t="shared" si="52"/>
        <v>800</v>
      </c>
      <c r="G992" s="72">
        <f t="shared" si="50"/>
        <v>0</v>
      </c>
      <c r="H992" s="73">
        <f t="shared" si="51"/>
        <v>1</v>
      </c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F992" s="1"/>
    </row>
    <row r="993" spans="1:58" s="22" customFormat="1" x14ac:dyDescent="0.25">
      <c r="A993" s="5" t="s">
        <v>5</v>
      </c>
      <c r="B993" s="4">
        <v>46196</v>
      </c>
      <c r="C993" s="2">
        <f t="shared" si="49"/>
        <v>26</v>
      </c>
      <c r="D993" s="3">
        <v>154</v>
      </c>
      <c r="E993" s="70">
        <f>[1]DETAY!$A$2</f>
        <v>0</v>
      </c>
      <c r="F993" s="71">
        <f t="shared" si="52"/>
        <v>154</v>
      </c>
      <c r="G993" s="72">
        <f t="shared" si="50"/>
        <v>0</v>
      </c>
      <c r="H993" s="73">
        <f t="shared" si="51"/>
        <v>1</v>
      </c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F993" s="1"/>
    </row>
    <row r="994" spans="1:58" s="22" customFormat="1" x14ac:dyDescent="0.25">
      <c r="A994" s="5" t="s">
        <v>4</v>
      </c>
      <c r="B994" s="4">
        <v>46196</v>
      </c>
      <c r="C994" s="2">
        <f t="shared" si="49"/>
        <v>26</v>
      </c>
      <c r="D994" s="3">
        <v>308</v>
      </c>
      <c r="E994" s="70">
        <f>[1]DETAY!$A$2</f>
        <v>0</v>
      </c>
      <c r="F994" s="71">
        <f t="shared" si="52"/>
        <v>308</v>
      </c>
      <c r="G994" s="72">
        <f t="shared" si="50"/>
        <v>0</v>
      </c>
      <c r="H994" s="73">
        <f t="shared" si="51"/>
        <v>1</v>
      </c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F994" s="1"/>
    </row>
    <row r="995" spans="1:58" s="22" customFormat="1" x14ac:dyDescent="0.25">
      <c r="A995" s="5" t="s">
        <v>6</v>
      </c>
      <c r="B995" s="4">
        <v>46196</v>
      </c>
      <c r="C995" s="2">
        <f t="shared" si="49"/>
        <v>26</v>
      </c>
      <c r="D995" s="3">
        <v>385</v>
      </c>
      <c r="E995" s="70">
        <f>[1]DETAY!$A$2</f>
        <v>0</v>
      </c>
      <c r="F995" s="71">
        <f t="shared" si="52"/>
        <v>385</v>
      </c>
      <c r="G995" s="72">
        <f t="shared" si="50"/>
        <v>0</v>
      </c>
      <c r="H995" s="73">
        <f t="shared" si="51"/>
        <v>1</v>
      </c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F995" s="1"/>
    </row>
    <row r="996" spans="1:58" s="22" customFormat="1" x14ac:dyDescent="0.25">
      <c r="A996" s="5" t="s">
        <v>0</v>
      </c>
      <c r="B996" s="4">
        <v>46196</v>
      </c>
      <c r="C996" s="2">
        <f t="shared" si="49"/>
        <v>26</v>
      </c>
      <c r="D996" s="3">
        <v>163</v>
      </c>
      <c r="E996" s="70">
        <f>[1]DETAY!$A$2</f>
        <v>0</v>
      </c>
      <c r="F996" s="71">
        <f t="shared" si="52"/>
        <v>130</v>
      </c>
      <c r="G996" s="72">
        <f t="shared" si="50"/>
        <v>33</v>
      </c>
      <c r="H996" s="73">
        <f t="shared" si="51"/>
        <v>0.7975460122699386</v>
      </c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>
        <v>33</v>
      </c>
      <c r="AV996" s="2"/>
      <c r="AW996" s="2"/>
      <c r="AX996" s="2"/>
      <c r="AY996" s="2"/>
      <c r="AZ996" s="2"/>
      <c r="BA996" s="2"/>
      <c r="BB996" s="2"/>
      <c r="BC996" s="2"/>
      <c r="BD996" s="2"/>
      <c r="BF996" s="1"/>
    </row>
    <row r="997" spans="1:58" s="22" customFormat="1" x14ac:dyDescent="0.25">
      <c r="A997" s="76" t="s">
        <v>21</v>
      </c>
      <c r="B997" s="77">
        <v>46197</v>
      </c>
      <c r="C997" s="76">
        <f t="shared" si="49"/>
        <v>26</v>
      </c>
      <c r="D997" s="78">
        <v>1224</v>
      </c>
      <c r="E997" s="79">
        <f>[1]DETAY!$A$2</f>
        <v>0</v>
      </c>
      <c r="F997" s="80">
        <f t="shared" si="52"/>
        <v>1200</v>
      </c>
      <c r="G997" s="81">
        <f t="shared" si="50"/>
        <v>24</v>
      </c>
      <c r="H997" s="82">
        <f t="shared" si="51"/>
        <v>0.98039215686274506</v>
      </c>
      <c r="I997" s="76"/>
      <c r="J997" s="76"/>
      <c r="K997" s="76"/>
      <c r="L997" s="76">
        <v>18</v>
      </c>
      <c r="M997" s="76"/>
      <c r="N997" s="2"/>
      <c r="O997" s="2"/>
      <c r="P997" s="2"/>
      <c r="Q997" s="76"/>
      <c r="R997" s="76">
        <v>6</v>
      </c>
      <c r="S997" s="2"/>
      <c r="T997" s="2"/>
      <c r="U997" s="2"/>
      <c r="V997" s="2"/>
      <c r="W997" s="2"/>
      <c r="X997" s="2"/>
      <c r="Y997" s="2"/>
      <c r="Z997" s="2"/>
      <c r="AA997" s="2"/>
      <c r="AB997" s="76"/>
      <c r="AC997" s="76"/>
      <c r="AD997" s="2"/>
      <c r="AE997" s="2"/>
      <c r="AF997" s="76"/>
      <c r="AG997" s="2"/>
      <c r="AH997" s="76"/>
      <c r="AI997" s="2"/>
      <c r="AJ997" s="76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76"/>
      <c r="AV997" s="2"/>
      <c r="AW997" s="2"/>
      <c r="AX997" s="2"/>
      <c r="AY997" s="76"/>
      <c r="AZ997" s="2"/>
      <c r="BA997" s="2"/>
      <c r="BB997" s="2"/>
      <c r="BC997" s="2"/>
      <c r="BD997" s="2"/>
      <c r="BF997" s="1"/>
    </row>
    <row r="998" spans="1:58" s="22" customFormat="1" x14ac:dyDescent="0.25">
      <c r="A998" s="76" t="s">
        <v>20</v>
      </c>
      <c r="B998" s="77">
        <v>46197</v>
      </c>
      <c r="C998" s="76">
        <f t="shared" si="49"/>
        <v>26</v>
      </c>
      <c r="D998" s="78">
        <v>645</v>
      </c>
      <c r="E998" s="79">
        <f>[1]DETAY!$A$2</f>
        <v>0</v>
      </c>
      <c r="F998" s="80">
        <f t="shared" si="52"/>
        <v>625</v>
      </c>
      <c r="G998" s="81">
        <f t="shared" si="50"/>
        <v>20</v>
      </c>
      <c r="H998" s="82">
        <f t="shared" si="51"/>
        <v>0.96899224806201545</v>
      </c>
      <c r="I998" s="76"/>
      <c r="J998" s="76">
        <v>20</v>
      </c>
      <c r="K998" s="76"/>
      <c r="L998" s="76"/>
      <c r="M998" s="76"/>
      <c r="N998" s="2"/>
      <c r="O998" s="2"/>
      <c r="P998" s="2"/>
      <c r="Q998" s="76"/>
      <c r="R998" s="76"/>
      <c r="S998" s="2"/>
      <c r="T998" s="2"/>
      <c r="U998" s="2"/>
      <c r="V998" s="2"/>
      <c r="W998" s="2"/>
      <c r="X998" s="2"/>
      <c r="Y998" s="2"/>
      <c r="Z998" s="2"/>
      <c r="AA998" s="2"/>
      <c r="AB998" s="76"/>
      <c r="AC998" s="76"/>
      <c r="AD998" s="2"/>
      <c r="AE998" s="2"/>
      <c r="AF998" s="76"/>
      <c r="AG998" s="2"/>
      <c r="AH998" s="76"/>
      <c r="AI998" s="2"/>
      <c r="AJ998" s="76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76"/>
      <c r="AV998" s="2"/>
      <c r="AW998" s="2"/>
      <c r="AX998" s="2"/>
      <c r="AY998" s="76"/>
      <c r="AZ998" s="2"/>
      <c r="BA998" s="2"/>
      <c r="BB998" s="2"/>
      <c r="BC998" s="2"/>
      <c r="BD998" s="2"/>
      <c r="BF998" s="1"/>
    </row>
    <row r="999" spans="1:58" s="22" customFormat="1" x14ac:dyDescent="0.25">
      <c r="A999" s="76" t="s">
        <v>19</v>
      </c>
      <c r="B999" s="77">
        <v>46197</v>
      </c>
      <c r="C999" s="76">
        <f t="shared" si="49"/>
        <v>26</v>
      </c>
      <c r="D999" s="78">
        <v>727</v>
      </c>
      <c r="E999" s="79">
        <f>[1]DETAY!$A$2</f>
        <v>0</v>
      </c>
      <c r="F999" s="80">
        <f t="shared" si="52"/>
        <v>700</v>
      </c>
      <c r="G999" s="81">
        <f t="shared" si="50"/>
        <v>27</v>
      </c>
      <c r="H999" s="82">
        <f t="shared" si="51"/>
        <v>0.96286107290233836</v>
      </c>
      <c r="I999" s="76"/>
      <c r="J999" s="76">
        <v>26</v>
      </c>
      <c r="K999" s="76"/>
      <c r="L999" s="76">
        <v>1</v>
      </c>
      <c r="M999" s="76"/>
      <c r="N999" s="2"/>
      <c r="O999" s="2"/>
      <c r="P999" s="2"/>
      <c r="Q999" s="76"/>
      <c r="R999" s="76"/>
      <c r="S999" s="2"/>
      <c r="T999" s="2"/>
      <c r="U999" s="2"/>
      <c r="V999" s="2"/>
      <c r="W999" s="2"/>
      <c r="X999" s="2"/>
      <c r="Y999" s="2"/>
      <c r="Z999" s="2"/>
      <c r="AA999" s="2"/>
      <c r="AB999" s="76"/>
      <c r="AC999" s="76"/>
      <c r="AD999" s="2"/>
      <c r="AE999" s="2"/>
      <c r="AF999" s="76"/>
      <c r="AG999" s="2"/>
      <c r="AH999" s="76"/>
      <c r="AI999" s="2"/>
      <c r="AJ999" s="76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76"/>
      <c r="AV999" s="2"/>
      <c r="AW999" s="2"/>
      <c r="AX999" s="2"/>
      <c r="AY999" s="76"/>
      <c r="AZ999" s="2"/>
      <c r="BA999" s="2"/>
      <c r="BB999" s="2"/>
      <c r="BC999" s="2"/>
      <c r="BD999" s="2"/>
      <c r="BF999" s="1"/>
    </row>
    <row r="1000" spans="1:58" s="22" customFormat="1" x14ac:dyDescent="0.25">
      <c r="A1000" s="76" t="s">
        <v>16</v>
      </c>
      <c r="B1000" s="77">
        <v>46197</v>
      </c>
      <c r="C1000" s="76">
        <f t="shared" si="49"/>
        <v>26</v>
      </c>
      <c r="D1000" s="78">
        <v>1753</v>
      </c>
      <c r="E1000" s="79">
        <f>[1]DETAY!$A$2</f>
        <v>0</v>
      </c>
      <c r="F1000" s="80">
        <f t="shared" si="52"/>
        <v>1680</v>
      </c>
      <c r="G1000" s="81">
        <f t="shared" si="50"/>
        <v>73</v>
      </c>
      <c r="H1000" s="82">
        <f t="shared" si="51"/>
        <v>0.95835710211066738</v>
      </c>
      <c r="I1000" s="76"/>
      <c r="J1000" s="76"/>
      <c r="K1000" s="76"/>
      <c r="L1000" s="76"/>
      <c r="M1000" s="76">
        <v>16</v>
      </c>
      <c r="N1000" s="2"/>
      <c r="O1000" s="2"/>
      <c r="P1000" s="2"/>
      <c r="Q1000" s="76">
        <v>4</v>
      </c>
      <c r="R1000" s="76"/>
      <c r="S1000" s="2"/>
      <c r="T1000" s="2"/>
      <c r="U1000" s="2"/>
      <c r="V1000" s="2"/>
      <c r="W1000" s="2"/>
      <c r="X1000" s="2"/>
      <c r="Y1000" s="2"/>
      <c r="Z1000" s="2"/>
      <c r="AA1000" s="2"/>
      <c r="AB1000" s="76"/>
      <c r="AC1000" s="76"/>
      <c r="AD1000" s="2"/>
      <c r="AE1000" s="2"/>
      <c r="AF1000" s="76"/>
      <c r="AG1000" s="2"/>
      <c r="AH1000" s="76">
        <v>5</v>
      </c>
      <c r="AI1000" s="2"/>
      <c r="AJ1000" s="76">
        <v>48</v>
      </c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76"/>
      <c r="AV1000" s="2"/>
      <c r="AW1000" s="2"/>
      <c r="AX1000" s="2"/>
      <c r="AY1000" s="76"/>
      <c r="AZ1000" s="2"/>
      <c r="BA1000" s="2"/>
      <c r="BB1000" s="2"/>
      <c r="BC1000" s="2"/>
      <c r="BD1000" s="2"/>
      <c r="BF1000" s="1"/>
    </row>
    <row r="1001" spans="1:58" s="22" customFormat="1" x14ac:dyDescent="0.25">
      <c r="A1001" s="76" t="s">
        <v>11</v>
      </c>
      <c r="B1001" s="77">
        <v>46197</v>
      </c>
      <c r="C1001" s="76">
        <f t="shared" si="49"/>
        <v>26</v>
      </c>
      <c r="D1001" s="78">
        <v>550</v>
      </c>
      <c r="E1001" s="79">
        <f>[1]DETAY!$A$2</f>
        <v>0</v>
      </c>
      <c r="F1001" s="80">
        <f t="shared" si="52"/>
        <v>540</v>
      </c>
      <c r="G1001" s="81">
        <f t="shared" si="50"/>
        <v>10</v>
      </c>
      <c r="H1001" s="82">
        <f t="shared" si="51"/>
        <v>0.98181818181818181</v>
      </c>
      <c r="I1001" s="76"/>
      <c r="J1001" s="76"/>
      <c r="K1001" s="76"/>
      <c r="L1001" s="76">
        <v>10</v>
      </c>
      <c r="M1001" s="76"/>
      <c r="N1001" s="2"/>
      <c r="O1001" s="2"/>
      <c r="P1001" s="2"/>
      <c r="Q1001" s="76"/>
      <c r="R1001" s="76"/>
      <c r="S1001" s="2"/>
      <c r="T1001" s="2"/>
      <c r="U1001" s="2"/>
      <c r="V1001" s="2"/>
      <c r="W1001" s="2"/>
      <c r="X1001" s="2"/>
      <c r="Y1001" s="2"/>
      <c r="Z1001" s="2"/>
      <c r="AA1001" s="2"/>
      <c r="AB1001" s="76"/>
      <c r="AC1001" s="76"/>
      <c r="AD1001" s="2"/>
      <c r="AE1001" s="2"/>
      <c r="AF1001" s="76"/>
      <c r="AG1001" s="2"/>
      <c r="AH1001" s="76"/>
      <c r="AI1001" s="2"/>
      <c r="AJ1001" s="76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76"/>
      <c r="AV1001" s="2"/>
      <c r="AW1001" s="2"/>
      <c r="AX1001" s="2"/>
      <c r="AY1001" s="76"/>
      <c r="AZ1001" s="2"/>
      <c r="BA1001" s="2"/>
      <c r="BB1001" s="2"/>
      <c r="BC1001" s="2"/>
      <c r="BD1001" s="2"/>
      <c r="BF1001" s="1"/>
    </row>
    <row r="1002" spans="1:58" s="22" customFormat="1" x14ac:dyDescent="0.25">
      <c r="A1002" s="76" t="s">
        <v>10</v>
      </c>
      <c r="B1002" s="77">
        <v>46197</v>
      </c>
      <c r="C1002" s="76">
        <f t="shared" si="49"/>
        <v>26</v>
      </c>
      <c r="D1002" s="78">
        <v>903</v>
      </c>
      <c r="E1002" s="79">
        <f>[1]DETAY!$A$2</f>
        <v>0</v>
      </c>
      <c r="F1002" s="80">
        <f t="shared" si="52"/>
        <v>900</v>
      </c>
      <c r="G1002" s="81">
        <f t="shared" si="50"/>
        <v>3</v>
      </c>
      <c r="H1002" s="82">
        <f t="shared" si="51"/>
        <v>0.99667774086378735</v>
      </c>
      <c r="I1002" s="76"/>
      <c r="J1002" s="76"/>
      <c r="K1002" s="76"/>
      <c r="L1002" s="76"/>
      <c r="M1002" s="76">
        <v>3</v>
      </c>
      <c r="N1002" s="2"/>
      <c r="O1002" s="2"/>
      <c r="P1002" s="2"/>
      <c r="Q1002" s="76"/>
      <c r="R1002" s="76"/>
      <c r="S1002" s="2"/>
      <c r="T1002" s="2"/>
      <c r="U1002" s="2"/>
      <c r="V1002" s="2"/>
      <c r="W1002" s="2"/>
      <c r="X1002" s="2"/>
      <c r="Y1002" s="2"/>
      <c r="Z1002" s="2"/>
      <c r="AA1002" s="2"/>
      <c r="AB1002" s="76"/>
      <c r="AC1002" s="76"/>
      <c r="AD1002" s="2"/>
      <c r="AE1002" s="2"/>
      <c r="AF1002" s="76"/>
      <c r="AG1002" s="2"/>
      <c r="AH1002" s="76"/>
      <c r="AI1002" s="2"/>
      <c r="AJ1002" s="76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76"/>
      <c r="AV1002" s="2"/>
      <c r="AW1002" s="2"/>
      <c r="AX1002" s="2"/>
      <c r="AY1002" s="76"/>
      <c r="AZ1002" s="2"/>
      <c r="BA1002" s="2"/>
      <c r="BB1002" s="2"/>
      <c r="BC1002" s="2"/>
      <c r="BD1002" s="2"/>
      <c r="BF1002" s="1"/>
    </row>
    <row r="1003" spans="1:58" s="22" customFormat="1" x14ac:dyDescent="0.25">
      <c r="A1003" s="76" t="s">
        <v>9</v>
      </c>
      <c r="B1003" s="77">
        <v>46197</v>
      </c>
      <c r="C1003" s="76">
        <f t="shared" si="49"/>
        <v>26</v>
      </c>
      <c r="D1003" s="78">
        <v>1104</v>
      </c>
      <c r="E1003" s="79">
        <f>[1]DETAY!$A$2</f>
        <v>0</v>
      </c>
      <c r="F1003" s="80">
        <f t="shared" si="52"/>
        <v>1100</v>
      </c>
      <c r="G1003" s="81">
        <f t="shared" si="50"/>
        <v>4</v>
      </c>
      <c r="H1003" s="82">
        <f t="shared" si="51"/>
        <v>0.99637681159420288</v>
      </c>
      <c r="I1003" s="76"/>
      <c r="J1003" s="76"/>
      <c r="K1003" s="76"/>
      <c r="L1003" s="76"/>
      <c r="M1003" s="76">
        <v>4</v>
      </c>
      <c r="N1003" s="2"/>
      <c r="O1003" s="2"/>
      <c r="P1003" s="2"/>
      <c r="Q1003" s="76"/>
      <c r="R1003" s="76"/>
      <c r="S1003" s="2"/>
      <c r="T1003" s="2"/>
      <c r="U1003" s="2"/>
      <c r="V1003" s="2"/>
      <c r="W1003" s="2"/>
      <c r="X1003" s="2"/>
      <c r="Y1003" s="2"/>
      <c r="Z1003" s="2"/>
      <c r="AA1003" s="2"/>
      <c r="AB1003" s="76"/>
      <c r="AC1003" s="76"/>
      <c r="AD1003" s="2"/>
      <c r="AE1003" s="2"/>
      <c r="AF1003" s="76"/>
      <c r="AG1003" s="2"/>
      <c r="AH1003" s="76"/>
      <c r="AI1003" s="2"/>
      <c r="AJ1003" s="76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76"/>
      <c r="AV1003" s="2"/>
      <c r="AW1003" s="2"/>
      <c r="AX1003" s="2"/>
      <c r="AY1003" s="76"/>
      <c r="AZ1003" s="2"/>
      <c r="BA1003" s="2"/>
      <c r="BB1003" s="2"/>
      <c r="BC1003" s="2"/>
      <c r="BD1003" s="2"/>
      <c r="BF1003" s="1"/>
    </row>
    <row r="1004" spans="1:58" s="22" customFormat="1" x14ac:dyDescent="0.25">
      <c r="A1004" s="76" t="s">
        <v>8</v>
      </c>
      <c r="B1004" s="77">
        <v>46197</v>
      </c>
      <c r="C1004" s="76">
        <f t="shared" si="49"/>
        <v>26</v>
      </c>
      <c r="D1004" s="78">
        <v>220</v>
      </c>
      <c r="E1004" s="79">
        <f>[1]DETAY!$A$2</f>
        <v>0</v>
      </c>
      <c r="F1004" s="80">
        <f t="shared" si="52"/>
        <v>220</v>
      </c>
      <c r="G1004" s="81">
        <f t="shared" si="50"/>
        <v>0</v>
      </c>
      <c r="H1004" s="82">
        <f t="shared" si="51"/>
        <v>1</v>
      </c>
      <c r="I1004" s="76"/>
      <c r="J1004" s="76"/>
      <c r="K1004" s="76"/>
      <c r="L1004" s="76"/>
      <c r="M1004" s="76"/>
      <c r="N1004" s="2"/>
      <c r="O1004" s="2"/>
      <c r="P1004" s="2"/>
      <c r="Q1004" s="76"/>
      <c r="R1004" s="76"/>
      <c r="S1004" s="2"/>
      <c r="T1004" s="2"/>
      <c r="U1004" s="2"/>
      <c r="V1004" s="2"/>
      <c r="W1004" s="2"/>
      <c r="X1004" s="2"/>
      <c r="Y1004" s="2"/>
      <c r="Z1004" s="2"/>
      <c r="AA1004" s="2"/>
      <c r="AB1004" s="76"/>
      <c r="AC1004" s="76"/>
      <c r="AD1004" s="2"/>
      <c r="AE1004" s="2"/>
      <c r="AF1004" s="76"/>
      <c r="AG1004" s="2"/>
      <c r="AH1004" s="76"/>
      <c r="AI1004" s="2"/>
      <c r="AJ1004" s="76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76"/>
      <c r="AV1004" s="2"/>
      <c r="AW1004" s="2"/>
      <c r="AX1004" s="2"/>
      <c r="AY1004" s="76"/>
      <c r="AZ1004" s="2"/>
      <c r="BA1004" s="2"/>
      <c r="BB1004" s="2"/>
      <c r="BC1004" s="2"/>
      <c r="BD1004" s="2"/>
      <c r="BF1004" s="1"/>
    </row>
    <row r="1005" spans="1:58" s="22" customFormat="1" x14ac:dyDescent="0.25">
      <c r="A1005" s="76" t="s">
        <v>7</v>
      </c>
      <c r="B1005" s="77">
        <v>46197</v>
      </c>
      <c r="C1005" s="76">
        <f t="shared" ref="C1005:C1053" si="53">WEEKNUM(B1005)</f>
        <v>26</v>
      </c>
      <c r="D1005" s="78">
        <v>192</v>
      </c>
      <c r="E1005" s="79">
        <f>[1]DETAY!$A$2</f>
        <v>0</v>
      </c>
      <c r="F1005" s="80">
        <f t="shared" si="52"/>
        <v>192</v>
      </c>
      <c r="G1005" s="81">
        <f t="shared" ref="G1005:G1033" si="54">SUBTOTAL(9,I1005:BD1005)</f>
        <v>0</v>
      </c>
      <c r="H1005" s="82">
        <f t="shared" ref="H1005:H1049" si="55">F1005/D1005</f>
        <v>1</v>
      </c>
      <c r="I1005" s="76"/>
      <c r="J1005" s="76"/>
      <c r="K1005" s="76"/>
      <c r="L1005" s="76"/>
      <c r="M1005" s="76"/>
      <c r="N1005" s="2"/>
      <c r="O1005" s="2"/>
      <c r="P1005" s="2"/>
      <c r="Q1005" s="76"/>
      <c r="R1005" s="76"/>
      <c r="S1005" s="2"/>
      <c r="T1005" s="2"/>
      <c r="U1005" s="2"/>
      <c r="V1005" s="2"/>
      <c r="W1005" s="2"/>
      <c r="X1005" s="2"/>
      <c r="Y1005" s="2"/>
      <c r="Z1005" s="2"/>
      <c r="AA1005" s="2"/>
      <c r="AB1005" s="76"/>
      <c r="AC1005" s="76"/>
      <c r="AD1005" s="2"/>
      <c r="AE1005" s="2"/>
      <c r="AF1005" s="76"/>
      <c r="AG1005" s="2"/>
      <c r="AH1005" s="76"/>
      <c r="AI1005" s="2"/>
      <c r="AJ1005" s="76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76"/>
      <c r="AV1005" s="2"/>
      <c r="AW1005" s="2"/>
      <c r="AX1005" s="2"/>
      <c r="AY1005" s="76"/>
      <c r="AZ1005" s="2"/>
      <c r="BA1005" s="2"/>
      <c r="BB1005" s="2"/>
      <c r="BC1005" s="2"/>
      <c r="BD1005" s="2"/>
      <c r="BF1005" s="1"/>
    </row>
    <row r="1006" spans="1:58" s="22" customFormat="1" x14ac:dyDescent="0.25">
      <c r="A1006" s="76" t="s">
        <v>13</v>
      </c>
      <c r="B1006" s="77">
        <v>46197</v>
      </c>
      <c r="C1006" s="76">
        <f t="shared" si="53"/>
        <v>26</v>
      </c>
      <c r="D1006" s="78">
        <v>360</v>
      </c>
      <c r="E1006" s="79">
        <f>[1]DETAY!$A$2</f>
        <v>0</v>
      </c>
      <c r="F1006" s="80">
        <f t="shared" si="52"/>
        <v>360</v>
      </c>
      <c r="G1006" s="81">
        <f t="shared" si="54"/>
        <v>0</v>
      </c>
      <c r="H1006" s="82">
        <f t="shared" si="55"/>
        <v>1</v>
      </c>
      <c r="I1006" s="76"/>
      <c r="J1006" s="76"/>
      <c r="K1006" s="76"/>
      <c r="L1006" s="76"/>
      <c r="M1006" s="76"/>
      <c r="N1006" s="2"/>
      <c r="O1006" s="2"/>
      <c r="P1006" s="2"/>
      <c r="Q1006" s="76"/>
      <c r="R1006" s="76"/>
      <c r="S1006" s="2"/>
      <c r="T1006" s="2"/>
      <c r="U1006" s="2"/>
      <c r="V1006" s="2"/>
      <c r="W1006" s="2"/>
      <c r="X1006" s="2"/>
      <c r="Y1006" s="2"/>
      <c r="Z1006" s="2"/>
      <c r="AA1006" s="2"/>
      <c r="AB1006" s="76"/>
      <c r="AC1006" s="76"/>
      <c r="AD1006" s="2"/>
      <c r="AE1006" s="2"/>
      <c r="AF1006" s="76"/>
      <c r="AG1006" s="2"/>
      <c r="AH1006" s="76"/>
      <c r="AI1006" s="2"/>
      <c r="AJ1006" s="76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76"/>
      <c r="AV1006" s="2"/>
      <c r="AW1006" s="2"/>
      <c r="AX1006" s="2"/>
      <c r="AY1006" s="76"/>
      <c r="AZ1006" s="2"/>
      <c r="BA1006" s="2"/>
      <c r="BB1006" s="2"/>
      <c r="BC1006" s="2"/>
      <c r="BD1006" s="2"/>
      <c r="BF1006" s="1"/>
    </row>
    <row r="1007" spans="1:58" s="22" customFormat="1" x14ac:dyDescent="0.25">
      <c r="A1007" s="76" t="s">
        <v>12</v>
      </c>
      <c r="B1007" s="77">
        <v>46197</v>
      </c>
      <c r="C1007" s="76">
        <f t="shared" si="53"/>
        <v>26</v>
      </c>
      <c r="D1007" s="78">
        <v>401</v>
      </c>
      <c r="E1007" s="79">
        <f>[1]DETAY!$A$2</f>
        <v>0</v>
      </c>
      <c r="F1007" s="80">
        <f t="shared" si="52"/>
        <v>400</v>
      </c>
      <c r="G1007" s="81">
        <f t="shared" si="54"/>
        <v>1</v>
      </c>
      <c r="H1007" s="82">
        <f t="shared" si="55"/>
        <v>0.99750623441396513</v>
      </c>
      <c r="I1007" s="76"/>
      <c r="J1007" s="76"/>
      <c r="K1007" s="76"/>
      <c r="L1007" s="76"/>
      <c r="M1007" s="76">
        <v>1</v>
      </c>
      <c r="N1007" s="2"/>
      <c r="O1007" s="2"/>
      <c r="P1007" s="2"/>
      <c r="Q1007" s="76"/>
      <c r="R1007" s="76"/>
      <c r="S1007" s="2"/>
      <c r="T1007" s="2"/>
      <c r="U1007" s="2"/>
      <c r="V1007" s="2"/>
      <c r="W1007" s="2"/>
      <c r="X1007" s="2"/>
      <c r="Y1007" s="2"/>
      <c r="Z1007" s="2"/>
      <c r="AA1007" s="2"/>
      <c r="AB1007" s="76"/>
      <c r="AC1007" s="76"/>
      <c r="AD1007" s="2"/>
      <c r="AE1007" s="2"/>
      <c r="AF1007" s="76"/>
      <c r="AG1007" s="2"/>
      <c r="AH1007" s="76"/>
      <c r="AI1007" s="2"/>
      <c r="AJ1007" s="76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76"/>
      <c r="AV1007" s="2"/>
      <c r="AW1007" s="2"/>
      <c r="AX1007" s="2"/>
      <c r="AY1007" s="76"/>
      <c r="AZ1007" s="2"/>
      <c r="BA1007" s="2"/>
      <c r="BB1007" s="2"/>
      <c r="BC1007" s="2"/>
      <c r="BD1007" s="2"/>
      <c r="BF1007" s="1"/>
    </row>
    <row r="1008" spans="1:58" s="22" customFormat="1" x14ac:dyDescent="0.25">
      <c r="A1008" s="76" t="s">
        <v>5</v>
      </c>
      <c r="B1008" s="77">
        <v>46197</v>
      </c>
      <c r="C1008" s="76">
        <f t="shared" si="53"/>
        <v>26</v>
      </c>
      <c r="D1008" s="78">
        <v>154</v>
      </c>
      <c r="E1008" s="79">
        <f>[1]DETAY!$A$2</f>
        <v>0</v>
      </c>
      <c r="F1008" s="80">
        <f t="shared" si="52"/>
        <v>154</v>
      </c>
      <c r="G1008" s="81">
        <f t="shared" si="54"/>
        <v>0</v>
      </c>
      <c r="H1008" s="82">
        <f t="shared" si="55"/>
        <v>1</v>
      </c>
      <c r="I1008" s="76"/>
      <c r="J1008" s="76"/>
      <c r="K1008" s="76"/>
      <c r="L1008" s="76"/>
      <c r="M1008" s="76"/>
      <c r="N1008" s="2"/>
      <c r="O1008" s="2"/>
      <c r="P1008" s="2"/>
      <c r="Q1008" s="76"/>
      <c r="R1008" s="76"/>
      <c r="S1008" s="2"/>
      <c r="T1008" s="2"/>
      <c r="U1008" s="2"/>
      <c r="V1008" s="2"/>
      <c r="W1008" s="2"/>
      <c r="X1008" s="2"/>
      <c r="Y1008" s="2"/>
      <c r="Z1008" s="2"/>
      <c r="AA1008" s="2"/>
      <c r="AB1008" s="76"/>
      <c r="AC1008" s="76"/>
      <c r="AD1008" s="2"/>
      <c r="AE1008" s="2"/>
      <c r="AF1008" s="76"/>
      <c r="AG1008" s="2"/>
      <c r="AH1008" s="76"/>
      <c r="AI1008" s="2"/>
      <c r="AJ1008" s="76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76"/>
      <c r="AV1008" s="2"/>
      <c r="AW1008" s="2"/>
      <c r="AX1008" s="2"/>
      <c r="AY1008" s="76"/>
      <c r="AZ1008" s="2"/>
      <c r="BA1008" s="2"/>
      <c r="BB1008" s="2"/>
      <c r="BC1008" s="2"/>
      <c r="BD1008" s="2"/>
      <c r="BF1008" s="1"/>
    </row>
    <row r="1009" spans="1:58" s="22" customFormat="1" x14ac:dyDescent="0.25">
      <c r="A1009" s="76" t="s">
        <v>8</v>
      </c>
      <c r="B1009" s="77">
        <v>46197</v>
      </c>
      <c r="C1009" s="76">
        <f t="shared" si="53"/>
        <v>26</v>
      </c>
      <c r="D1009" s="78">
        <v>30</v>
      </c>
      <c r="E1009" s="79">
        <f>[1]DETAY!$A$2</f>
        <v>0</v>
      </c>
      <c r="F1009" s="80">
        <f t="shared" si="52"/>
        <v>30</v>
      </c>
      <c r="G1009" s="81">
        <f t="shared" si="54"/>
        <v>0</v>
      </c>
      <c r="H1009" s="82">
        <f t="shared" si="55"/>
        <v>1</v>
      </c>
      <c r="I1009" s="76"/>
      <c r="J1009" s="76"/>
      <c r="K1009" s="76"/>
      <c r="L1009" s="76"/>
      <c r="M1009" s="76"/>
      <c r="N1009" s="2"/>
      <c r="O1009" s="2"/>
      <c r="P1009" s="2"/>
      <c r="Q1009" s="76"/>
      <c r="R1009" s="76"/>
      <c r="S1009" s="2"/>
      <c r="T1009" s="2"/>
      <c r="U1009" s="2"/>
      <c r="V1009" s="2"/>
      <c r="W1009" s="2"/>
      <c r="X1009" s="2"/>
      <c r="Y1009" s="2"/>
      <c r="Z1009" s="2"/>
      <c r="AA1009" s="2"/>
      <c r="AB1009" s="76"/>
      <c r="AC1009" s="76"/>
      <c r="AD1009" s="2"/>
      <c r="AE1009" s="2"/>
      <c r="AF1009" s="76"/>
      <c r="AG1009" s="2"/>
      <c r="AH1009" s="76"/>
      <c r="AI1009" s="2"/>
      <c r="AJ1009" s="76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76"/>
      <c r="AV1009" s="2"/>
      <c r="AW1009" s="2"/>
      <c r="AX1009" s="2"/>
      <c r="AY1009" s="76"/>
      <c r="AZ1009" s="2"/>
      <c r="BA1009" s="2"/>
      <c r="BB1009" s="2"/>
      <c r="BC1009" s="2"/>
      <c r="BD1009" s="2"/>
      <c r="BF1009" s="1"/>
    </row>
    <row r="1010" spans="1:58" s="22" customFormat="1" x14ac:dyDescent="0.25">
      <c r="A1010" s="76" t="s">
        <v>13</v>
      </c>
      <c r="B1010" s="77">
        <v>46197</v>
      </c>
      <c r="C1010" s="76">
        <f t="shared" si="53"/>
        <v>26</v>
      </c>
      <c r="D1010" s="78">
        <v>600</v>
      </c>
      <c r="E1010" s="79">
        <f>[1]DETAY!$A$2</f>
        <v>0</v>
      </c>
      <c r="F1010" s="80">
        <f t="shared" si="52"/>
        <v>600</v>
      </c>
      <c r="G1010" s="81">
        <f t="shared" si="54"/>
        <v>0</v>
      </c>
      <c r="H1010" s="82">
        <f t="shared" si="55"/>
        <v>1</v>
      </c>
      <c r="I1010" s="76"/>
      <c r="J1010" s="76"/>
      <c r="K1010" s="76"/>
      <c r="L1010" s="76"/>
      <c r="M1010" s="76"/>
      <c r="N1010" s="2"/>
      <c r="O1010" s="2"/>
      <c r="P1010" s="2"/>
      <c r="Q1010" s="76"/>
      <c r="R1010" s="76"/>
      <c r="S1010" s="2"/>
      <c r="T1010" s="2"/>
      <c r="U1010" s="2"/>
      <c r="V1010" s="2"/>
      <c r="W1010" s="2"/>
      <c r="X1010" s="2"/>
      <c r="Y1010" s="2"/>
      <c r="Z1010" s="2"/>
      <c r="AA1010" s="2"/>
      <c r="AB1010" s="76"/>
      <c r="AC1010" s="76"/>
      <c r="AD1010" s="2"/>
      <c r="AE1010" s="2"/>
      <c r="AF1010" s="76"/>
      <c r="AG1010" s="2"/>
      <c r="AH1010" s="76"/>
      <c r="AI1010" s="2"/>
      <c r="AJ1010" s="76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76"/>
      <c r="AV1010" s="2"/>
      <c r="AW1010" s="2"/>
      <c r="AX1010" s="2"/>
      <c r="AY1010" s="76"/>
      <c r="AZ1010" s="2"/>
      <c r="BA1010" s="2"/>
      <c r="BB1010" s="2"/>
      <c r="BC1010" s="2"/>
      <c r="BD1010" s="2"/>
      <c r="BF1010" s="1"/>
    </row>
    <row r="1011" spans="1:58" s="22" customFormat="1" x14ac:dyDescent="0.25">
      <c r="A1011" s="76" t="s">
        <v>12</v>
      </c>
      <c r="B1011" s="77">
        <v>46197</v>
      </c>
      <c r="C1011" s="76">
        <f t="shared" si="53"/>
        <v>26</v>
      </c>
      <c r="D1011" s="78">
        <v>1460</v>
      </c>
      <c r="E1011" s="79">
        <f>[1]DETAY!$A$2</f>
        <v>0</v>
      </c>
      <c r="F1011" s="80">
        <f t="shared" si="52"/>
        <v>1240</v>
      </c>
      <c r="G1011" s="81">
        <f t="shared" si="54"/>
        <v>220</v>
      </c>
      <c r="H1011" s="82">
        <f t="shared" si="55"/>
        <v>0.84931506849315064</v>
      </c>
      <c r="I1011" s="76"/>
      <c r="J1011" s="76"/>
      <c r="K1011" s="76"/>
      <c r="L1011" s="76"/>
      <c r="M1011" s="76">
        <v>220</v>
      </c>
      <c r="N1011" s="2"/>
      <c r="O1011" s="2"/>
      <c r="P1011" s="2"/>
      <c r="Q1011" s="76"/>
      <c r="R1011" s="76"/>
      <c r="S1011" s="2"/>
      <c r="T1011" s="2"/>
      <c r="U1011" s="2"/>
      <c r="V1011" s="2"/>
      <c r="W1011" s="2"/>
      <c r="X1011" s="2"/>
      <c r="Y1011" s="2"/>
      <c r="Z1011" s="2"/>
      <c r="AA1011" s="2"/>
      <c r="AB1011" s="76"/>
      <c r="AC1011" s="76"/>
      <c r="AD1011" s="2"/>
      <c r="AE1011" s="2"/>
      <c r="AF1011" s="76"/>
      <c r="AG1011" s="2"/>
      <c r="AH1011" s="76"/>
      <c r="AI1011" s="2"/>
      <c r="AJ1011" s="76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76"/>
      <c r="AV1011" s="2"/>
      <c r="AW1011" s="2"/>
      <c r="AX1011" s="2"/>
      <c r="AY1011" s="76"/>
      <c r="AZ1011" s="2"/>
      <c r="BA1011" s="2"/>
      <c r="BB1011" s="2"/>
      <c r="BC1011" s="2"/>
      <c r="BD1011" s="2"/>
      <c r="BF1011" s="1"/>
    </row>
    <row r="1012" spans="1:58" s="22" customFormat="1" x14ac:dyDescent="0.25">
      <c r="A1012" s="76" t="s">
        <v>4</v>
      </c>
      <c r="B1012" s="77">
        <v>46197</v>
      </c>
      <c r="C1012" s="76">
        <f t="shared" si="53"/>
        <v>26</v>
      </c>
      <c r="D1012" s="78">
        <v>616</v>
      </c>
      <c r="E1012" s="79">
        <f>[1]DETAY!$A$2</f>
        <v>0</v>
      </c>
      <c r="F1012" s="80">
        <f t="shared" si="52"/>
        <v>616</v>
      </c>
      <c r="G1012" s="81">
        <f t="shared" si="54"/>
        <v>0</v>
      </c>
      <c r="H1012" s="82">
        <f t="shared" si="55"/>
        <v>1</v>
      </c>
      <c r="I1012" s="76"/>
      <c r="J1012" s="76"/>
      <c r="K1012" s="76"/>
      <c r="L1012" s="76"/>
      <c r="M1012" s="76"/>
      <c r="N1012" s="2"/>
      <c r="O1012" s="2"/>
      <c r="P1012" s="2"/>
      <c r="Q1012" s="76"/>
      <c r="R1012" s="76"/>
      <c r="S1012" s="2"/>
      <c r="T1012" s="2"/>
      <c r="U1012" s="2"/>
      <c r="V1012" s="2"/>
      <c r="W1012" s="2"/>
      <c r="X1012" s="2"/>
      <c r="Y1012" s="2"/>
      <c r="Z1012" s="2"/>
      <c r="AA1012" s="2"/>
      <c r="AB1012" s="76"/>
      <c r="AC1012" s="76"/>
      <c r="AD1012" s="2"/>
      <c r="AE1012" s="2"/>
      <c r="AF1012" s="76"/>
      <c r="AG1012" s="2"/>
      <c r="AH1012" s="76"/>
      <c r="AI1012" s="2"/>
      <c r="AJ1012" s="76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76"/>
      <c r="AV1012" s="2"/>
      <c r="AW1012" s="2"/>
      <c r="AX1012" s="2"/>
      <c r="AY1012" s="76"/>
      <c r="AZ1012" s="2"/>
      <c r="BA1012" s="2"/>
      <c r="BB1012" s="2"/>
      <c r="BC1012" s="2"/>
      <c r="BD1012" s="2"/>
      <c r="BF1012" s="1"/>
    </row>
    <row r="1013" spans="1:58" s="22" customFormat="1" x14ac:dyDescent="0.25">
      <c r="A1013" s="76" t="s">
        <v>12</v>
      </c>
      <c r="B1013" s="77">
        <v>46197</v>
      </c>
      <c r="C1013" s="76">
        <f t="shared" si="53"/>
        <v>26</v>
      </c>
      <c r="D1013" s="78">
        <v>318</v>
      </c>
      <c r="E1013" s="79">
        <f>[1]DETAY!$A$2</f>
        <v>0</v>
      </c>
      <c r="F1013" s="80">
        <f t="shared" si="52"/>
        <v>274</v>
      </c>
      <c r="G1013" s="81">
        <f t="shared" si="54"/>
        <v>44</v>
      </c>
      <c r="H1013" s="82">
        <f t="shared" si="55"/>
        <v>0.86163522012578619</v>
      </c>
      <c r="I1013" s="76"/>
      <c r="J1013" s="76"/>
      <c r="K1013" s="76"/>
      <c r="L1013" s="76"/>
      <c r="M1013" s="76">
        <v>44</v>
      </c>
      <c r="N1013" s="2"/>
      <c r="O1013" s="2"/>
      <c r="P1013" s="2"/>
      <c r="Q1013" s="76"/>
      <c r="R1013" s="76"/>
      <c r="S1013" s="2"/>
      <c r="T1013" s="2"/>
      <c r="U1013" s="2"/>
      <c r="V1013" s="2"/>
      <c r="W1013" s="2"/>
      <c r="X1013" s="2"/>
      <c r="Y1013" s="2"/>
      <c r="Z1013" s="2"/>
      <c r="AA1013" s="2"/>
      <c r="AB1013" s="76"/>
      <c r="AC1013" s="76"/>
      <c r="AD1013" s="2"/>
      <c r="AE1013" s="2"/>
      <c r="AF1013" s="76"/>
      <c r="AG1013" s="2"/>
      <c r="AH1013" s="76"/>
      <c r="AI1013" s="2"/>
      <c r="AJ1013" s="76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76"/>
      <c r="AV1013" s="2"/>
      <c r="AW1013" s="2"/>
      <c r="AX1013" s="2"/>
      <c r="AY1013" s="76"/>
      <c r="AZ1013" s="2"/>
      <c r="BA1013" s="2"/>
      <c r="BB1013" s="2"/>
      <c r="BC1013" s="2"/>
      <c r="BD1013" s="2"/>
      <c r="BF1013" s="1"/>
    </row>
    <row r="1014" spans="1:58" s="22" customFormat="1" x14ac:dyDescent="0.25">
      <c r="A1014" s="76" t="s">
        <v>0</v>
      </c>
      <c r="B1014" s="77">
        <v>46197</v>
      </c>
      <c r="C1014" s="76">
        <f t="shared" si="53"/>
        <v>26</v>
      </c>
      <c r="D1014" s="78">
        <v>316</v>
      </c>
      <c r="E1014" s="79">
        <f>[1]DETAY!$A$2</f>
        <v>0</v>
      </c>
      <c r="F1014" s="80">
        <f t="shared" si="52"/>
        <v>230</v>
      </c>
      <c r="G1014" s="81">
        <f t="shared" si="54"/>
        <v>86</v>
      </c>
      <c r="H1014" s="82">
        <f t="shared" si="55"/>
        <v>0.72784810126582278</v>
      </c>
      <c r="I1014" s="76"/>
      <c r="J1014" s="76"/>
      <c r="K1014" s="76"/>
      <c r="L1014" s="76"/>
      <c r="M1014" s="76"/>
      <c r="N1014" s="2"/>
      <c r="O1014" s="2"/>
      <c r="P1014" s="2"/>
      <c r="Q1014" s="76"/>
      <c r="R1014" s="76"/>
      <c r="S1014" s="2"/>
      <c r="T1014" s="2"/>
      <c r="U1014" s="2"/>
      <c r="V1014" s="2"/>
      <c r="W1014" s="2"/>
      <c r="X1014" s="2"/>
      <c r="Y1014" s="2"/>
      <c r="Z1014" s="2"/>
      <c r="AA1014" s="2"/>
      <c r="AB1014" s="76"/>
      <c r="AC1014" s="76"/>
      <c r="AD1014" s="2"/>
      <c r="AE1014" s="2"/>
      <c r="AF1014" s="76"/>
      <c r="AG1014" s="2"/>
      <c r="AH1014" s="76"/>
      <c r="AI1014" s="2"/>
      <c r="AJ1014" s="76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76">
        <v>86</v>
      </c>
      <c r="AV1014" s="2"/>
      <c r="AW1014" s="2"/>
      <c r="AX1014" s="2"/>
      <c r="AY1014" s="76"/>
      <c r="AZ1014" s="2"/>
      <c r="BA1014" s="2"/>
      <c r="BB1014" s="2"/>
      <c r="BC1014" s="2"/>
      <c r="BD1014" s="2"/>
      <c r="BF1014" s="1"/>
    </row>
    <row r="1015" spans="1:58" s="22" customFormat="1" x14ac:dyDescent="0.25">
      <c r="A1015" s="76" t="s">
        <v>22</v>
      </c>
      <c r="B1015" s="77">
        <v>46197</v>
      </c>
      <c r="C1015" s="76">
        <f t="shared" si="53"/>
        <v>26</v>
      </c>
      <c r="D1015" s="78">
        <v>1208</v>
      </c>
      <c r="E1015" s="79">
        <f>[1]DETAY!$A$2</f>
        <v>0</v>
      </c>
      <c r="F1015" s="80">
        <f t="shared" si="52"/>
        <v>1200</v>
      </c>
      <c r="G1015" s="81">
        <f t="shared" si="54"/>
        <v>8</v>
      </c>
      <c r="H1015" s="82">
        <f t="shared" si="55"/>
        <v>0.99337748344370858</v>
      </c>
      <c r="I1015" s="76"/>
      <c r="J1015" s="76"/>
      <c r="K1015" s="76"/>
      <c r="L1015" s="76">
        <v>8</v>
      </c>
      <c r="M1015" s="76"/>
      <c r="N1015" s="2"/>
      <c r="O1015" s="2"/>
      <c r="P1015" s="2"/>
      <c r="Q1015" s="76"/>
      <c r="R1015" s="76"/>
      <c r="S1015" s="2"/>
      <c r="T1015" s="2"/>
      <c r="U1015" s="2"/>
      <c r="V1015" s="2"/>
      <c r="W1015" s="2"/>
      <c r="X1015" s="2"/>
      <c r="Y1015" s="2"/>
      <c r="Z1015" s="2"/>
      <c r="AA1015" s="2"/>
      <c r="AB1015" s="76"/>
      <c r="AC1015" s="76"/>
      <c r="AD1015" s="2"/>
      <c r="AE1015" s="2"/>
      <c r="AF1015" s="76"/>
      <c r="AG1015" s="2"/>
      <c r="AH1015" s="76"/>
      <c r="AI1015" s="2"/>
      <c r="AJ1015" s="76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76"/>
      <c r="AV1015" s="2"/>
      <c r="AW1015" s="2"/>
      <c r="AX1015" s="2"/>
      <c r="AY1015" s="76"/>
      <c r="AZ1015" s="2"/>
      <c r="BA1015" s="2"/>
      <c r="BB1015" s="2"/>
      <c r="BC1015" s="2"/>
      <c r="BD1015" s="2"/>
      <c r="BF1015" s="1"/>
    </row>
    <row r="1016" spans="1:58" s="22" customFormat="1" x14ac:dyDescent="0.25">
      <c r="A1016" s="76" t="s">
        <v>21</v>
      </c>
      <c r="B1016" s="77">
        <v>46197</v>
      </c>
      <c r="C1016" s="76">
        <f t="shared" si="53"/>
        <v>26</v>
      </c>
      <c r="D1016" s="78">
        <v>306</v>
      </c>
      <c r="E1016" s="79">
        <f>[1]DETAY!$A$2</f>
        <v>0</v>
      </c>
      <c r="F1016" s="80">
        <f t="shared" si="52"/>
        <v>300</v>
      </c>
      <c r="G1016" s="81">
        <f t="shared" si="54"/>
        <v>6</v>
      </c>
      <c r="H1016" s="82">
        <f t="shared" si="55"/>
        <v>0.98039215686274506</v>
      </c>
      <c r="I1016" s="76"/>
      <c r="J1016" s="76"/>
      <c r="K1016" s="76"/>
      <c r="L1016" s="76">
        <v>6</v>
      </c>
      <c r="M1016" s="76"/>
      <c r="N1016" s="2"/>
      <c r="O1016" s="2"/>
      <c r="P1016" s="2"/>
      <c r="Q1016" s="76"/>
      <c r="R1016" s="76"/>
      <c r="S1016" s="2"/>
      <c r="T1016" s="2"/>
      <c r="U1016" s="2"/>
      <c r="V1016" s="2"/>
      <c r="W1016" s="2"/>
      <c r="X1016" s="2"/>
      <c r="Y1016" s="2"/>
      <c r="Z1016" s="2"/>
      <c r="AA1016" s="2"/>
      <c r="AB1016" s="76"/>
      <c r="AC1016" s="76"/>
      <c r="AD1016" s="2"/>
      <c r="AE1016" s="2"/>
      <c r="AF1016" s="76"/>
      <c r="AG1016" s="2"/>
      <c r="AH1016" s="76"/>
      <c r="AI1016" s="2"/>
      <c r="AJ1016" s="76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76"/>
      <c r="AV1016" s="2"/>
      <c r="AW1016" s="2"/>
      <c r="AX1016" s="2"/>
      <c r="AY1016" s="76"/>
      <c r="AZ1016" s="2"/>
      <c r="BA1016" s="2"/>
      <c r="BB1016" s="2"/>
      <c r="BC1016" s="2"/>
      <c r="BD1016" s="2"/>
      <c r="BF1016" s="1"/>
    </row>
    <row r="1017" spans="1:58" s="22" customFormat="1" x14ac:dyDescent="0.25">
      <c r="A1017" s="76" t="s">
        <v>20</v>
      </c>
      <c r="B1017" s="77">
        <v>46197</v>
      </c>
      <c r="C1017" s="76">
        <f t="shared" si="53"/>
        <v>26</v>
      </c>
      <c r="D1017" s="78">
        <v>973</v>
      </c>
      <c r="E1017" s="79">
        <f>[1]DETAY!$A$2</f>
        <v>0</v>
      </c>
      <c r="F1017" s="80">
        <f t="shared" si="52"/>
        <v>950</v>
      </c>
      <c r="G1017" s="81">
        <f t="shared" si="54"/>
        <v>23</v>
      </c>
      <c r="H1017" s="82">
        <f t="shared" si="55"/>
        <v>0.97636176772867422</v>
      </c>
      <c r="I1017" s="76"/>
      <c r="J1017" s="76">
        <v>20</v>
      </c>
      <c r="K1017" s="76"/>
      <c r="L1017" s="76">
        <v>3</v>
      </c>
      <c r="M1017" s="76"/>
      <c r="N1017" s="2"/>
      <c r="O1017" s="2"/>
      <c r="P1017" s="2"/>
      <c r="Q1017" s="76"/>
      <c r="R1017" s="76"/>
      <c r="S1017" s="2"/>
      <c r="T1017" s="2"/>
      <c r="U1017" s="2"/>
      <c r="V1017" s="2"/>
      <c r="W1017" s="2"/>
      <c r="X1017" s="2"/>
      <c r="Y1017" s="2"/>
      <c r="Z1017" s="2"/>
      <c r="AA1017" s="2"/>
      <c r="AB1017" s="76"/>
      <c r="AC1017" s="76"/>
      <c r="AD1017" s="2"/>
      <c r="AE1017" s="2"/>
      <c r="AF1017" s="76"/>
      <c r="AG1017" s="2"/>
      <c r="AH1017" s="76"/>
      <c r="AI1017" s="2"/>
      <c r="AJ1017" s="76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76"/>
      <c r="AV1017" s="2"/>
      <c r="AW1017" s="2"/>
      <c r="AX1017" s="2"/>
      <c r="AY1017" s="76"/>
      <c r="AZ1017" s="2"/>
      <c r="BA1017" s="2"/>
      <c r="BB1017" s="2"/>
      <c r="BC1017" s="2"/>
      <c r="BD1017" s="2"/>
      <c r="BF1017" s="1"/>
    </row>
    <row r="1018" spans="1:58" s="22" customFormat="1" x14ac:dyDescent="0.25">
      <c r="A1018" s="76" t="s">
        <v>16</v>
      </c>
      <c r="B1018" s="77">
        <v>46197</v>
      </c>
      <c r="C1018" s="76">
        <f t="shared" si="53"/>
        <v>26</v>
      </c>
      <c r="D1018" s="78">
        <v>863</v>
      </c>
      <c r="E1018" s="79">
        <f>[1]DETAY!$A$2</f>
        <v>0</v>
      </c>
      <c r="F1018" s="80">
        <f t="shared" si="52"/>
        <v>840</v>
      </c>
      <c r="G1018" s="81">
        <f t="shared" si="54"/>
        <v>23</v>
      </c>
      <c r="H1018" s="82">
        <f t="shared" si="55"/>
        <v>0.97334878331402086</v>
      </c>
      <c r="I1018" s="76"/>
      <c r="J1018" s="76"/>
      <c r="K1018" s="76"/>
      <c r="L1018" s="76">
        <v>4</v>
      </c>
      <c r="M1018" s="76"/>
      <c r="N1018" s="2"/>
      <c r="O1018" s="2"/>
      <c r="P1018" s="2">
        <v>1</v>
      </c>
      <c r="Q1018" s="76">
        <v>1</v>
      </c>
      <c r="R1018" s="76"/>
      <c r="S1018" s="2"/>
      <c r="T1018" s="2"/>
      <c r="U1018" s="2"/>
      <c r="V1018" s="2"/>
      <c r="W1018" s="2"/>
      <c r="X1018" s="2"/>
      <c r="Y1018" s="2"/>
      <c r="Z1018" s="2"/>
      <c r="AA1018" s="2"/>
      <c r="AB1018" s="76"/>
      <c r="AC1018" s="76"/>
      <c r="AD1018" s="2"/>
      <c r="AE1018" s="2"/>
      <c r="AF1018" s="76">
        <v>1</v>
      </c>
      <c r="AG1018" s="2"/>
      <c r="AH1018" s="76">
        <v>5</v>
      </c>
      <c r="AI1018" s="2"/>
      <c r="AJ1018" s="76">
        <v>11</v>
      </c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76"/>
      <c r="AV1018" s="2"/>
      <c r="AW1018" s="2"/>
      <c r="AX1018" s="2"/>
      <c r="AY1018" s="76"/>
      <c r="AZ1018" s="2"/>
      <c r="BA1018" s="2"/>
      <c r="BB1018" s="2"/>
      <c r="BC1018" s="2"/>
      <c r="BD1018" s="2"/>
      <c r="BF1018" s="1"/>
    </row>
    <row r="1019" spans="1:58" s="22" customFormat="1" x14ac:dyDescent="0.25">
      <c r="A1019" s="76" t="s">
        <v>10</v>
      </c>
      <c r="B1019" s="77">
        <v>46197</v>
      </c>
      <c r="C1019" s="76">
        <f t="shared" si="53"/>
        <v>26</v>
      </c>
      <c r="D1019" s="78">
        <v>244</v>
      </c>
      <c r="E1019" s="79">
        <f>[1]DETAY!$A$2</f>
        <v>0</v>
      </c>
      <c r="F1019" s="80">
        <f t="shared" si="52"/>
        <v>240</v>
      </c>
      <c r="G1019" s="81">
        <f t="shared" si="54"/>
        <v>4</v>
      </c>
      <c r="H1019" s="82">
        <f t="shared" si="55"/>
        <v>0.98360655737704916</v>
      </c>
      <c r="I1019" s="76"/>
      <c r="J1019" s="76"/>
      <c r="K1019" s="76"/>
      <c r="L1019" s="76"/>
      <c r="M1019" s="76">
        <v>4</v>
      </c>
      <c r="N1019" s="2"/>
      <c r="O1019" s="2"/>
      <c r="P1019" s="2"/>
      <c r="Q1019" s="76"/>
      <c r="R1019" s="76"/>
      <c r="S1019" s="2"/>
      <c r="T1019" s="2"/>
      <c r="U1019" s="2"/>
      <c r="V1019" s="2"/>
      <c r="W1019" s="2"/>
      <c r="X1019" s="2"/>
      <c r="Y1019" s="2"/>
      <c r="Z1019" s="2"/>
      <c r="AA1019" s="2"/>
      <c r="AB1019" s="76"/>
      <c r="AC1019" s="76"/>
      <c r="AD1019" s="2"/>
      <c r="AE1019" s="2"/>
      <c r="AF1019" s="76"/>
      <c r="AG1019" s="2"/>
      <c r="AH1019" s="76"/>
      <c r="AI1019" s="2"/>
      <c r="AJ1019" s="76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76"/>
      <c r="AV1019" s="2"/>
      <c r="AW1019" s="2"/>
      <c r="AX1019" s="2"/>
      <c r="AY1019" s="76"/>
      <c r="AZ1019" s="2"/>
      <c r="BA1019" s="2"/>
      <c r="BB1019" s="2"/>
      <c r="BC1019" s="2"/>
      <c r="BD1019" s="2"/>
      <c r="BF1019" s="1"/>
    </row>
    <row r="1020" spans="1:58" s="22" customFormat="1" x14ac:dyDescent="0.25">
      <c r="A1020" s="76" t="s">
        <v>9</v>
      </c>
      <c r="B1020" s="77">
        <v>46197</v>
      </c>
      <c r="C1020" s="76">
        <f t="shared" si="53"/>
        <v>26</v>
      </c>
      <c r="D1020" s="78">
        <v>245</v>
      </c>
      <c r="E1020" s="79">
        <f>[1]DETAY!$A$2</f>
        <v>0</v>
      </c>
      <c r="F1020" s="80">
        <f t="shared" si="52"/>
        <v>240</v>
      </c>
      <c r="G1020" s="81">
        <f t="shared" si="54"/>
        <v>5</v>
      </c>
      <c r="H1020" s="82">
        <f t="shared" si="55"/>
        <v>0.97959183673469385</v>
      </c>
      <c r="I1020" s="76"/>
      <c r="J1020" s="76"/>
      <c r="K1020" s="76"/>
      <c r="L1020" s="76"/>
      <c r="M1020" s="76">
        <v>5</v>
      </c>
      <c r="N1020" s="2"/>
      <c r="O1020" s="2"/>
      <c r="P1020" s="2"/>
      <c r="Q1020" s="76"/>
      <c r="R1020" s="76"/>
      <c r="S1020" s="2"/>
      <c r="T1020" s="2"/>
      <c r="U1020" s="2"/>
      <c r="V1020" s="2"/>
      <c r="W1020" s="2"/>
      <c r="X1020" s="2"/>
      <c r="Y1020" s="2"/>
      <c r="Z1020" s="2"/>
      <c r="AA1020" s="2"/>
      <c r="AB1020" s="76"/>
      <c r="AC1020" s="76"/>
      <c r="AD1020" s="2"/>
      <c r="AE1020" s="2"/>
      <c r="AF1020" s="76"/>
      <c r="AG1020" s="2"/>
      <c r="AH1020" s="76"/>
      <c r="AI1020" s="2"/>
      <c r="AJ1020" s="76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76"/>
      <c r="AV1020" s="2"/>
      <c r="AW1020" s="2"/>
      <c r="AX1020" s="2"/>
      <c r="AY1020" s="76"/>
      <c r="AZ1020" s="2"/>
      <c r="BA1020" s="2"/>
      <c r="BB1020" s="2"/>
      <c r="BC1020" s="2"/>
      <c r="BD1020" s="2"/>
      <c r="BF1020" s="1"/>
    </row>
    <row r="1021" spans="1:58" s="22" customFormat="1" x14ac:dyDescent="0.25">
      <c r="A1021" s="76" t="s">
        <v>8</v>
      </c>
      <c r="B1021" s="77">
        <v>46197</v>
      </c>
      <c r="C1021" s="76">
        <f t="shared" si="53"/>
        <v>26</v>
      </c>
      <c r="D1021" s="78">
        <v>374</v>
      </c>
      <c r="E1021" s="79">
        <f>[1]DETAY!$A$2</f>
        <v>0</v>
      </c>
      <c r="F1021" s="80">
        <f t="shared" si="52"/>
        <v>374</v>
      </c>
      <c r="G1021" s="81">
        <f t="shared" si="54"/>
        <v>0</v>
      </c>
      <c r="H1021" s="82">
        <f t="shared" si="55"/>
        <v>1</v>
      </c>
      <c r="I1021" s="76"/>
      <c r="J1021" s="76"/>
      <c r="K1021" s="76"/>
      <c r="L1021" s="76"/>
      <c r="M1021" s="76"/>
      <c r="N1021" s="2"/>
      <c r="O1021" s="2"/>
      <c r="P1021" s="2"/>
      <c r="Q1021" s="76"/>
      <c r="R1021" s="76"/>
      <c r="S1021" s="2"/>
      <c r="T1021" s="2"/>
      <c r="U1021" s="2"/>
      <c r="V1021" s="2"/>
      <c r="W1021" s="2"/>
      <c r="X1021" s="2"/>
      <c r="Y1021" s="2"/>
      <c r="Z1021" s="2"/>
      <c r="AA1021" s="2"/>
      <c r="AB1021" s="76"/>
      <c r="AC1021" s="76"/>
      <c r="AD1021" s="2"/>
      <c r="AE1021" s="2"/>
      <c r="AF1021" s="76"/>
      <c r="AG1021" s="2"/>
      <c r="AH1021" s="76"/>
      <c r="AI1021" s="2"/>
      <c r="AJ1021" s="76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76"/>
      <c r="AV1021" s="2"/>
      <c r="AW1021" s="2"/>
      <c r="AX1021" s="2"/>
      <c r="AY1021" s="76"/>
      <c r="AZ1021" s="2"/>
      <c r="BA1021" s="2"/>
      <c r="BB1021" s="2"/>
      <c r="BC1021" s="2"/>
      <c r="BD1021" s="2"/>
      <c r="BF1021" s="1"/>
    </row>
    <row r="1022" spans="1:58" s="22" customFormat="1" x14ac:dyDescent="0.25">
      <c r="A1022" s="76" t="s">
        <v>7</v>
      </c>
      <c r="B1022" s="77">
        <v>46197</v>
      </c>
      <c r="C1022" s="76">
        <f t="shared" si="53"/>
        <v>26</v>
      </c>
      <c r="D1022" s="78">
        <v>256</v>
      </c>
      <c r="E1022" s="79">
        <f>[1]DETAY!$A$2</f>
        <v>0</v>
      </c>
      <c r="F1022" s="80">
        <f t="shared" si="52"/>
        <v>256</v>
      </c>
      <c r="G1022" s="81">
        <f t="shared" si="54"/>
        <v>0</v>
      </c>
      <c r="H1022" s="82">
        <f t="shared" si="55"/>
        <v>1</v>
      </c>
      <c r="I1022" s="76"/>
      <c r="J1022" s="76"/>
      <c r="K1022" s="76"/>
      <c r="L1022" s="76"/>
      <c r="M1022" s="76"/>
      <c r="N1022" s="2"/>
      <c r="O1022" s="2"/>
      <c r="P1022" s="2"/>
      <c r="Q1022" s="76"/>
      <c r="R1022" s="76"/>
      <c r="S1022" s="2"/>
      <c r="T1022" s="2"/>
      <c r="U1022" s="2"/>
      <c r="V1022" s="2"/>
      <c r="W1022" s="2"/>
      <c r="X1022" s="2"/>
      <c r="Y1022" s="2"/>
      <c r="Z1022" s="2"/>
      <c r="AA1022" s="2"/>
      <c r="AB1022" s="76"/>
      <c r="AC1022" s="76"/>
      <c r="AD1022" s="2"/>
      <c r="AE1022" s="2"/>
      <c r="AF1022" s="76"/>
      <c r="AG1022" s="2"/>
      <c r="AH1022" s="76"/>
      <c r="AI1022" s="2"/>
      <c r="AJ1022" s="76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76"/>
      <c r="AV1022" s="2"/>
      <c r="AW1022" s="2"/>
      <c r="AX1022" s="2"/>
      <c r="AY1022" s="76"/>
      <c r="AZ1022" s="2"/>
      <c r="BA1022" s="2"/>
      <c r="BB1022" s="2"/>
      <c r="BC1022" s="2"/>
      <c r="BD1022" s="2"/>
      <c r="BF1022" s="1"/>
    </row>
    <row r="1023" spans="1:58" s="22" customFormat="1" x14ac:dyDescent="0.25">
      <c r="A1023" s="76" t="s">
        <v>13</v>
      </c>
      <c r="B1023" s="77">
        <v>46197</v>
      </c>
      <c r="C1023" s="76">
        <f t="shared" si="53"/>
        <v>26</v>
      </c>
      <c r="D1023" s="78">
        <v>840</v>
      </c>
      <c r="E1023" s="79">
        <f>[1]DETAY!$A$2</f>
        <v>0</v>
      </c>
      <c r="F1023" s="80">
        <f t="shared" si="52"/>
        <v>840</v>
      </c>
      <c r="G1023" s="81">
        <f t="shared" si="54"/>
        <v>0</v>
      </c>
      <c r="H1023" s="82">
        <f t="shared" si="55"/>
        <v>1</v>
      </c>
      <c r="I1023" s="76"/>
      <c r="J1023" s="76"/>
      <c r="K1023" s="76"/>
      <c r="L1023" s="76"/>
      <c r="M1023" s="76"/>
      <c r="N1023" s="2"/>
      <c r="O1023" s="2"/>
      <c r="P1023" s="2"/>
      <c r="Q1023" s="76"/>
      <c r="R1023" s="76"/>
      <c r="S1023" s="2"/>
      <c r="T1023" s="2"/>
      <c r="U1023" s="2"/>
      <c r="V1023" s="2"/>
      <c r="W1023" s="2"/>
      <c r="X1023" s="2"/>
      <c r="Y1023" s="2"/>
      <c r="Z1023" s="2"/>
      <c r="AA1023" s="2"/>
      <c r="AB1023" s="76"/>
      <c r="AC1023" s="76"/>
      <c r="AD1023" s="2"/>
      <c r="AE1023" s="2"/>
      <c r="AF1023" s="76"/>
      <c r="AG1023" s="2"/>
      <c r="AH1023" s="76"/>
      <c r="AI1023" s="2"/>
      <c r="AJ1023" s="76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76"/>
      <c r="AV1023" s="2"/>
      <c r="AW1023" s="2"/>
      <c r="AX1023" s="2"/>
      <c r="AY1023" s="76"/>
      <c r="AZ1023" s="2"/>
      <c r="BA1023" s="2"/>
      <c r="BB1023" s="2"/>
      <c r="BC1023" s="2"/>
      <c r="BD1023" s="2"/>
      <c r="BF1023" s="1"/>
    </row>
    <row r="1024" spans="1:58" s="22" customFormat="1" x14ac:dyDescent="0.25">
      <c r="A1024" s="76" t="s">
        <v>12</v>
      </c>
      <c r="B1024" s="77">
        <v>46197</v>
      </c>
      <c r="C1024" s="76">
        <f t="shared" si="53"/>
        <v>26</v>
      </c>
      <c r="D1024" s="78">
        <v>800</v>
      </c>
      <c r="E1024" s="79">
        <f>[1]DETAY!$A$2</f>
        <v>0</v>
      </c>
      <c r="F1024" s="80">
        <f t="shared" si="52"/>
        <v>800</v>
      </c>
      <c r="G1024" s="81">
        <f t="shared" si="54"/>
        <v>0</v>
      </c>
      <c r="H1024" s="82">
        <f t="shared" si="55"/>
        <v>1</v>
      </c>
      <c r="I1024" s="76"/>
      <c r="J1024" s="76"/>
      <c r="K1024" s="76"/>
      <c r="L1024" s="76"/>
      <c r="M1024" s="76"/>
      <c r="N1024" s="2"/>
      <c r="O1024" s="2"/>
      <c r="P1024" s="2"/>
      <c r="Q1024" s="76"/>
      <c r="R1024" s="76"/>
      <c r="S1024" s="2"/>
      <c r="T1024" s="2"/>
      <c r="U1024" s="2"/>
      <c r="V1024" s="2"/>
      <c r="W1024" s="2"/>
      <c r="X1024" s="2"/>
      <c r="Y1024" s="2"/>
      <c r="Z1024" s="2"/>
      <c r="AA1024" s="2"/>
      <c r="AB1024" s="76"/>
      <c r="AC1024" s="76"/>
      <c r="AD1024" s="2"/>
      <c r="AE1024" s="2"/>
      <c r="AF1024" s="76"/>
      <c r="AG1024" s="2"/>
      <c r="AH1024" s="76"/>
      <c r="AI1024" s="2"/>
      <c r="AJ1024" s="76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76"/>
      <c r="AV1024" s="2"/>
      <c r="AW1024" s="2"/>
      <c r="AX1024" s="2"/>
      <c r="AY1024" s="76"/>
      <c r="AZ1024" s="2"/>
      <c r="BA1024" s="2"/>
      <c r="BB1024" s="2"/>
      <c r="BC1024" s="2"/>
      <c r="BD1024" s="2"/>
      <c r="BF1024" s="1"/>
    </row>
    <row r="1025" spans="1:58" s="22" customFormat="1" x14ac:dyDescent="0.25">
      <c r="A1025" s="76" t="s">
        <v>5</v>
      </c>
      <c r="B1025" s="77">
        <v>46197</v>
      </c>
      <c r="C1025" s="76">
        <f t="shared" si="53"/>
        <v>26</v>
      </c>
      <c r="D1025" s="78">
        <v>146</v>
      </c>
      <c r="E1025" s="79">
        <f>[1]DETAY!$A$2</f>
        <v>0</v>
      </c>
      <c r="F1025" s="80">
        <f t="shared" si="52"/>
        <v>146</v>
      </c>
      <c r="G1025" s="81">
        <f t="shared" si="54"/>
        <v>0</v>
      </c>
      <c r="H1025" s="82">
        <f t="shared" si="55"/>
        <v>1</v>
      </c>
      <c r="I1025" s="76"/>
      <c r="J1025" s="76"/>
      <c r="K1025" s="76"/>
      <c r="L1025" s="76"/>
      <c r="M1025" s="76"/>
      <c r="N1025" s="2"/>
      <c r="O1025" s="2"/>
      <c r="P1025" s="2"/>
      <c r="Q1025" s="76"/>
      <c r="R1025" s="76"/>
      <c r="S1025" s="2"/>
      <c r="T1025" s="2"/>
      <c r="U1025" s="2"/>
      <c r="V1025" s="2"/>
      <c r="W1025" s="2"/>
      <c r="X1025" s="2"/>
      <c r="Y1025" s="2"/>
      <c r="Z1025" s="2"/>
      <c r="AA1025" s="2"/>
      <c r="AB1025" s="76"/>
      <c r="AC1025" s="76"/>
      <c r="AD1025" s="2"/>
      <c r="AE1025" s="2"/>
      <c r="AF1025" s="76"/>
      <c r="AG1025" s="2"/>
      <c r="AH1025" s="76"/>
      <c r="AI1025" s="2"/>
      <c r="AJ1025" s="76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76"/>
      <c r="AV1025" s="2"/>
      <c r="AW1025" s="2"/>
      <c r="AX1025" s="2"/>
      <c r="AY1025" s="76"/>
      <c r="AZ1025" s="2"/>
      <c r="BA1025" s="2"/>
      <c r="BB1025" s="2"/>
      <c r="BC1025" s="2"/>
      <c r="BD1025" s="2"/>
      <c r="BF1025" s="1"/>
    </row>
    <row r="1026" spans="1:58" s="22" customFormat="1" x14ac:dyDescent="0.25">
      <c r="A1026" s="76" t="s">
        <v>4</v>
      </c>
      <c r="B1026" s="77">
        <v>46197</v>
      </c>
      <c r="C1026" s="76">
        <f t="shared" si="53"/>
        <v>26</v>
      </c>
      <c r="D1026" s="78">
        <v>540</v>
      </c>
      <c r="E1026" s="79">
        <f>[1]DETAY!$A$2</f>
        <v>0</v>
      </c>
      <c r="F1026" s="80">
        <f t="shared" si="52"/>
        <v>539</v>
      </c>
      <c r="G1026" s="81">
        <f t="shared" si="54"/>
        <v>1</v>
      </c>
      <c r="H1026" s="82">
        <f t="shared" si="55"/>
        <v>0.99814814814814812</v>
      </c>
      <c r="I1026" s="76"/>
      <c r="J1026" s="76"/>
      <c r="K1026" s="76"/>
      <c r="L1026" s="76"/>
      <c r="M1026" s="76"/>
      <c r="N1026" s="2"/>
      <c r="O1026" s="2"/>
      <c r="P1026" s="2"/>
      <c r="Q1026" s="76"/>
      <c r="R1026" s="76"/>
      <c r="S1026" s="2"/>
      <c r="T1026" s="2"/>
      <c r="U1026" s="2"/>
      <c r="V1026" s="2"/>
      <c r="W1026" s="2"/>
      <c r="X1026" s="2"/>
      <c r="Y1026" s="2"/>
      <c r="Z1026" s="2"/>
      <c r="AA1026" s="2">
        <v>1</v>
      </c>
      <c r="AB1026" s="76"/>
      <c r="AC1026" s="76"/>
      <c r="AD1026" s="2"/>
      <c r="AE1026" s="2"/>
      <c r="AF1026" s="76"/>
      <c r="AG1026" s="2"/>
      <c r="AH1026" s="76"/>
      <c r="AI1026" s="2"/>
      <c r="AJ1026" s="76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76"/>
      <c r="AV1026" s="2"/>
      <c r="AW1026" s="2"/>
      <c r="AX1026" s="2"/>
      <c r="AY1026" s="76"/>
      <c r="AZ1026" s="2"/>
      <c r="BA1026" s="2"/>
      <c r="BB1026" s="2"/>
      <c r="BC1026" s="2"/>
      <c r="BD1026" s="2"/>
      <c r="BF1026" s="1"/>
    </row>
    <row r="1027" spans="1:58" s="22" customFormat="1" x14ac:dyDescent="0.25">
      <c r="A1027" s="76" t="s">
        <v>5</v>
      </c>
      <c r="B1027" s="77">
        <v>46197</v>
      </c>
      <c r="C1027" s="76">
        <f t="shared" si="53"/>
        <v>26</v>
      </c>
      <c r="D1027" s="78">
        <v>616</v>
      </c>
      <c r="E1027" s="79">
        <f>[1]DETAY!$A$2</f>
        <v>0</v>
      </c>
      <c r="F1027" s="80">
        <f t="shared" si="52"/>
        <v>616</v>
      </c>
      <c r="G1027" s="81">
        <f t="shared" si="54"/>
        <v>0</v>
      </c>
      <c r="H1027" s="82">
        <f t="shared" si="55"/>
        <v>1</v>
      </c>
      <c r="I1027" s="76"/>
      <c r="J1027" s="76"/>
      <c r="K1027" s="76"/>
      <c r="L1027" s="76"/>
      <c r="M1027" s="76"/>
      <c r="N1027" s="2"/>
      <c r="O1027" s="2"/>
      <c r="P1027" s="2"/>
      <c r="Q1027" s="76"/>
      <c r="R1027" s="76"/>
      <c r="S1027" s="2"/>
      <c r="T1027" s="2"/>
      <c r="U1027" s="2"/>
      <c r="V1027" s="2"/>
      <c r="W1027" s="2"/>
      <c r="X1027" s="2"/>
      <c r="Y1027" s="2"/>
      <c r="Z1027" s="2"/>
      <c r="AA1027" s="2"/>
      <c r="AB1027" s="76"/>
      <c r="AC1027" s="76"/>
      <c r="AD1027" s="2"/>
      <c r="AE1027" s="2"/>
      <c r="AF1027" s="76"/>
      <c r="AG1027" s="2"/>
      <c r="AH1027" s="76"/>
      <c r="AI1027" s="2"/>
      <c r="AJ1027" s="76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76"/>
      <c r="AV1027" s="2"/>
      <c r="AW1027" s="2"/>
      <c r="AX1027" s="2"/>
      <c r="AY1027" s="76"/>
      <c r="AZ1027" s="2"/>
      <c r="BA1027" s="2"/>
      <c r="BB1027" s="2"/>
      <c r="BC1027" s="2"/>
      <c r="BD1027" s="2"/>
      <c r="BF1027" s="1"/>
    </row>
    <row r="1028" spans="1:58" s="22" customFormat="1" x14ac:dyDescent="0.25">
      <c r="A1028" s="76" t="s">
        <v>22</v>
      </c>
      <c r="B1028" s="77">
        <v>46197</v>
      </c>
      <c r="C1028" s="76">
        <f t="shared" si="53"/>
        <v>26</v>
      </c>
      <c r="D1028" s="78">
        <v>300</v>
      </c>
      <c r="E1028" s="79">
        <f>[1]DETAY!$A$2</f>
        <v>0</v>
      </c>
      <c r="F1028" s="80">
        <f t="shared" si="52"/>
        <v>300</v>
      </c>
      <c r="G1028" s="81">
        <f t="shared" si="54"/>
        <v>0</v>
      </c>
      <c r="H1028" s="82">
        <f t="shared" si="55"/>
        <v>1</v>
      </c>
      <c r="I1028" s="76"/>
      <c r="J1028" s="76"/>
      <c r="K1028" s="76"/>
      <c r="L1028" s="76"/>
      <c r="M1028" s="76"/>
      <c r="N1028" s="2"/>
      <c r="O1028" s="2"/>
      <c r="P1028" s="2"/>
      <c r="Q1028" s="76"/>
      <c r="R1028" s="76"/>
      <c r="S1028" s="2"/>
      <c r="T1028" s="2"/>
      <c r="U1028" s="2"/>
      <c r="V1028" s="2"/>
      <c r="W1028" s="2"/>
      <c r="X1028" s="2"/>
      <c r="Y1028" s="2"/>
      <c r="Z1028" s="2"/>
      <c r="AA1028" s="2"/>
      <c r="AB1028" s="76"/>
      <c r="AC1028" s="76"/>
      <c r="AD1028" s="2"/>
      <c r="AE1028" s="2"/>
      <c r="AF1028" s="76"/>
      <c r="AG1028" s="2"/>
      <c r="AH1028" s="76"/>
      <c r="AI1028" s="2"/>
      <c r="AJ1028" s="76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76"/>
      <c r="AV1028" s="2"/>
      <c r="AW1028" s="2"/>
      <c r="AX1028" s="2"/>
      <c r="AY1028" s="76"/>
      <c r="AZ1028" s="2"/>
      <c r="BA1028" s="2"/>
      <c r="BB1028" s="2"/>
      <c r="BC1028" s="2"/>
      <c r="BD1028" s="2"/>
      <c r="BF1028" s="1"/>
    </row>
    <row r="1029" spans="1:58" s="22" customFormat="1" x14ac:dyDescent="0.25">
      <c r="A1029" s="76" t="s">
        <v>21</v>
      </c>
      <c r="B1029" s="77">
        <v>46197</v>
      </c>
      <c r="C1029" s="76">
        <f t="shared" si="53"/>
        <v>26</v>
      </c>
      <c r="D1029" s="78">
        <v>318</v>
      </c>
      <c r="E1029" s="79">
        <f>[1]DETAY!$A$2</f>
        <v>0</v>
      </c>
      <c r="F1029" s="80">
        <f t="shared" si="52"/>
        <v>310</v>
      </c>
      <c r="G1029" s="81">
        <f t="shared" si="54"/>
        <v>8</v>
      </c>
      <c r="H1029" s="82">
        <f t="shared" si="55"/>
        <v>0.97484276729559749</v>
      </c>
      <c r="I1029" s="76"/>
      <c r="J1029" s="76"/>
      <c r="K1029" s="76"/>
      <c r="L1029" s="76">
        <v>8</v>
      </c>
      <c r="M1029" s="76"/>
      <c r="N1029" s="2"/>
      <c r="O1029" s="2"/>
      <c r="P1029" s="2"/>
      <c r="Q1029" s="76"/>
      <c r="R1029" s="76"/>
      <c r="S1029" s="2"/>
      <c r="T1029" s="2"/>
      <c r="U1029" s="2"/>
      <c r="V1029" s="2"/>
      <c r="W1029" s="2"/>
      <c r="X1029" s="2"/>
      <c r="Y1029" s="2"/>
      <c r="Z1029" s="2"/>
      <c r="AA1029" s="2"/>
      <c r="AB1029" s="76"/>
      <c r="AC1029" s="76"/>
      <c r="AD1029" s="2"/>
      <c r="AE1029" s="2"/>
      <c r="AF1029" s="76"/>
      <c r="AG1029" s="2"/>
      <c r="AH1029" s="76"/>
      <c r="AI1029" s="2"/>
      <c r="AJ1029" s="76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76"/>
      <c r="AV1029" s="2"/>
      <c r="AW1029" s="2"/>
      <c r="AX1029" s="2"/>
      <c r="AY1029" s="76"/>
      <c r="AZ1029" s="2"/>
      <c r="BA1029" s="2"/>
      <c r="BB1029" s="2"/>
      <c r="BC1029" s="2"/>
      <c r="BD1029" s="2"/>
      <c r="BF1029" s="1"/>
    </row>
    <row r="1030" spans="1:58" s="22" customFormat="1" x14ac:dyDescent="0.25">
      <c r="A1030" s="76" t="s">
        <v>19</v>
      </c>
      <c r="B1030" s="77">
        <v>46197</v>
      </c>
      <c r="C1030" s="76">
        <f t="shared" si="53"/>
        <v>26</v>
      </c>
      <c r="D1030" s="78">
        <v>1068</v>
      </c>
      <c r="E1030" s="79">
        <f>[1]DETAY!$A$2</f>
        <v>0</v>
      </c>
      <c r="F1030" s="80">
        <f t="shared" si="52"/>
        <v>1050</v>
      </c>
      <c r="G1030" s="81">
        <f t="shared" si="54"/>
        <v>18</v>
      </c>
      <c r="H1030" s="82">
        <f t="shared" si="55"/>
        <v>0.9831460674157303</v>
      </c>
      <c r="I1030" s="76"/>
      <c r="J1030" s="76">
        <v>18</v>
      </c>
      <c r="K1030" s="76"/>
      <c r="L1030" s="76"/>
      <c r="M1030" s="76"/>
      <c r="N1030" s="2"/>
      <c r="O1030" s="2"/>
      <c r="P1030" s="2"/>
      <c r="Q1030" s="76"/>
      <c r="R1030" s="76"/>
      <c r="S1030" s="2"/>
      <c r="T1030" s="2"/>
      <c r="U1030" s="2"/>
      <c r="V1030" s="2"/>
      <c r="W1030" s="2"/>
      <c r="X1030" s="2"/>
      <c r="Y1030" s="2"/>
      <c r="Z1030" s="2"/>
      <c r="AA1030" s="2"/>
      <c r="AB1030" s="76"/>
      <c r="AC1030" s="76"/>
      <c r="AD1030" s="2"/>
      <c r="AE1030" s="2"/>
      <c r="AF1030" s="76"/>
      <c r="AG1030" s="2"/>
      <c r="AH1030" s="76"/>
      <c r="AI1030" s="2"/>
      <c r="AJ1030" s="76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76"/>
      <c r="AV1030" s="2"/>
      <c r="AW1030" s="2"/>
      <c r="AX1030" s="2"/>
      <c r="AY1030" s="76"/>
      <c r="AZ1030" s="2"/>
      <c r="BA1030" s="2"/>
      <c r="BB1030" s="2"/>
      <c r="BC1030" s="2"/>
      <c r="BD1030" s="2"/>
      <c r="BF1030" s="1"/>
    </row>
    <row r="1031" spans="1:58" s="22" customFormat="1" x14ac:dyDescent="0.25">
      <c r="A1031" s="76" t="s">
        <v>16</v>
      </c>
      <c r="B1031" s="77">
        <v>46197</v>
      </c>
      <c r="C1031" s="76">
        <f t="shared" si="53"/>
        <v>26</v>
      </c>
      <c r="D1031" s="78">
        <v>508</v>
      </c>
      <c r="E1031" s="79">
        <f>[1]DETAY!$A$2</f>
        <v>0</v>
      </c>
      <c r="F1031" s="80">
        <f t="shared" si="52"/>
        <v>490</v>
      </c>
      <c r="G1031" s="81">
        <f t="shared" si="54"/>
        <v>18</v>
      </c>
      <c r="H1031" s="82">
        <f t="shared" si="55"/>
        <v>0.96456692913385822</v>
      </c>
      <c r="I1031" s="76"/>
      <c r="J1031" s="76"/>
      <c r="K1031" s="76"/>
      <c r="L1031" s="76"/>
      <c r="M1031" s="76"/>
      <c r="N1031" s="2"/>
      <c r="O1031" s="2"/>
      <c r="P1031" s="2"/>
      <c r="Q1031" s="76"/>
      <c r="R1031" s="76"/>
      <c r="S1031" s="2"/>
      <c r="T1031" s="2"/>
      <c r="U1031" s="2"/>
      <c r="V1031" s="2"/>
      <c r="W1031" s="2"/>
      <c r="X1031" s="2"/>
      <c r="Y1031" s="2"/>
      <c r="Z1031" s="2"/>
      <c r="AA1031" s="2"/>
      <c r="AB1031" s="76"/>
      <c r="AC1031" s="76"/>
      <c r="AD1031" s="2"/>
      <c r="AE1031" s="2"/>
      <c r="AF1031" s="76"/>
      <c r="AG1031" s="2"/>
      <c r="AH1031" s="76">
        <v>4</v>
      </c>
      <c r="AI1031" s="2"/>
      <c r="AJ1031" s="76">
        <v>14</v>
      </c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76"/>
      <c r="AV1031" s="2"/>
      <c r="AW1031" s="2"/>
      <c r="AX1031" s="2"/>
      <c r="AY1031" s="76"/>
      <c r="AZ1031" s="2"/>
      <c r="BA1031" s="2"/>
      <c r="BB1031" s="2"/>
      <c r="BC1031" s="2"/>
      <c r="BD1031" s="2"/>
      <c r="BF1031" s="1"/>
    </row>
    <row r="1032" spans="1:58" s="22" customFormat="1" x14ac:dyDescent="0.25">
      <c r="A1032" s="76" t="s">
        <v>10</v>
      </c>
      <c r="B1032" s="77">
        <v>46197</v>
      </c>
      <c r="C1032" s="76">
        <f t="shared" si="53"/>
        <v>26</v>
      </c>
      <c r="D1032" s="78">
        <v>574</v>
      </c>
      <c r="E1032" s="79">
        <f>[1]DETAY!$A$2</f>
        <v>0</v>
      </c>
      <c r="F1032" s="80">
        <f t="shared" si="52"/>
        <v>570</v>
      </c>
      <c r="G1032" s="81">
        <f t="shared" si="54"/>
        <v>4</v>
      </c>
      <c r="H1032" s="82">
        <f t="shared" si="55"/>
        <v>0.99303135888501737</v>
      </c>
      <c r="I1032" s="76"/>
      <c r="J1032" s="76"/>
      <c r="K1032" s="76"/>
      <c r="L1032" s="76"/>
      <c r="M1032" s="76">
        <v>4</v>
      </c>
      <c r="N1032" s="2"/>
      <c r="O1032" s="2"/>
      <c r="P1032" s="2"/>
      <c r="Q1032" s="76"/>
      <c r="R1032" s="76"/>
      <c r="S1032" s="2"/>
      <c r="T1032" s="2"/>
      <c r="U1032" s="2"/>
      <c r="V1032" s="2"/>
      <c r="W1032" s="2"/>
      <c r="X1032" s="2"/>
      <c r="Y1032" s="2"/>
      <c r="Z1032" s="2"/>
      <c r="AA1032" s="2"/>
      <c r="AB1032" s="76"/>
      <c r="AC1032" s="76"/>
      <c r="AD1032" s="2"/>
      <c r="AE1032" s="2"/>
      <c r="AF1032" s="76"/>
      <c r="AG1032" s="2"/>
      <c r="AH1032" s="76"/>
      <c r="AI1032" s="2"/>
      <c r="AJ1032" s="76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76"/>
      <c r="AV1032" s="2"/>
      <c r="AW1032" s="2"/>
      <c r="AX1032" s="2"/>
      <c r="AY1032" s="76"/>
      <c r="AZ1032" s="2"/>
      <c r="BA1032" s="2"/>
      <c r="BB1032" s="2"/>
      <c r="BC1032" s="2"/>
      <c r="BD1032" s="2"/>
      <c r="BF1032" s="1"/>
    </row>
    <row r="1033" spans="1:58" s="22" customFormat="1" x14ac:dyDescent="0.25">
      <c r="A1033" s="76" t="s">
        <v>9</v>
      </c>
      <c r="B1033" s="77">
        <v>46197</v>
      </c>
      <c r="C1033" s="76">
        <f t="shared" si="53"/>
        <v>26</v>
      </c>
      <c r="D1033" s="78">
        <v>308</v>
      </c>
      <c r="E1033" s="79">
        <f>[1]DETAY!$A$2</f>
        <v>0</v>
      </c>
      <c r="F1033" s="80">
        <f t="shared" si="52"/>
        <v>300</v>
      </c>
      <c r="G1033" s="81">
        <f t="shared" si="54"/>
        <v>8</v>
      </c>
      <c r="H1033" s="82">
        <f t="shared" si="55"/>
        <v>0.97402597402597402</v>
      </c>
      <c r="I1033" s="76"/>
      <c r="J1033" s="76"/>
      <c r="K1033" s="76"/>
      <c r="L1033" s="76"/>
      <c r="M1033" s="76">
        <v>8</v>
      </c>
      <c r="N1033" s="2"/>
      <c r="O1033" s="2"/>
      <c r="P1033" s="2"/>
      <c r="Q1033" s="76"/>
      <c r="R1033" s="76"/>
      <c r="S1033" s="2"/>
      <c r="T1033" s="2"/>
      <c r="U1033" s="2"/>
      <c r="V1033" s="2"/>
      <c r="W1033" s="2"/>
      <c r="X1033" s="2"/>
      <c r="Y1033" s="2"/>
      <c r="Z1033" s="2"/>
      <c r="AA1033" s="2"/>
      <c r="AB1033" s="76"/>
      <c r="AC1033" s="76"/>
      <c r="AD1033" s="2"/>
      <c r="AE1033" s="2"/>
      <c r="AF1033" s="76"/>
      <c r="AG1033" s="2"/>
      <c r="AH1033" s="76"/>
      <c r="AI1033" s="2"/>
      <c r="AJ1033" s="76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76"/>
      <c r="AV1033" s="2"/>
      <c r="AW1033" s="2"/>
      <c r="AX1033" s="2"/>
      <c r="AY1033" s="76"/>
      <c r="AZ1033" s="2"/>
      <c r="BA1033" s="2"/>
      <c r="BB1033" s="2"/>
      <c r="BC1033" s="2"/>
      <c r="BD1033" s="2"/>
      <c r="BF1033" s="1"/>
    </row>
    <row r="1034" spans="1:58" s="22" customFormat="1" x14ac:dyDescent="0.25">
      <c r="A1034" s="76" t="s">
        <v>22</v>
      </c>
      <c r="B1034" s="77">
        <v>46198</v>
      </c>
      <c r="C1034" s="76">
        <f t="shared" si="53"/>
        <v>26</v>
      </c>
      <c r="D1034" s="78">
        <v>1558</v>
      </c>
      <c r="E1034" s="79">
        <f>[1]DETAY!$A$2</f>
        <v>0</v>
      </c>
      <c r="F1034" s="80">
        <f t="shared" si="52"/>
        <v>1539</v>
      </c>
      <c r="G1034" s="81">
        <v>19</v>
      </c>
      <c r="H1034" s="82">
        <f t="shared" si="55"/>
        <v>0.98780487804878048</v>
      </c>
      <c r="I1034" s="76"/>
      <c r="J1034" s="76"/>
      <c r="K1034" s="76"/>
      <c r="L1034" s="76">
        <v>18</v>
      </c>
      <c r="M1034" s="76">
        <v>1</v>
      </c>
      <c r="N1034" s="76"/>
      <c r="O1034" s="76"/>
      <c r="P1034" s="76"/>
      <c r="Q1034" s="76"/>
      <c r="R1034" s="76"/>
      <c r="S1034" s="76"/>
      <c r="T1034" s="76"/>
      <c r="U1034" s="76"/>
      <c r="V1034" s="76"/>
      <c r="W1034" s="76"/>
      <c r="X1034" s="76"/>
      <c r="Y1034" s="76"/>
      <c r="Z1034" s="76"/>
      <c r="AA1034" s="76"/>
      <c r="AB1034" s="76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2"/>
      <c r="BA1034" s="2"/>
      <c r="BB1034" s="2"/>
      <c r="BC1034" s="2"/>
      <c r="BD1034" s="2"/>
      <c r="BF1034" s="1"/>
    </row>
    <row r="1035" spans="1:58" s="22" customFormat="1" x14ac:dyDescent="0.25">
      <c r="A1035" s="76" t="s">
        <v>21</v>
      </c>
      <c r="B1035" s="77">
        <v>46198</v>
      </c>
      <c r="C1035" s="76">
        <f t="shared" si="53"/>
        <v>26</v>
      </c>
      <c r="D1035" s="78">
        <v>1837</v>
      </c>
      <c r="E1035" s="79">
        <f>[1]DETAY!$A$2</f>
        <v>0</v>
      </c>
      <c r="F1035" s="80">
        <f t="shared" si="52"/>
        <v>1815</v>
      </c>
      <c r="G1035" s="81">
        <v>22</v>
      </c>
      <c r="H1035" s="82">
        <f t="shared" si="55"/>
        <v>0.9880239520958084</v>
      </c>
      <c r="I1035" s="76"/>
      <c r="J1035" s="76"/>
      <c r="K1035" s="76"/>
      <c r="L1035" s="76">
        <v>22</v>
      </c>
      <c r="M1035" s="76"/>
      <c r="N1035" s="76"/>
      <c r="O1035" s="76"/>
      <c r="P1035" s="76"/>
      <c r="Q1035" s="76"/>
      <c r="R1035" s="76"/>
      <c r="S1035" s="76"/>
      <c r="T1035" s="76"/>
      <c r="U1035" s="76"/>
      <c r="V1035" s="76"/>
      <c r="W1035" s="76"/>
      <c r="X1035" s="76"/>
      <c r="Y1035" s="76"/>
      <c r="Z1035" s="76"/>
      <c r="AA1035" s="76"/>
      <c r="AB1035" s="76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2"/>
      <c r="BA1035" s="2"/>
      <c r="BB1035" s="2"/>
      <c r="BC1035" s="2"/>
      <c r="BD1035" s="2"/>
      <c r="BF1035" s="1"/>
    </row>
    <row r="1036" spans="1:58" s="22" customFormat="1" x14ac:dyDescent="0.25">
      <c r="A1036" s="76" t="s">
        <v>20</v>
      </c>
      <c r="B1036" s="77">
        <v>46198</v>
      </c>
      <c r="C1036" s="76">
        <f t="shared" si="53"/>
        <v>26</v>
      </c>
      <c r="D1036" s="78">
        <v>335</v>
      </c>
      <c r="E1036" s="79">
        <f>[1]DETAY!$A$2</f>
        <v>0</v>
      </c>
      <c r="F1036" s="80">
        <f t="shared" si="52"/>
        <v>325</v>
      </c>
      <c r="G1036" s="81">
        <v>10</v>
      </c>
      <c r="H1036" s="82">
        <f t="shared" si="55"/>
        <v>0.97014925373134331</v>
      </c>
      <c r="I1036" s="76"/>
      <c r="J1036" s="76">
        <v>10</v>
      </c>
      <c r="K1036" s="76"/>
      <c r="L1036" s="76"/>
      <c r="M1036" s="76"/>
      <c r="N1036" s="76"/>
      <c r="O1036" s="76"/>
      <c r="P1036" s="76"/>
      <c r="Q1036" s="76"/>
      <c r="R1036" s="76"/>
      <c r="S1036" s="76"/>
      <c r="T1036" s="76"/>
      <c r="U1036" s="76"/>
      <c r="V1036" s="76"/>
      <c r="W1036" s="76"/>
      <c r="X1036" s="76"/>
      <c r="Y1036" s="76"/>
      <c r="Z1036" s="76"/>
      <c r="AA1036" s="76"/>
      <c r="AB1036" s="76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2"/>
      <c r="BA1036" s="2"/>
      <c r="BB1036" s="2"/>
      <c r="BC1036" s="2"/>
      <c r="BD1036" s="2"/>
      <c r="BF1036" s="1"/>
    </row>
    <row r="1037" spans="1:58" s="22" customFormat="1" x14ac:dyDescent="0.25">
      <c r="A1037" s="76" t="s">
        <v>19</v>
      </c>
      <c r="B1037" s="77">
        <v>46198</v>
      </c>
      <c r="C1037" s="76">
        <f t="shared" si="53"/>
        <v>26</v>
      </c>
      <c r="D1037" s="78">
        <v>2681</v>
      </c>
      <c r="E1037" s="76">
        <v>0</v>
      </c>
      <c r="F1037" s="80">
        <f t="shared" si="52"/>
        <v>2595</v>
      </c>
      <c r="G1037" s="81">
        <v>86</v>
      </c>
      <c r="H1037" s="82">
        <f t="shared" si="55"/>
        <v>0.96792241700857884</v>
      </c>
      <c r="I1037" s="76"/>
      <c r="J1037" s="76">
        <v>86</v>
      </c>
      <c r="K1037" s="76"/>
      <c r="L1037" s="76"/>
      <c r="M1037" s="76"/>
      <c r="N1037" s="76"/>
      <c r="O1037" s="76"/>
      <c r="P1037" s="76"/>
      <c r="Q1037" s="76"/>
      <c r="R1037" s="76"/>
      <c r="S1037" s="76"/>
      <c r="T1037" s="76"/>
      <c r="U1037" s="76"/>
      <c r="V1037" s="76"/>
      <c r="W1037" s="76"/>
      <c r="X1037" s="76"/>
      <c r="Y1037" s="76"/>
      <c r="Z1037" s="76"/>
      <c r="AA1037" s="76"/>
      <c r="AB1037" s="76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2"/>
      <c r="BA1037" s="2"/>
      <c r="BB1037" s="2"/>
      <c r="BC1037" s="2"/>
      <c r="BD1037" s="2"/>
      <c r="BF1037" s="1"/>
    </row>
    <row r="1038" spans="1:58" s="22" customFormat="1" x14ac:dyDescent="0.25">
      <c r="A1038" s="76" t="s">
        <v>18</v>
      </c>
      <c r="B1038" s="77">
        <v>46198</v>
      </c>
      <c r="C1038" s="76">
        <f t="shared" si="53"/>
        <v>26</v>
      </c>
      <c r="D1038" s="78">
        <v>1335</v>
      </c>
      <c r="E1038" s="76">
        <v>0</v>
      </c>
      <c r="F1038" s="80">
        <f t="shared" si="52"/>
        <v>1300</v>
      </c>
      <c r="G1038" s="81">
        <v>35</v>
      </c>
      <c r="H1038" s="82">
        <f t="shared" si="55"/>
        <v>0.97378277153558057</v>
      </c>
      <c r="I1038" s="76"/>
      <c r="J1038" s="76">
        <v>30</v>
      </c>
      <c r="K1038" s="76"/>
      <c r="L1038" s="76">
        <v>2</v>
      </c>
      <c r="M1038" s="76">
        <v>3</v>
      </c>
      <c r="N1038" s="76"/>
      <c r="O1038" s="76"/>
      <c r="P1038" s="76"/>
      <c r="Q1038" s="76"/>
      <c r="R1038" s="76"/>
      <c r="S1038" s="76"/>
      <c r="T1038" s="76"/>
      <c r="U1038" s="76"/>
      <c r="V1038" s="76"/>
      <c r="W1038" s="76"/>
      <c r="X1038" s="76"/>
      <c r="Y1038" s="76"/>
      <c r="Z1038" s="76"/>
      <c r="AA1038" s="76"/>
      <c r="AB1038" s="76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2"/>
      <c r="BA1038" s="2"/>
      <c r="BB1038" s="2"/>
      <c r="BC1038" s="2"/>
      <c r="BD1038" s="2"/>
      <c r="BF1038" s="1"/>
    </row>
    <row r="1039" spans="1:58" s="22" customFormat="1" x14ac:dyDescent="0.25">
      <c r="A1039" s="76" t="s">
        <v>16</v>
      </c>
      <c r="B1039" s="77">
        <v>46198</v>
      </c>
      <c r="C1039" s="76">
        <f t="shared" si="53"/>
        <v>26</v>
      </c>
      <c r="D1039" s="78">
        <v>2140</v>
      </c>
      <c r="E1039" s="79">
        <f>[1]DETAY!$A$2</f>
        <v>0</v>
      </c>
      <c r="F1039" s="80">
        <f>D1039-G1039</f>
        <v>2045</v>
      </c>
      <c r="G1039" s="81">
        <v>95</v>
      </c>
      <c r="H1039" s="82">
        <f t="shared" si="55"/>
        <v>0.95560747663551404</v>
      </c>
      <c r="I1039" s="76"/>
      <c r="J1039" s="76"/>
      <c r="K1039" s="76">
        <v>3</v>
      </c>
      <c r="L1039" s="76">
        <v>11</v>
      </c>
      <c r="M1039" s="76">
        <v>11</v>
      </c>
      <c r="N1039" s="76"/>
      <c r="O1039" s="76"/>
      <c r="P1039" s="76"/>
      <c r="Q1039" s="76">
        <v>3</v>
      </c>
      <c r="R1039" s="76"/>
      <c r="S1039" s="76"/>
      <c r="T1039" s="76"/>
      <c r="U1039" s="76">
        <v>1</v>
      </c>
      <c r="V1039" s="76"/>
      <c r="W1039" s="76">
        <v>1</v>
      </c>
      <c r="X1039" s="76"/>
      <c r="Y1039" s="76"/>
      <c r="Z1039" s="76"/>
      <c r="AA1039" s="76"/>
      <c r="AB1039" s="76"/>
      <c r="AC1039" s="76"/>
      <c r="AD1039" s="76"/>
      <c r="AE1039" s="76"/>
      <c r="AF1039" s="76">
        <v>3</v>
      </c>
      <c r="AG1039" s="76"/>
      <c r="AH1039" s="76">
        <v>17</v>
      </c>
      <c r="AI1039" s="76"/>
      <c r="AJ1039" s="76">
        <v>38</v>
      </c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2"/>
      <c r="BA1039" s="2"/>
      <c r="BB1039" s="2"/>
      <c r="BC1039" s="2"/>
      <c r="BD1039" s="2"/>
      <c r="BF1039" s="1"/>
    </row>
    <row r="1040" spans="1:58" s="22" customFormat="1" x14ac:dyDescent="0.25">
      <c r="A1040" s="76" t="s">
        <v>10</v>
      </c>
      <c r="B1040" s="77">
        <v>46198</v>
      </c>
      <c r="C1040" s="76">
        <f t="shared" si="53"/>
        <v>26</v>
      </c>
      <c r="D1040" s="78"/>
      <c r="E1040" s="79">
        <f>[1]DETAY!$A$2</f>
        <v>0</v>
      </c>
      <c r="F1040" s="80">
        <f>D1040-G1040</f>
        <v>-35</v>
      </c>
      <c r="G1040" s="81">
        <f>SUBTOTAL(9,I1038:BD1038)</f>
        <v>35</v>
      </c>
      <c r="H1040" s="82" t="e">
        <f t="shared" si="55"/>
        <v>#DIV/0!</v>
      </c>
      <c r="I1040" s="76"/>
      <c r="J1040" s="76"/>
      <c r="K1040" s="76"/>
      <c r="L1040" s="76"/>
      <c r="M1040" s="76"/>
      <c r="N1040" s="76"/>
      <c r="O1040" s="76"/>
      <c r="P1040" s="76"/>
      <c r="Q1040" s="76"/>
      <c r="R1040" s="76"/>
      <c r="S1040" s="76"/>
      <c r="T1040" s="76"/>
      <c r="U1040" s="76"/>
      <c r="V1040" s="76"/>
      <c r="W1040" s="76"/>
      <c r="X1040" s="76"/>
      <c r="Y1040" s="76"/>
      <c r="Z1040" s="76"/>
      <c r="AA1040" s="76"/>
      <c r="AB1040" s="76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2"/>
      <c r="BA1040" s="2"/>
      <c r="BB1040" s="2"/>
      <c r="BC1040" s="2"/>
      <c r="BD1040" s="2"/>
      <c r="BF1040" s="1"/>
    </row>
    <row r="1041" spans="1:58" s="22" customFormat="1" x14ac:dyDescent="0.25">
      <c r="A1041" s="76" t="s">
        <v>8</v>
      </c>
      <c r="B1041" s="77">
        <v>46198</v>
      </c>
      <c r="C1041" s="76">
        <f t="shared" si="53"/>
        <v>26</v>
      </c>
      <c r="D1041" s="78">
        <v>288</v>
      </c>
      <c r="E1041" s="79">
        <f>[1]DETAY!$A$2</f>
        <v>0</v>
      </c>
      <c r="F1041" s="80">
        <f>D1041-G1041</f>
        <v>260</v>
      </c>
      <c r="G1041" s="81">
        <v>28</v>
      </c>
      <c r="H1041" s="82">
        <f t="shared" si="55"/>
        <v>0.90277777777777779</v>
      </c>
      <c r="I1041" s="76"/>
      <c r="J1041" s="76"/>
      <c r="K1041" s="76"/>
      <c r="L1041" s="76"/>
      <c r="M1041" s="76"/>
      <c r="N1041" s="76"/>
      <c r="O1041" s="76"/>
      <c r="P1041" s="76"/>
      <c r="Q1041" s="76"/>
      <c r="R1041" s="76"/>
      <c r="S1041" s="76"/>
      <c r="T1041" s="76"/>
      <c r="U1041" s="76"/>
      <c r="V1041" s="76"/>
      <c r="W1041" s="76"/>
      <c r="X1041" s="76"/>
      <c r="Y1041" s="76"/>
      <c r="Z1041" s="76"/>
      <c r="AA1041" s="76"/>
      <c r="AB1041" s="76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>
        <v>28</v>
      </c>
      <c r="AZ1041" s="2"/>
      <c r="BA1041" s="2"/>
      <c r="BB1041" s="2"/>
      <c r="BC1041" s="2"/>
      <c r="BD1041" s="2"/>
      <c r="BF1041" s="1"/>
    </row>
    <row r="1042" spans="1:58" s="22" customFormat="1" x14ac:dyDescent="0.25">
      <c r="A1042" s="76" t="s">
        <v>14</v>
      </c>
      <c r="B1042" s="77">
        <v>46198</v>
      </c>
      <c r="C1042" s="76">
        <f t="shared" si="53"/>
        <v>26</v>
      </c>
      <c r="D1042" s="78">
        <v>440</v>
      </c>
      <c r="E1042" s="79">
        <f>[1]DETAY!$A$2</f>
        <v>0</v>
      </c>
      <c r="F1042" s="80">
        <f>D1042-G1042</f>
        <v>440</v>
      </c>
      <c r="G1042" s="81">
        <f>SUBTOTAL(9,I1040:BD1040)</f>
        <v>0</v>
      </c>
      <c r="H1042" s="82">
        <f t="shared" si="55"/>
        <v>1</v>
      </c>
      <c r="I1042" s="76"/>
      <c r="J1042" s="76"/>
      <c r="K1042" s="76"/>
      <c r="L1042" s="76"/>
      <c r="M1042" s="76"/>
      <c r="N1042" s="76"/>
      <c r="O1042" s="76"/>
      <c r="P1042" s="76"/>
      <c r="Q1042" s="76"/>
      <c r="R1042" s="76"/>
      <c r="S1042" s="76"/>
      <c r="T1042" s="76"/>
      <c r="U1042" s="76"/>
      <c r="V1042" s="76"/>
      <c r="W1042" s="76"/>
      <c r="X1042" s="76"/>
      <c r="Y1042" s="76"/>
      <c r="Z1042" s="76"/>
      <c r="AA1042" s="76"/>
      <c r="AB1042" s="76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2"/>
      <c r="BA1042" s="2"/>
      <c r="BB1042" s="2"/>
      <c r="BC1042" s="2"/>
      <c r="BD1042" s="2"/>
      <c r="BF1042" s="1"/>
    </row>
    <row r="1043" spans="1:58" s="22" customFormat="1" x14ac:dyDescent="0.25">
      <c r="A1043" s="76" t="s">
        <v>13</v>
      </c>
      <c r="B1043" s="77">
        <v>46198</v>
      </c>
      <c r="C1043" s="76">
        <f t="shared" si="53"/>
        <v>26</v>
      </c>
      <c r="D1043" s="78">
        <v>840</v>
      </c>
      <c r="E1043" s="79">
        <f>[1]DETAY!$A$2</f>
        <v>0</v>
      </c>
      <c r="F1043" s="80">
        <f>D1043-G1043</f>
        <v>812</v>
      </c>
      <c r="G1043" s="81">
        <f>SUBTOTAL(9,I1041:BD1041)</f>
        <v>28</v>
      </c>
      <c r="H1043" s="82">
        <f t="shared" si="55"/>
        <v>0.96666666666666667</v>
      </c>
      <c r="I1043" s="76"/>
      <c r="J1043" s="76"/>
      <c r="K1043" s="76"/>
      <c r="L1043" s="76"/>
      <c r="M1043" s="76"/>
      <c r="N1043" s="76"/>
      <c r="O1043" s="76"/>
      <c r="P1043" s="76"/>
      <c r="Q1043" s="76"/>
      <c r="R1043" s="76"/>
      <c r="S1043" s="76"/>
      <c r="T1043" s="76"/>
      <c r="U1043" s="76"/>
      <c r="V1043" s="76"/>
      <c r="W1043" s="76"/>
      <c r="X1043" s="76"/>
      <c r="Y1043" s="76"/>
      <c r="Z1043" s="76"/>
      <c r="AA1043" s="76"/>
      <c r="AB1043" s="76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2"/>
      <c r="BA1043" s="2"/>
      <c r="BB1043" s="2"/>
      <c r="BC1043" s="2"/>
      <c r="BD1043" s="2"/>
      <c r="BF1043" s="1"/>
    </row>
    <row r="1044" spans="1:58" s="22" customFormat="1" x14ac:dyDescent="0.25">
      <c r="A1044" s="76" t="s">
        <v>12</v>
      </c>
      <c r="B1044" s="77">
        <v>46198</v>
      </c>
      <c r="C1044" s="76">
        <f t="shared" si="53"/>
        <v>26</v>
      </c>
      <c r="D1044" s="78">
        <v>415</v>
      </c>
      <c r="E1044" s="79">
        <f>[1]DETAY!$A$2</f>
        <v>0</v>
      </c>
      <c r="F1044" s="80">
        <f t="shared" ref="F1044:F1049" si="56">D1044-G1044</f>
        <v>400</v>
      </c>
      <c r="G1044" s="81">
        <v>15</v>
      </c>
      <c r="H1044" s="82">
        <f t="shared" si="55"/>
        <v>0.96385542168674698</v>
      </c>
      <c r="I1044" s="76"/>
      <c r="J1044" s="76"/>
      <c r="K1044" s="76"/>
      <c r="L1044" s="76"/>
      <c r="M1044" s="76"/>
      <c r="N1044" s="76"/>
      <c r="O1044" s="76"/>
      <c r="P1044" s="76"/>
      <c r="Q1044" s="76"/>
      <c r="R1044" s="76"/>
      <c r="S1044" s="76"/>
      <c r="T1044" s="76"/>
      <c r="U1044" s="76"/>
      <c r="V1044" s="76"/>
      <c r="W1044" s="76"/>
      <c r="X1044" s="76"/>
      <c r="Y1044" s="76"/>
      <c r="Z1044" s="76"/>
      <c r="AA1044" s="76">
        <v>15</v>
      </c>
      <c r="AB1044" s="76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2"/>
      <c r="BA1044" s="2"/>
      <c r="BB1044" s="2"/>
      <c r="BC1044" s="2"/>
      <c r="BD1044" s="2"/>
      <c r="BF1044" s="1"/>
    </row>
    <row r="1045" spans="1:58" s="22" customFormat="1" x14ac:dyDescent="0.25">
      <c r="A1045" s="76" t="s">
        <v>11</v>
      </c>
      <c r="B1045" s="77">
        <v>46198</v>
      </c>
      <c r="C1045" s="76">
        <f t="shared" si="53"/>
        <v>26</v>
      </c>
      <c r="D1045" s="78">
        <v>2058</v>
      </c>
      <c r="E1045" s="79">
        <f>[1]DETAY!$A$2</f>
        <v>0</v>
      </c>
      <c r="F1045" s="80">
        <f t="shared" si="56"/>
        <v>2038</v>
      </c>
      <c r="G1045" s="81">
        <v>20</v>
      </c>
      <c r="H1045" s="82">
        <f t="shared" si="55"/>
        <v>0.9902818270165209</v>
      </c>
      <c r="I1045" s="76"/>
      <c r="J1045" s="76"/>
      <c r="K1045" s="76"/>
      <c r="L1045" s="76">
        <v>10</v>
      </c>
      <c r="M1045" s="76"/>
      <c r="N1045" s="76"/>
      <c r="O1045" s="76"/>
      <c r="P1045" s="76"/>
      <c r="Q1045" s="76"/>
      <c r="R1045" s="76"/>
      <c r="S1045" s="76"/>
      <c r="T1045" s="76"/>
      <c r="U1045" s="76"/>
      <c r="V1045" s="76">
        <v>10</v>
      </c>
      <c r="W1045" s="76"/>
      <c r="X1045" s="76"/>
      <c r="Y1045" s="76"/>
      <c r="Z1045" s="76"/>
      <c r="AA1045" s="76"/>
      <c r="AB1045" s="76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2"/>
      <c r="BA1045" s="2"/>
      <c r="BB1045" s="2"/>
      <c r="BC1045" s="2"/>
      <c r="BD1045" s="2"/>
      <c r="BF1045" s="1"/>
    </row>
    <row r="1046" spans="1:58" s="22" customFormat="1" x14ac:dyDescent="0.25">
      <c r="A1046" s="76" t="s">
        <v>9</v>
      </c>
      <c r="B1046" s="77">
        <v>46198</v>
      </c>
      <c r="C1046" s="76">
        <f t="shared" si="53"/>
        <v>26</v>
      </c>
      <c r="D1046" s="78">
        <v>1167</v>
      </c>
      <c r="E1046" s="79">
        <f>[1]DETAY!$A$2</f>
        <v>0</v>
      </c>
      <c r="F1046" s="80">
        <f t="shared" si="56"/>
        <v>1084</v>
      </c>
      <c r="G1046" s="81">
        <v>83</v>
      </c>
      <c r="H1046" s="82">
        <f t="shared" si="55"/>
        <v>0.92887746358183376</v>
      </c>
      <c r="I1046" s="76"/>
      <c r="J1046" s="76"/>
      <c r="K1046" s="76"/>
      <c r="L1046" s="76"/>
      <c r="M1046" s="76">
        <v>23</v>
      </c>
      <c r="N1046" s="76"/>
      <c r="O1046" s="76"/>
      <c r="P1046" s="76"/>
      <c r="Q1046" s="76"/>
      <c r="R1046" s="76"/>
      <c r="S1046" s="76"/>
      <c r="T1046" s="76"/>
      <c r="U1046" s="76"/>
      <c r="V1046" s="76"/>
      <c r="W1046" s="76"/>
      <c r="X1046" s="76"/>
      <c r="Y1046" s="76"/>
      <c r="Z1046" s="76"/>
      <c r="AA1046" s="76">
        <v>60</v>
      </c>
      <c r="AB1046" s="76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  <c r="BC1046" s="76"/>
      <c r="BD1046" s="76"/>
      <c r="BE1046" s="83"/>
      <c r="BF1046" s="1"/>
    </row>
    <row r="1047" spans="1:58" s="22" customFormat="1" x14ac:dyDescent="0.25">
      <c r="A1047" s="76" t="s">
        <v>10</v>
      </c>
      <c r="B1047" s="77">
        <v>46198</v>
      </c>
      <c r="C1047" s="76">
        <f t="shared" si="53"/>
        <v>26</v>
      </c>
      <c r="D1047" s="78">
        <v>1387</v>
      </c>
      <c r="E1047" s="76">
        <f>[1]DETAY!$A$2</f>
        <v>0</v>
      </c>
      <c r="F1047" s="80">
        <f t="shared" si="56"/>
        <v>1320</v>
      </c>
      <c r="G1047" s="81">
        <v>67</v>
      </c>
      <c r="H1047" s="82">
        <f t="shared" si="55"/>
        <v>0.95169430425378509</v>
      </c>
      <c r="I1047" s="76"/>
      <c r="J1047" s="76"/>
      <c r="K1047" s="76"/>
      <c r="L1047" s="76"/>
      <c r="M1047" s="76">
        <v>67</v>
      </c>
      <c r="N1047" s="76"/>
      <c r="O1047" s="76"/>
      <c r="P1047" s="76"/>
      <c r="Q1047" s="76"/>
      <c r="R1047" s="76"/>
      <c r="S1047" s="76"/>
      <c r="T1047" s="76"/>
      <c r="U1047" s="76"/>
      <c r="V1047" s="76"/>
      <c r="W1047" s="76"/>
      <c r="X1047" s="76"/>
      <c r="Y1047" s="76"/>
      <c r="Z1047" s="76"/>
      <c r="AA1047" s="76"/>
      <c r="AB1047" s="76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  <c r="BC1047" s="76"/>
      <c r="BD1047" s="76"/>
      <c r="BE1047" s="83"/>
      <c r="BF1047" s="1"/>
    </row>
    <row r="1048" spans="1:58" s="22" customFormat="1" x14ac:dyDescent="0.25">
      <c r="A1048" s="76" t="s">
        <v>8</v>
      </c>
      <c r="B1048" s="77">
        <v>46198</v>
      </c>
      <c r="C1048" s="76">
        <f t="shared" si="53"/>
        <v>26</v>
      </c>
      <c r="D1048" s="78">
        <v>100</v>
      </c>
      <c r="E1048" s="76">
        <f>[1]DETAY!$A$2</f>
        <v>0</v>
      </c>
      <c r="F1048" s="80">
        <f t="shared" si="56"/>
        <v>17</v>
      </c>
      <c r="G1048" s="81">
        <f>SUBTOTAL(9,I1046:BD1046)</f>
        <v>83</v>
      </c>
      <c r="H1048" s="82">
        <f t="shared" si="55"/>
        <v>0.17</v>
      </c>
      <c r="I1048" s="76"/>
      <c r="J1048" s="76"/>
      <c r="K1048" s="76"/>
      <c r="L1048" s="76"/>
      <c r="M1048" s="76"/>
      <c r="N1048" s="76"/>
      <c r="O1048" s="76"/>
      <c r="P1048" s="76"/>
      <c r="Q1048" s="76"/>
      <c r="R1048" s="76"/>
      <c r="S1048" s="76"/>
      <c r="T1048" s="76"/>
      <c r="U1048" s="76"/>
      <c r="V1048" s="76"/>
      <c r="W1048" s="76"/>
      <c r="X1048" s="76"/>
      <c r="Y1048" s="76"/>
      <c r="Z1048" s="76"/>
      <c r="AA1048" s="76"/>
      <c r="AB1048" s="76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83"/>
      <c r="BF1048" s="1"/>
    </row>
    <row r="1049" spans="1:58" s="22" customFormat="1" x14ac:dyDescent="0.25">
      <c r="A1049" s="76" t="s">
        <v>7</v>
      </c>
      <c r="B1049" s="77">
        <v>46198</v>
      </c>
      <c r="C1049" s="76">
        <f t="shared" si="53"/>
        <v>26</v>
      </c>
      <c r="D1049" s="78">
        <v>256</v>
      </c>
      <c r="E1049" s="76">
        <f>[1]DETAY!$A$2</f>
        <v>0</v>
      </c>
      <c r="F1049" s="80">
        <f t="shared" si="56"/>
        <v>256</v>
      </c>
      <c r="G1049" s="81">
        <f>SUBTOTAL(9,I1048:BD1048)</f>
        <v>0</v>
      </c>
      <c r="H1049" s="82">
        <f t="shared" si="55"/>
        <v>1</v>
      </c>
      <c r="I1049" s="76"/>
      <c r="J1049" s="76"/>
      <c r="K1049" s="76"/>
      <c r="L1049" s="76"/>
      <c r="M1049" s="76"/>
      <c r="N1049" s="76"/>
      <c r="O1049" s="76"/>
      <c r="P1049" s="76"/>
      <c r="Q1049" s="76"/>
      <c r="R1049" s="76"/>
      <c r="S1049" s="76"/>
      <c r="T1049" s="76"/>
      <c r="U1049" s="76"/>
      <c r="V1049" s="76"/>
      <c r="W1049" s="76"/>
      <c r="X1049" s="76"/>
      <c r="Y1049" s="76"/>
      <c r="Z1049" s="76"/>
      <c r="AA1049" s="76"/>
      <c r="AB1049" s="76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83"/>
      <c r="BF1049" s="1"/>
    </row>
    <row r="1050" spans="1:58" s="22" customFormat="1" x14ac:dyDescent="0.25">
      <c r="A1050" s="76" t="s">
        <v>13</v>
      </c>
      <c r="B1050" s="77">
        <v>46198</v>
      </c>
      <c r="C1050" s="76">
        <f t="shared" si="53"/>
        <v>26</v>
      </c>
      <c r="D1050" s="78">
        <v>960</v>
      </c>
      <c r="E1050" s="76">
        <f>[1]DETAY!$A$2</f>
        <v>0</v>
      </c>
      <c r="F1050" s="80">
        <f>D1050-G1050</f>
        <v>960</v>
      </c>
      <c r="G1050" s="81">
        <v>0</v>
      </c>
      <c r="H1050" s="82">
        <f>F1050/D1050</f>
        <v>1</v>
      </c>
      <c r="I1050" s="76"/>
      <c r="J1050" s="76"/>
      <c r="K1050" s="76"/>
      <c r="L1050" s="76"/>
      <c r="M1050" s="76"/>
      <c r="N1050" s="76"/>
      <c r="O1050" s="76"/>
      <c r="P1050" s="76"/>
      <c r="Q1050" s="76"/>
      <c r="R1050" s="76"/>
      <c r="S1050" s="76"/>
      <c r="T1050" s="76"/>
      <c r="U1050" s="76"/>
      <c r="V1050" s="76"/>
      <c r="W1050" s="76"/>
      <c r="X1050" s="76"/>
      <c r="Y1050" s="76"/>
      <c r="Z1050" s="76"/>
      <c r="AA1050" s="76"/>
      <c r="AB1050" s="76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  <c r="BC1050" s="76"/>
      <c r="BD1050" s="76"/>
      <c r="BE1050" s="83"/>
      <c r="BF1050" s="1"/>
    </row>
    <row r="1051" spans="1:58" s="22" customFormat="1" x14ac:dyDescent="0.25">
      <c r="A1051" s="76" t="s">
        <v>12</v>
      </c>
      <c r="B1051" s="77">
        <v>46198</v>
      </c>
      <c r="C1051" s="76">
        <f t="shared" si="53"/>
        <v>26</v>
      </c>
      <c r="D1051" s="78">
        <v>2060</v>
      </c>
      <c r="E1051" s="76">
        <f>[1]DETAY!$A$2</f>
        <v>0</v>
      </c>
      <c r="F1051" s="80">
        <f t="shared" ref="F1051:F1053" si="57">D1051-G1051</f>
        <v>2060</v>
      </c>
      <c r="G1051" s="81">
        <f>SUBTOTAL(9,I1049:BD1049)</f>
        <v>0</v>
      </c>
      <c r="H1051" s="82">
        <f t="shared" ref="H1051:H1053" si="58">F1051/D1051</f>
        <v>1</v>
      </c>
      <c r="I1051" s="76"/>
      <c r="J1051" s="76"/>
      <c r="K1051" s="76"/>
      <c r="L1051" s="76"/>
      <c r="M1051" s="76"/>
      <c r="N1051" s="76"/>
      <c r="O1051" s="76"/>
      <c r="P1051" s="76"/>
      <c r="Q1051" s="76"/>
      <c r="R1051" s="76"/>
      <c r="S1051" s="76"/>
      <c r="T1051" s="76"/>
      <c r="U1051" s="76"/>
      <c r="V1051" s="76"/>
      <c r="W1051" s="76"/>
      <c r="X1051" s="76"/>
      <c r="Y1051" s="76"/>
      <c r="Z1051" s="76"/>
      <c r="AA1051" s="76"/>
      <c r="AB1051" s="76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  <c r="BC1051" s="76"/>
      <c r="BD1051" s="76"/>
      <c r="BE1051" s="83"/>
      <c r="BF1051" s="1"/>
    </row>
    <row r="1052" spans="1:58" s="22" customFormat="1" x14ac:dyDescent="0.25">
      <c r="A1052" s="76" t="s">
        <v>4</v>
      </c>
      <c r="B1052" s="77">
        <v>46198</v>
      </c>
      <c r="C1052" s="76">
        <f t="shared" si="53"/>
        <v>26</v>
      </c>
      <c r="D1052" s="78">
        <v>254</v>
      </c>
      <c r="E1052" s="76">
        <f>[1]DETAY!$A$2</f>
        <v>0</v>
      </c>
      <c r="F1052" s="80">
        <f t="shared" si="57"/>
        <v>253</v>
      </c>
      <c r="G1052" s="81">
        <v>1</v>
      </c>
      <c r="H1052" s="82">
        <f t="shared" si="58"/>
        <v>0.99606299212598426</v>
      </c>
      <c r="I1052" s="76"/>
      <c r="J1052" s="76"/>
      <c r="K1052" s="76"/>
      <c r="L1052" s="76"/>
      <c r="M1052" s="76"/>
      <c r="N1052" s="76"/>
      <c r="O1052" s="76"/>
      <c r="P1052" s="76"/>
      <c r="Q1052" s="76"/>
      <c r="R1052" s="76"/>
      <c r="S1052" s="76"/>
      <c r="T1052" s="76"/>
      <c r="U1052" s="76"/>
      <c r="V1052" s="76"/>
      <c r="W1052" s="76"/>
      <c r="X1052" s="76"/>
      <c r="Y1052" s="76"/>
      <c r="Z1052" s="76"/>
      <c r="AA1052" s="76">
        <v>1</v>
      </c>
      <c r="AB1052" s="76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83"/>
      <c r="BF1052" s="1"/>
    </row>
    <row r="1053" spans="1:58" s="22" customFormat="1" x14ac:dyDescent="0.25">
      <c r="A1053" s="76" t="s">
        <v>6</v>
      </c>
      <c r="B1053" s="77">
        <v>46198</v>
      </c>
      <c r="C1053" s="76">
        <f t="shared" si="53"/>
        <v>26</v>
      </c>
      <c r="D1053" s="78">
        <v>385</v>
      </c>
      <c r="E1053" s="76">
        <f>[1]DETAY!$A$2</f>
        <v>0</v>
      </c>
      <c r="F1053" s="80">
        <f t="shared" si="57"/>
        <v>385</v>
      </c>
      <c r="G1053" s="81">
        <v>0</v>
      </c>
      <c r="H1053" s="82">
        <f t="shared" si="58"/>
        <v>1</v>
      </c>
      <c r="I1053" s="76"/>
      <c r="J1053" s="76"/>
      <c r="K1053" s="76"/>
      <c r="L1053" s="76"/>
      <c r="M1053" s="76"/>
      <c r="N1053" s="76"/>
      <c r="O1053" s="76"/>
      <c r="P1053" s="76"/>
      <c r="Q1053" s="76"/>
      <c r="R1053" s="76"/>
      <c r="S1053" s="76"/>
      <c r="T1053" s="76"/>
      <c r="U1053" s="76"/>
      <c r="V1053" s="76"/>
      <c r="W1053" s="76"/>
      <c r="X1053" s="76"/>
      <c r="Y1053" s="76"/>
      <c r="Z1053" s="76"/>
      <c r="AA1053" s="76"/>
      <c r="AB1053" s="76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83"/>
      <c r="BF1053" s="1"/>
    </row>
    <row r="1054" spans="1:58" s="22" customFormat="1" x14ac:dyDescent="0.25">
      <c r="A1054" s="76" t="s">
        <v>15</v>
      </c>
      <c r="B1054" s="77">
        <v>46198</v>
      </c>
      <c r="C1054" s="76">
        <f>WEEKNUM(B1054)</f>
        <v>26</v>
      </c>
      <c r="D1054" s="78">
        <v>220</v>
      </c>
      <c r="E1054" s="76">
        <f>[1]DETAY!$A$2</f>
        <v>0</v>
      </c>
      <c r="F1054" s="80">
        <f>D1054-G1054</f>
        <v>220</v>
      </c>
      <c r="G1054" s="81">
        <f>SUBTOTAL(9,I1054:BD1054)</f>
        <v>0</v>
      </c>
      <c r="H1054" s="82">
        <f>F1054/D1054</f>
        <v>1</v>
      </c>
      <c r="I1054" s="76"/>
      <c r="J1054" s="76"/>
      <c r="K1054" s="76"/>
      <c r="L1054" s="76"/>
      <c r="M1054" s="76"/>
      <c r="N1054" s="76"/>
      <c r="O1054" s="76"/>
      <c r="P1054" s="76"/>
      <c r="Q1054" s="76"/>
      <c r="R1054" s="76"/>
      <c r="S1054" s="76"/>
      <c r="T1054" s="76"/>
      <c r="U1054" s="76"/>
      <c r="V1054" s="76"/>
      <c r="W1054" s="76"/>
      <c r="X1054" s="76"/>
      <c r="Y1054" s="76"/>
      <c r="Z1054" s="76"/>
      <c r="AA1054" s="76"/>
      <c r="AB1054" s="76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/>
      <c r="BE1054" s="83"/>
      <c r="BF1054" s="1"/>
    </row>
    <row r="1055" spans="1:58" s="22" customFormat="1" x14ac:dyDescent="0.25">
      <c r="A1055" s="76" t="s">
        <v>0</v>
      </c>
      <c r="B1055" s="77">
        <v>46198</v>
      </c>
      <c r="C1055" s="76">
        <f>WEEKNUM(B1055)</f>
        <v>26</v>
      </c>
      <c r="D1055" s="78">
        <v>315</v>
      </c>
      <c r="E1055" s="76">
        <f>[1]DETAY!$A$2</f>
        <v>0</v>
      </c>
      <c r="F1055" s="80">
        <f>D1055-G1055</f>
        <v>285</v>
      </c>
      <c r="G1055" s="81">
        <v>30</v>
      </c>
      <c r="H1055" s="82">
        <f>F1055/D1055</f>
        <v>0.90476190476190477</v>
      </c>
      <c r="I1055" s="76"/>
      <c r="J1055" s="76"/>
      <c r="K1055" s="76"/>
      <c r="L1055" s="76"/>
      <c r="M1055" s="76">
        <v>4</v>
      </c>
      <c r="N1055" s="76"/>
      <c r="O1055" s="76"/>
      <c r="P1055" s="76"/>
      <c r="Q1055" s="76"/>
      <c r="R1055" s="76"/>
      <c r="S1055" s="76"/>
      <c r="T1055" s="76"/>
      <c r="U1055" s="76"/>
      <c r="V1055" s="76"/>
      <c r="W1055" s="76"/>
      <c r="X1055" s="76"/>
      <c r="Y1055" s="76"/>
      <c r="Z1055" s="76"/>
      <c r="AA1055" s="76"/>
      <c r="AB1055" s="76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>
        <v>26</v>
      </c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83"/>
      <c r="BF1055" s="1"/>
    </row>
    <row r="1056" spans="1:58" s="22" customFormat="1" x14ac:dyDescent="0.25">
      <c r="A1056" s="76" t="s">
        <v>17</v>
      </c>
      <c r="B1056" s="77">
        <v>46198</v>
      </c>
      <c r="C1056" s="76">
        <f>WEEKNUM(B1056)</f>
        <v>26</v>
      </c>
      <c r="D1056" s="78">
        <v>1389</v>
      </c>
      <c r="E1056" s="76">
        <f>[1]DETAY!$A$2</f>
        <v>0</v>
      </c>
      <c r="F1056" s="80">
        <f>D1056-G1056</f>
        <v>1350</v>
      </c>
      <c r="G1056" s="81">
        <v>39</v>
      </c>
      <c r="H1056" s="82">
        <f>F1056/D1056</f>
        <v>0.97192224622030232</v>
      </c>
      <c r="I1056" s="76"/>
      <c r="J1056" s="76">
        <v>17</v>
      </c>
      <c r="K1056" s="76"/>
      <c r="L1056" s="76">
        <v>16</v>
      </c>
      <c r="M1056" s="76">
        <v>6</v>
      </c>
      <c r="N1056" s="76"/>
      <c r="O1056" s="76"/>
      <c r="P1056" s="76"/>
      <c r="Q1056" s="76"/>
      <c r="R1056" s="76"/>
      <c r="S1056" s="76"/>
      <c r="T1056" s="76"/>
      <c r="U1056" s="76"/>
      <c r="V1056" s="76"/>
      <c r="W1056" s="76"/>
      <c r="X1056" s="76"/>
      <c r="Y1056" s="76"/>
      <c r="Z1056" s="76"/>
      <c r="AA1056" s="76"/>
      <c r="AB1056" s="76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83"/>
      <c r="BF1056" s="1"/>
    </row>
    <row r="1057" spans="1:58" s="22" customFormat="1" x14ac:dyDescent="0.25">
      <c r="A1057" s="83" t="s">
        <v>22</v>
      </c>
      <c r="B1057" s="84">
        <v>46201</v>
      </c>
      <c r="C1057" s="83">
        <f t="shared" ref="C1057:C1079" si="59">WEEKNUM(B1057)</f>
        <v>27</v>
      </c>
      <c r="D1057" s="85">
        <v>2695</v>
      </c>
      <c r="E1057" s="83">
        <f>[1]DETAY!$A$2</f>
        <v>0</v>
      </c>
      <c r="F1057" s="80">
        <f t="shared" ref="F1057:F1079" si="60">D1057-G1057</f>
        <v>2671</v>
      </c>
      <c r="G1057" s="81">
        <f t="shared" ref="G1057:G1079" si="61">SUBTOTAL(9,I1057:BD1057)</f>
        <v>24</v>
      </c>
      <c r="H1057" s="82">
        <f t="shared" ref="H1057:H1079" si="62">F1057/D1057</f>
        <v>0.99109461966604828</v>
      </c>
      <c r="I1057" s="83"/>
      <c r="J1057" s="83">
        <v>3</v>
      </c>
      <c r="K1057" s="83"/>
      <c r="L1057" s="83">
        <v>19</v>
      </c>
      <c r="M1057" s="83"/>
      <c r="N1057" s="83"/>
      <c r="O1057" s="83"/>
      <c r="P1057" s="83"/>
      <c r="Q1057" s="83"/>
      <c r="R1057" s="83"/>
      <c r="S1057" s="83"/>
      <c r="T1057" s="83"/>
      <c r="U1057" s="83"/>
      <c r="V1057" s="83"/>
      <c r="W1057" s="83"/>
      <c r="X1057" s="83"/>
      <c r="Y1057" s="83"/>
      <c r="Z1057" s="83"/>
      <c r="AA1057" s="83"/>
      <c r="AB1057" s="83">
        <v>2</v>
      </c>
      <c r="AC1057" s="83"/>
      <c r="AD1057" s="83"/>
      <c r="AE1057" s="83"/>
      <c r="AF1057" s="83"/>
      <c r="AG1057" s="83"/>
      <c r="AH1057" s="83"/>
      <c r="AI1057" s="83"/>
      <c r="AJ1057" s="83"/>
      <c r="AK1057" s="83"/>
      <c r="AL1057" s="83"/>
      <c r="AM1057" s="83"/>
      <c r="AN1057" s="83"/>
      <c r="AO1057" s="83"/>
      <c r="AP1057" s="83"/>
      <c r="AQ1057" s="83"/>
      <c r="AR1057" s="83"/>
      <c r="AS1057" s="83"/>
      <c r="AT1057" s="83"/>
      <c r="AU1057" s="83"/>
      <c r="AV1057" s="83"/>
      <c r="AW1057" s="83"/>
      <c r="AX1057" s="83"/>
      <c r="AY1057" s="83"/>
      <c r="AZ1057" s="83"/>
      <c r="BA1057" s="83"/>
      <c r="BB1057" s="83"/>
      <c r="BC1057" s="83"/>
      <c r="BD1057" s="83"/>
      <c r="BE1057" s="83"/>
      <c r="BF1057" s="1"/>
    </row>
    <row r="1058" spans="1:58" s="22" customFormat="1" x14ac:dyDescent="0.25">
      <c r="A1058" s="83" t="s">
        <v>21</v>
      </c>
      <c r="B1058" s="84">
        <v>46201</v>
      </c>
      <c r="C1058" s="83">
        <f t="shared" si="59"/>
        <v>27</v>
      </c>
      <c r="D1058" s="85">
        <v>828</v>
      </c>
      <c r="E1058" s="83">
        <f>[1]DETAY!$A$2</f>
        <v>0</v>
      </c>
      <c r="F1058" s="80">
        <f t="shared" si="60"/>
        <v>823</v>
      </c>
      <c r="G1058" s="81">
        <f t="shared" si="61"/>
        <v>5</v>
      </c>
      <c r="H1058" s="82">
        <f t="shared" si="62"/>
        <v>0.9939613526570048</v>
      </c>
      <c r="I1058" s="83"/>
      <c r="J1058" s="83"/>
      <c r="K1058" s="83"/>
      <c r="L1058" s="83">
        <v>5</v>
      </c>
      <c r="M1058" s="83"/>
      <c r="N1058" s="83"/>
      <c r="O1058" s="83"/>
      <c r="P1058" s="83"/>
      <c r="Q1058" s="83"/>
      <c r="R1058" s="83"/>
      <c r="S1058" s="83"/>
      <c r="T1058" s="83"/>
      <c r="U1058" s="83"/>
      <c r="V1058" s="83"/>
      <c r="W1058" s="83"/>
      <c r="X1058" s="83"/>
      <c r="Y1058" s="83"/>
      <c r="Z1058" s="83"/>
      <c r="AA1058" s="83"/>
      <c r="AB1058" s="83"/>
      <c r="AC1058" s="83"/>
      <c r="AD1058" s="83"/>
      <c r="AE1058" s="83"/>
      <c r="AF1058" s="83"/>
      <c r="AG1058" s="83"/>
      <c r="AH1058" s="83"/>
      <c r="AI1058" s="83"/>
      <c r="AJ1058" s="83"/>
      <c r="AK1058" s="83"/>
      <c r="AL1058" s="83"/>
      <c r="AM1058" s="83"/>
      <c r="AN1058" s="83"/>
      <c r="AO1058" s="83"/>
      <c r="AP1058" s="83"/>
      <c r="AQ1058" s="83"/>
      <c r="AR1058" s="83"/>
      <c r="AS1058" s="83"/>
      <c r="AT1058" s="83"/>
      <c r="AU1058" s="83"/>
      <c r="AV1058" s="83"/>
      <c r="AW1058" s="83"/>
      <c r="AX1058" s="83"/>
      <c r="AY1058" s="83"/>
      <c r="AZ1058" s="83"/>
      <c r="BA1058" s="83"/>
      <c r="BB1058" s="83"/>
      <c r="BC1058" s="83"/>
      <c r="BD1058" s="83"/>
      <c r="BE1058" s="83"/>
      <c r="BF1058" s="1"/>
    </row>
    <row r="1059" spans="1:58" s="22" customFormat="1" x14ac:dyDescent="0.25">
      <c r="A1059" s="83" t="s">
        <v>20</v>
      </c>
      <c r="B1059" s="84">
        <v>46201</v>
      </c>
      <c r="C1059" s="83">
        <f t="shared" si="59"/>
        <v>27</v>
      </c>
      <c r="D1059" s="85">
        <v>3224</v>
      </c>
      <c r="E1059" s="83">
        <f>[1]DETAY!$A$2</f>
        <v>0</v>
      </c>
      <c r="F1059" s="80">
        <f t="shared" si="60"/>
        <v>3163</v>
      </c>
      <c r="G1059" s="81">
        <f t="shared" si="61"/>
        <v>61</v>
      </c>
      <c r="H1059" s="82">
        <f t="shared" si="62"/>
        <v>0.98107940446650121</v>
      </c>
      <c r="I1059" s="83"/>
      <c r="J1059" s="83">
        <v>60</v>
      </c>
      <c r="K1059" s="83"/>
      <c r="L1059" s="83">
        <v>1</v>
      </c>
      <c r="M1059" s="83"/>
      <c r="N1059" s="83"/>
      <c r="O1059" s="83"/>
      <c r="P1059" s="83"/>
      <c r="Q1059" s="83"/>
      <c r="R1059" s="83"/>
      <c r="S1059" s="83"/>
      <c r="T1059" s="83"/>
      <c r="U1059" s="83"/>
      <c r="V1059" s="83"/>
      <c r="W1059" s="83"/>
      <c r="X1059" s="83"/>
      <c r="Y1059" s="83"/>
      <c r="Z1059" s="83"/>
      <c r="AA1059" s="83"/>
      <c r="AB1059" s="83"/>
      <c r="AC1059" s="83"/>
      <c r="AD1059" s="83"/>
      <c r="AE1059" s="83"/>
      <c r="AF1059" s="83"/>
      <c r="AG1059" s="83"/>
      <c r="AH1059" s="83"/>
      <c r="AI1059" s="83"/>
      <c r="AJ1059" s="83"/>
      <c r="AK1059" s="83"/>
      <c r="AL1059" s="83"/>
      <c r="AM1059" s="83"/>
      <c r="AN1059" s="83"/>
      <c r="AO1059" s="83"/>
      <c r="AP1059" s="83"/>
      <c r="AQ1059" s="83"/>
      <c r="AR1059" s="83"/>
      <c r="AS1059" s="83"/>
      <c r="AT1059" s="83"/>
      <c r="AU1059" s="83"/>
      <c r="AV1059" s="83"/>
      <c r="AW1059" s="83"/>
      <c r="AX1059" s="83"/>
      <c r="AY1059" s="83"/>
      <c r="AZ1059" s="83"/>
      <c r="BA1059" s="83"/>
      <c r="BB1059" s="83"/>
      <c r="BC1059" s="83"/>
      <c r="BD1059" s="83"/>
      <c r="BE1059" s="83"/>
      <c r="BF1059" s="1"/>
    </row>
    <row r="1060" spans="1:58" s="22" customFormat="1" x14ac:dyDescent="0.25">
      <c r="A1060" s="83" t="s">
        <v>19</v>
      </c>
      <c r="B1060" s="84">
        <v>46201</v>
      </c>
      <c r="C1060" s="83">
        <f t="shared" si="59"/>
        <v>27</v>
      </c>
      <c r="D1060" s="85"/>
      <c r="E1060" s="83">
        <f>[1]DETAY!$A$2</f>
        <v>0</v>
      </c>
      <c r="F1060" s="80">
        <f t="shared" si="60"/>
        <v>0</v>
      </c>
      <c r="G1060" s="81">
        <f t="shared" si="61"/>
        <v>0</v>
      </c>
      <c r="H1060" s="82" t="e">
        <f t="shared" si="62"/>
        <v>#DIV/0!</v>
      </c>
      <c r="I1060" s="83"/>
      <c r="J1060" s="83"/>
      <c r="K1060" s="83"/>
      <c r="L1060" s="83"/>
      <c r="M1060" s="83"/>
      <c r="N1060" s="83"/>
      <c r="O1060" s="83"/>
      <c r="P1060" s="83"/>
      <c r="Q1060" s="83"/>
      <c r="R1060" s="83"/>
      <c r="S1060" s="83"/>
      <c r="T1060" s="83"/>
      <c r="U1060" s="83"/>
      <c r="V1060" s="83"/>
      <c r="W1060" s="83"/>
      <c r="X1060" s="83"/>
      <c r="Y1060" s="83"/>
      <c r="Z1060" s="83"/>
      <c r="AA1060" s="83"/>
      <c r="AB1060" s="83"/>
      <c r="AC1060" s="83"/>
      <c r="AD1060" s="83"/>
      <c r="AE1060" s="83"/>
      <c r="AF1060" s="83"/>
      <c r="AG1060" s="83"/>
      <c r="AH1060" s="83"/>
      <c r="AI1060" s="83"/>
      <c r="AJ1060" s="83"/>
      <c r="AK1060" s="83"/>
      <c r="AL1060" s="83"/>
      <c r="AM1060" s="83"/>
      <c r="AN1060" s="83"/>
      <c r="AO1060" s="83"/>
      <c r="AP1060" s="83"/>
      <c r="AQ1060" s="83"/>
      <c r="AR1060" s="83"/>
      <c r="AS1060" s="83"/>
      <c r="AT1060" s="83"/>
      <c r="AU1060" s="83"/>
      <c r="AV1060" s="83"/>
      <c r="AW1060" s="83"/>
      <c r="AX1060" s="83"/>
      <c r="AY1060" s="83"/>
      <c r="AZ1060" s="83"/>
      <c r="BA1060" s="83"/>
      <c r="BB1060" s="83"/>
      <c r="BC1060" s="83"/>
      <c r="BD1060" s="83"/>
      <c r="BE1060" s="83"/>
      <c r="BF1060" s="1"/>
    </row>
    <row r="1061" spans="1:58" s="22" customFormat="1" x14ac:dyDescent="0.25">
      <c r="A1061" s="83" t="s">
        <v>18</v>
      </c>
      <c r="B1061" s="84">
        <v>46201</v>
      </c>
      <c r="C1061" s="83">
        <f t="shared" si="59"/>
        <v>27</v>
      </c>
      <c r="D1061" s="85">
        <v>1889</v>
      </c>
      <c r="E1061" s="83">
        <f>[1]DETAY!$A$2</f>
        <v>0</v>
      </c>
      <c r="F1061" s="80">
        <f t="shared" si="60"/>
        <v>1800</v>
      </c>
      <c r="G1061" s="81">
        <f t="shared" si="61"/>
        <v>89</v>
      </c>
      <c r="H1061" s="82">
        <f t="shared" si="62"/>
        <v>0.95288512440444684</v>
      </c>
      <c r="I1061" s="83"/>
      <c r="J1061" s="83">
        <v>72</v>
      </c>
      <c r="K1061" s="83"/>
      <c r="L1061" s="83">
        <v>17</v>
      </c>
      <c r="M1061" s="83"/>
      <c r="N1061" s="83"/>
      <c r="O1061" s="83"/>
      <c r="P1061" s="83"/>
      <c r="Q1061" s="83"/>
      <c r="R1061" s="83"/>
      <c r="S1061" s="83"/>
      <c r="T1061" s="83"/>
      <c r="U1061" s="83"/>
      <c r="V1061" s="83"/>
      <c r="W1061" s="83"/>
      <c r="X1061" s="83"/>
      <c r="Y1061" s="83"/>
      <c r="Z1061" s="83"/>
      <c r="AA1061" s="83"/>
      <c r="AB1061" s="83"/>
      <c r="AC1061" s="83"/>
      <c r="AD1061" s="83"/>
      <c r="AE1061" s="83"/>
      <c r="AF1061" s="83"/>
      <c r="AG1061" s="83"/>
      <c r="AH1061" s="83"/>
      <c r="AI1061" s="83"/>
      <c r="AJ1061" s="83"/>
      <c r="AK1061" s="83"/>
      <c r="AL1061" s="83"/>
      <c r="AM1061" s="83"/>
      <c r="AN1061" s="83"/>
      <c r="AO1061" s="83"/>
      <c r="AP1061" s="83"/>
      <c r="AQ1061" s="83"/>
      <c r="AR1061" s="83"/>
      <c r="AS1061" s="83"/>
      <c r="AT1061" s="83"/>
      <c r="AU1061" s="83"/>
      <c r="AV1061" s="83"/>
      <c r="AW1061" s="83"/>
      <c r="AX1061" s="83"/>
      <c r="AY1061" s="83"/>
      <c r="AZ1061" s="83"/>
      <c r="BA1061" s="83"/>
      <c r="BB1061" s="83"/>
      <c r="BC1061" s="83"/>
      <c r="BD1061" s="83"/>
      <c r="BE1061" s="83"/>
      <c r="BF1061" s="1"/>
    </row>
    <row r="1062" spans="1:58" s="22" customFormat="1" x14ac:dyDescent="0.25">
      <c r="A1062" s="83" t="s">
        <v>16</v>
      </c>
      <c r="B1062" s="84">
        <v>46201</v>
      </c>
      <c r="C1062" s="83">
        <f t="shared" si="59"/>
        <v>27</v>
      </c>
      <c r="D1062" s="85">
        <v>3687</v>
      </c>
      <c r="E1062" s="83">
        <f>[1]DETAY!$A$2</f>
        <v>0</v>
      </c>
      <c r="F1062" s="80">
        <f t="shared" si="60"/>
        <v>3484</v>
      </c>
      <c r="G1062" s="81">
        <f t="shared" si="61"/>
        <v>203</v>
      </c>
      <c r="H1062" s="82">
        <f t="shared" si="62"/>
        <v>0.94494168700840797</v>
      </c>
      <c r="I1062" s="83"/>
      <c r="J1062" s="83"/>
      <c r="K1062" s="83"/>
      <c r="L1062" s="83">
        <v>12</v>
      </c>
      <c r="M1062" s="83">
        <v>7</v>
      </c>
      <c r="N1062" s="83"/>
      <c r="O1062" s="83"/>
      <c r="P1062" s="83"/>
      <c r="Q1062" s="83">
        <v>18</v>
      </c>
      <c r="R1062" s="83"/>
      <c r="S1062" s="83"/>
      <c r="T1062" s="83"/>
      <c r="U1062" s="83"/>
      <c r="V1062" s="83"/>
      <c r="W1062" s="83"/>
      <c r="X1062" s="83"/>
      <c r="Y1062" s="83"/>
      <c r="Z1062" s="83"/>
      <c r="AA1062" s="83"/>
      <c r="AB1062" s="83"/>
      <c r="AC1062" s="83"/>
      <c r="AD1062" s="83"/>
      <c r="AE1062" s="83"/>
      <c r="AF1062" s="83"/>
      <c r="AG1062" s="83"/>
      <c r="AH1062" s="83">
        <v>31</v>
      </c>
      <c r="AI1062" s="83"/>
      <c r="AJ1062" s="83">
        <v>135</v>
      </c>
      <c r="AK1062" s="83"/>
      <c r="AL1062" s="83"/>
      <c r="AM1062" s="83"/>
      <c r="AN1062" s="83"/>
      <c r="AO1062" s="83"/>
      <c r="AP1062" s="83"/>
      <c r="AQ1062" s="83"/>
      <c r="AR1062" s="83"/>
      <c r="AS1062" s="83"/>
      <c r="AT1062" s="83"/>
      <c r="AU1062" s="83"/>
      <c r="AV1062" s="83"/>
      <c r="AW1062" s="83"/>
      <c r="AX1062" s="83"/>
      <c r="AY1062" s="83"/>
      <c r="AZ1062" s="83"/>
      <c r="BA1062" s="83"/>
      <c r="BB1062" s="83"/>
      <c r="BC1062" s="83"/>
      <c r="BD1062" s="83"/>
      <c r="BE1062" s="83"/>
      <c r="BF1062" s="1"/>
    </row>
    <row r="1063" spans="1:58" s="22" customFormat="1" x14ac:dyDescent="0.25">
      <c r="A1063" s="83" t="s">
        <v>10</v>
      </c>
      <c r="B1063" s="84">
        <v>46201</v>
      </c>
      <c r="C1063" s="83">
        <f t="shared" si="59"/>
        <v>27</v>
      </c>
      <c r="D1063" s="85"/>
      <c r="E1063" s="83">
        <f>[1]DETAY!$A$2</f>
        <v>0</v>
      </c>
      <c r="F1063" s="80">
        <f t="shared" si="60"/>
        <v>0</v>
      </c>
      <c r="G1063" s="81">
        <f t="shared" si="61"/>
        <v>0</v>
      </c>
      <c r="H1063" s="82" t="e">
        <f t="shared" si="62"/>
        <v>#DIV/0!</v>
      </c>
      <c r="I1063" s="83"/>
      <c r="J1063" s="83"/>
      <c r="K1063" s="83"/>
      <c r="L1063" s="83"/>
      <c r="M1063" s="83"/>
      <c r="N1063" s="83"/>
      <c r="O1063" s="83"/>
      <c r="P1063" s="83"/>
      <c r="Q1063" s="83"/>
      <c r="R1063" s="83"/>
      <c r="S1063" s="83"/>
      <c r="T1063" s="83"/>
      <c r="U1063" s="83"/>
      <c r="V1063" s="83"/>
      <c r="W1063" s="83"/>
      <c r="X1063" s="83"/>
      <c r="Y1063" s="83"/>
      <c r="Z1063" s="83"/>
      <c r="AA1063" s="83"/>
      <c r="AB1063" s="83"/>
      <c r="AC1063" s="83"/>
      <c r="AD1063" s="83"/>
      <c r="AE1063" s="83"/>
      <c r="AF1063" s="83"/>
      <c r="AG1063" s="83"/>
      <c r="AH1063" s="83"/>
      <c r="AI1063" s="83"/>
      <c r="AJ1063" s="83"/>
      <c r="AK1063" s="83"/>
      <c r="AL1063" s="83"/>
      <c r="AM1063" s="83"/>
      <c r="AN1063" s="83"/>
      <c r="AO1063" s="83"/>
      <c r="AP1063" s="83"/>
      <c r="AQ1063" s="83"/>
      <c r="AR1063" s="83"/>
      <c r="AS1063" s="83"/>
      <c r="AT1063" s="83"/>
      <c r="AU1063" s="83"/>
      <c r="AV1063" s="83"/>
      <c r="AW1063" s="83"/>
      <c r="AX1063" s="83"/>
      <c r="AY1063" s="83"/>
      <c r="AZ1063" s="83"/>
      <c r="BA1063" s="83"/>
      <c r="BB1063" s="83"/>
      <c r="BC1063" s="83"/>
      <c r="BD1063" s="83"/>
      <c r="BE1063" s="83"/>
      <c r="BF1063" s="1"/>
    </row>
    <row r="1064" spans="1:58" s="22" customFormat="1" x14ac:dyDescent="0.25">
      <c r="A1064" s="83" t="s">
        <v>8</v>
      </c>
      <c r="B1064" s="84">
        <v>46201</v>
      </c>
      <c r="C1064" s="83">
        <f t="shared" si="59"/>
        <v>27</v>
      </c>
      <c r="D1064" s="85">
        <v>686</v>
      </c>
      <c r="E1064" s="83">
        <f>[1]DETAY!$A$2</f>
        <v>0</v>
      </c>
      <c r="F1064" s="80">
        <f t="shared" si="60"/>
        <v>550</v>
      </c>
      <c r="G1064" s="81">
        <v>136</v>
      </c>
      <c r="H1064" s="82">
        <f t="shared" si="62"/>
        <v>0.80174927113702621</v>
      </c>
      <c r="I1064" s="83"/>
      <c r="J1064" s="83"/>
      <c r="K1064" s="83"/>
      <c r="L1064" s="83"/>
      <c r="M1064" s="83"/>
      <c r="N1064" s="83"/>
      <c r="O1064" s="83"/>
      <c r="P1064" s="83"/>
      <c r="Q1064" s="83"/>
      <c r="R1064" s="83"/>
      <c r="S1064" s="83"/>
      <c r="T1064" s="83"/>
      <c r="U1064" s="83"/>
      <c r="V1064" s="83"/>
      <c r="W1064" s="83"/>
      <c r="X1064" s="83"/>
      <c r="Y1064" s="83"/>
      <c r="Z1064" s="83"/>
      <c r="AA1064" s="83"/>
      <c r="AB1064" s="83"/>
      <c r="AC1064" s="83"/>
      <c r="AD1064" s="83"/>
      <c r="AE1064" s="83"/>
      <c r="AF1064" s="83"/>
      <c r="AG1064" s="83"/>
      <c r="AH1064" s="83"/>
      <c r="AI1064" s="83"/>
      <c r="AJ1064" s="83"/>
      <c r="AK1064" s="83"/>
      <c r="AL1064" s="83"/>
      <c r="AM1064" s="83"/>
      <c r="AN1064" s="83"/>
      <c r="AO1064" s="83"/>
      <c r="AP1064" s="83"/>
      <c r="AQ1064" s="83"/>
      <c r="AR1064" s="83"/>
      <c r="AS1064" s="83"/>
      <c r="AT1064" s="83"/>
      <c r="AU1064" s="83"/>
      <c r="AV1064" s="83"/>
      <c r="AW1064" s="83"/>
      <c r="AX1064" s="83"/>
      <c r="AY1064" s="83">
        <v>8</v>
      </c>
      <c r="AZ1064" s="83"/>
      <c r="BA1064" s="83"/>
      <c r="BB1064" s="83"/>
      <c r="BC1064" s="83"/>
      <c r="BD1064" s="83"/>
      <c r="BE1064" s="83">
        <v>128</v>
      </c>
      <c r="BF1064" s="1"/>
    </row>
    <row r="1065" spans="1:58" s="22" customFormat="1" x14ac:dyDescent="0.25">
      <c r="A1065" s="83" t="s">
        <v>14</v>
      </c>
      <c r="B1065" s="84">
        <v>46201</v>
      </c>
      <c r="C1065" s="83">
        <f t="shared" si="59"/>
        <v>27</v>
      </c>
      <c r="D1065" s="85">
        <v>440</v>
      </c>
      <c r="E1065" s="83">
        <f>[1]DETAY!$A$2</f>
        <v>0</v>
      </c>
      <c r="F1065" s="80">
        <f t="shared" si="60"/>
        <v>440</v>
      </c>
      <c r="G1065" s="81">
        <f t="shared" si="61"/>
        <v>0</v>
      </c>
      <c r="H1065" s="82">
        <f t="shared" si="62"/>
        <v>1</v>
      </c>
      <c r="I1065" s="83"/>
      <c r="J1065" s="83"/>
      <c r="K1065" s="83"/>
      <c r="L1065" s="83"/>
      <c r="M1065" s="83"/>
      <c r="N1065" s="83"/>
      <c r="O1065" s="83"/>
      <c r="P1065" s="83"/>
      <c r="Q1065" s="83"/>
      <c r="R1065" s="83"/>
      <c r="S1065" s="83"/>
      <c r="T1065" s="83"/>
      <c r="U1065" s="83"/>
      <c r="V1065" s="83"/>
      <c r="W1065" s="83"/>
      <c r="X1065" s="83"/>
      <c r="Y1065" s="83"/>
      <c r="Z1065" s="83"/>
      <c r="AA1065" s="83"/>
      <c r="AB1065" s="83"/>
      <c r="AC1065" s="83"/>
      <c r="AD1065" s="83"/>
      <c r="AE1065" s="83"/>
      <c r="AF1065" s="83"/>
      <c r="AG1065" s="83"/>
      <c r="AH1065" s="83"/>
      <c r="AI1065" s="83"/>
      <c r="AJ1065" s="83"/>
      <c r="AK1065" s="83"/>
      <c r="AL1065" s="83"/>
      <c r="AM1065" s="83"/>
      <c r="AN1065" s="83"/>
      <c r="AO1065" s="83"/>
      <c r="AP1065" s="83"/>
      <c r="AQ1065" s="83"/>
      <c r="AR1065" s="83"/>
      <c r="AS1065" s="83"/>
      <c r="AT1065" s="83"/>
      <c r="AU1065" s="83"/>
      <c r="AV1065" s="83"/>
      <c r="AW1065" s="83"/>
      <c r="AX1065" s="83"/>
      <c r="AY1065" s="83"/>
      <c r="AZ1065" s="83"/>
      <c r="BA1065" s="83"/>
      <c r="BB1065" s="83"/>
      <c r="BC1065" s="83"/>
      <c r="BD1065" s="83"/>
      <c r="BE1065" s="83"/>
      <c r="BF1065" s="1"/>
    </row>
    <row r="1066" spans="1:58" s="22" customFormat="1" x14ac:dyDescent="0.25">
      <c r="A1066" s="83" t="s">
        <v>13</v>
      </c>
      <c r="B1066" s="84">
        <v>46201</v>
      </c>
      <c r="C1066" s="83">
        <f t="shared" si="59"/>
        <v>27</v>
      </c>
      <c r="D1066" s="85">
        <v>720</v>
      </c>
      <c r="E1066" s="83">
        <f>[1]DETAY!$A$2</f>
        <v>0</v>
      </c>
      <c r="F1066" s="80">
        <f t="shared" si="60"/>
        <v>720</v>
      </c>
      <c r="G1066" s="81">
        <f t="shared" si="61"/>
        <v>0</v>
      </c>
      <c r="H1066" s="82">
        <f t="shared" si="62"/>
        <v>1</v>
      </c>
      <c r="I1066" s="83"/>
      <c r="J1066" s="83"/>
      <c r="K1066" s="83"/>
      <c r="L1066" s="83"/>
      <c r="M1066" s="83"/>
      <c r="N1066" s="83"/>
      <c r="O1066" s="83"/>
      <c r="P1066" s="83"/>
      <c r="Q1066" s="83"/>
      <c r="R1066" s="83"/>
      <c r="S1066" s="83"/>
      <c r="T1066" s="83"/>
      <c r="U1066" s="83"/>
      <c r="V1066" s="83"/>
      <c r="W1066" s="83"/>
      <c r="X1066" s="83"/>
      <c r="Y1066" s="83"/>
      <c r="Z1066" s="83"/>
      <c r="AA1066" s="83"/>
      <c r="AB1066" s="83"/>
      <c r="AC1066" s="83"/>
      <c r="AD1066" s="83"/>
      <c r="AE1066" s="83"/>
      <c r="AF1066" s="83"/>
      <c r="AG1066" s="83"/>
      <c r="AH1066" s="83"/>
      <c r="AI1066" s="83"/>
      <c r="AJ1066" s="83"/>
      <c r="AK1066" s="83"/>
      <c r="AL1066" s="83"/>
      <c r="AM1066" s="83"/>
      <c r="AN1066" s="83"/>
      <c r="AO1066" s="83"/>
      <c r="AP1066" s="83"/>
      <c r="AQ1066" s="83"/>
      <c r="AR1066" s="83"/>
      <c r="AS1066" s="83"/>
      <c r="AT1066" s="83"/>
      <c r="AU1066" s="83"/>
      <c r="AV1066" s="83"/>
      <c r="AW1066" s="83"/>
      <c r="AX1066" s="83"/>
      <c r="AY1066" s="83"/>
      <c r="AZ1066" s="83"/>
      <c r="BA1066" s="83"/>
      <c r="BB1066" s="83"/>
      <c r="BC1066" s="83"/>
      <c r="BD1066" s="83"/>
      <c r="BE1066" s="83"/>
      <c r="BF1066" s="1"/>
    </row>
    <row r="1067" spans="1:58" s="22" customFormat="1" x14ac:dyDescent="0.25">
      <c r="A1067" s="83" t="s">
        <v>12</v>
      </c>
      <c r="B1067" s="84">
        <v>46201</v>
      </c>
      <c r="C1067" s="83">
        <f t="shared" si="59"/>
        <v>27</v>
      </c>
      <c r="D1067" s="85">
        <v>400</v>
      </c>
      <c r="E1067" s="83">
        <f>[1]DETAY!$A$2</f>
        <v>0</v>
      </c>
      <c r="F1067" s="80">
        <f t="shared" si="60"/>
        <v>400</v>
      </c>
      <c r="G1067" s="81">
        <f t="shared" si="61"/>
        <v>0</v>
      </c>
      <c r="H1067" s="82">
        <f t="shared" si="62"/>
        <v>1</v>
      </c>
      <c r="I1067" s="83"/>
      <c r="J1067" s="83"/>
      <c r="K1067" s="83"/>
      <c r="L1067" s="83"/>
      <c r="M1067" s="83"/>
      <c r="N1067" s="83"/>
      <c r="O1067" s="83"/>
      <c r="P1067" s="83"/>
      <c r="Q1067" s="83"/>
      <c r="R1067" s="83"/>
      <c r="S1067" s="83"/>
      <c r="T1067" s="83"/>
      <c r="U1067" s="83"/>
      <c r="V1067" s="83"/>
      <c r="W1067" s="83"/>
      <c r="X1067" s="83"/>
      <c r="Y1067" s="83"/>
      <c r="Z1067" s="83"/>
      <c r="AA1067" s="83"/>
      <c r="AB1067" s="83"/>
      <c r="AC1067" s="83"/>
      <c r="AD1067" s="83"/>
      <c r="AE1067" s="83"/>
      <c r="AF1067" s="83"/>
      <c r="AG1067" s="83"/>
      <c r="AH1067" s="83"/>
      <c r="AI1067" s="83"/>
      <c r="AJ1067" s="83"/>
      <c r="AK1067" s="83"/>
      <c r="AL1067" s="83"/>
      <c r="AM1067" s="83"/>
      <c r="AN1067" s="83"/>
      <c r="AO1067" s="83"/>
      <c r="AP1067" s="83"/>
      <c r="AQ1067" s="83"/>
      <c r="AR1067" s="83"/>
      <c r="AS1067" s="83"/>
      <c r="AT1067" s="83"/>
      <c r="AU1067" s="83"/>
      <c r="AV1067" s="83"/>
      <c r="AW1067" s="83"/>
      <c r="AX1067" s="83"/>
      <c r="AY1067" s="83"/>
      <c r="AZ1067" s="83"/>
      <c r="BA1067" s="83"/>
      <c r="BB1067" s="83"/>
      <c r="BC1067" s="83"/>
      <c r="BD1067" s="83"/>
      <c r="BE1067" s="83"/>
      <c r="BF1067" s="1"/>
    </row>
    <row r="1068" spans="1:58" s="22" customFormat="1" x14ac:dyDescent="0.25">
      <c r="A1068" s="83" t="s">
        <v>11</v>
      </c>
      <c r="B1068" s="84">
        <v>46201</v>
      </c>
      <c r="C1068" s="83">
        <f t="shared" si="59"/>
        <v>27</v>
      </c>
      <c r="D1068" s="85">
        <v>981</v>
      </c>
      <c r="E1068" s="83">
        <f>[1]DETAY!$A$2</f>
        <v>0</v>
      </c>
      <c r="F1068" s="80">
        <f t="shared" si="60"/>
        <v>980</v>
      </c>
      <c r="G1068" s="81">
        <f t="shared" si="61"/>
        <v>1</v>
      </c>
      <c r="H1068" s="82">
        <f t="shared" si="62"/>
        <v>0.9989806320081549</v>
      </c>
      <c r="I1068" s="83"/>
      <c r="J1068" s="83"/>
      <c r="K1068" s="83"/>
      <c r="L1068" s="83">
        <v>1</v>
      </c>
      <c r="M1068" s="83"/>
      <c r="N1068" s="83"/>
      <c r="O1068" s="83"/>
      <c r="P1068" s="83"/>
      <c r="Q1068" s="83"/>
      <c r="R1068" s="83"/>
      <c r="S1068" s="83"/>
      <c r="T1068" s="83"/>
      <c r="U1068" s="83"/>
      <c r="V1068" s="83"/>
      <c r="W1068" s="83"/>
      <c r="X1068" s="83"/>
      <c r="Y1068" s="83"/>
      <c r="Z1068" s="83"/>
      <c r="AA1068" s="83"/>
      <c r="AB1068" s="83"/>
      <c r="AC1068" s="83"/>
      <c r="AD1068" s="83"/>
      <c r="AE1068" s="83"/>
      <c r="AF1068" s="83"/>
      <c r="AG1068" s="83"/>
      <c r="AH1068" s="83"/>
      <c r="AI1068" s="83"/>
      <c r="AJ1068" s="83"/>
      <c r="AK1068" s="83"/>
      <c r="AL1068" s="83"/>
      <c r="AM1068" s="83"/>
      <c r="AN1068" s="83"/>
      <c r="AO1068" s="83"/>
      <c r="AP1068" s="83"/>
      <c r="AQ1068" s="83"/>
      <c r="AR1068" s="83"/>
      <c r="AS1068" s="83"/>
      <c r="AT1068" s="83"/>
      <c r="AU1068" s="83"/>
      <c r="AV1068" s="83"/>
      <c r="AW1068" s="83"/>
      <c r="AX1068" s="83"/>
      <c r="AY1068" s="83"/>
      <c r="AZ1068" s="83"/>
      <c r="BA1068" s="83"/>
      <c r="BB1068" s="83"/>
      <c r="BC1068" s="83"/>
      <c r="BD1068" s="83"/>
      <c r="BE1068" s="83"/>
      <c r="BF1068" s="1"/>
    </row>
    <row r="1069" spans="1:58" s="22" customFormat="1" x14ac:dyDescent="0.25">
      <c r="A1069" s="83" t="s">
        <v>9</v>
      </c>
      <c r="B1069" s="84">
        <v>46201</v>
      </c>
      <c r="C1069" s="83">
        <f t="shared" si="59"/>
        <v>27</v>
      </c>
      <c r="D1069" s="85">
        <v>2124</v>
      </c>
      <c r="E1069" s="83">
        <f>[1]DETAY!$A$2</f>
        <v>0</v>
      </c>
      <c r="F1069" s="80">
        <f t="shared" si="60"/>
        <v>2100</v>
      </c>
      <c r="G1069" s="81">
        <f t="shared" si="61"/>
        <v>24</v>
      </c>
      <c r="H1069" s="82">
        <f t="shared" si="62"/>
        <v>0.98870056497175141</v>
      </c>
      <c r="I1069" s="83"/>
      <c r="J1069" s="83"/>
      <c r="K1069" s="83"/>
      <c r="L1069" s="83"/>
      <c r="M1069" s="83">
        <v>23</v>
      </c>
      <c r="N1069" s="83"/>
      <c r="O1069" s="83"/>
      <c r="P1069" s="83"/>
      <c r="Q1069" s="83"/>
      <c r="R1069" s="83"/>
      <c r="S1069" s="83"/>
      <c r="T1069" s="83"/>
      <c r="U1069" s="83"/>
      <c r="V1069" s="83"/>
      <c r="W1069" s="83"/>
      <c r="X1069" s="83"/>
      <c r="Y1069" s="83"/>
      <c r="Z1069" s="83"/>
      <c r="AA1069" s="83"/>
      <c r="AB1069" s="83"/>
      <c r="AC1069" s="83"/>
      <c r="AD1069" s="83"/>
      <c r="AE1069" s="83"/>
      <c r="AF1069" s="83"/>
      <c r="AG1069" s="83"/>
      <c r="AH1069" s="83"/>
      <c r="AI1069" s="83"/>
      <c r="AJ1069" s="83"/>
      <c r="AK1069" s="83"/>
      <c r="AL1069" s="83"/>
      <c r="AM1069" s="83"/>
      <c r="AN1069" s="83"/>
      <c r="AO1069" s="83"/>
      <c r="AP1069" s="83"/>
      <c r="AQ1069" s="83"/>
      <c r="AR1069" s="83"/>
      <c r="AS1069" s="83"/>
      <c r="AT1069" s="83"/>
      <c r="AU1069" s="83">
        <v>1</v>
      </c>
      <c r="AV1069" s="83"/>
      <c r="AW1069" s="83"/>
      <c r="AX1069" s="83"/>
      <c r="AY1069" s="83"/>
      <c r="AZ1069" s="83"/>
      <c r="BA1069" s="83"/>
      <c r="BB1069" s="83"/>
      <c r="BC1069" s="83"/>
      <c r="BD1069" s="83"/>
      <c r="BE1069" s="83"/>
      <c r="BF1069" s="1"/>
    </row>
    <row r="1070" spans="1:58" s="22" customFormat="1" x14ac:dyDescent="0.25">
      <c r="A1070" s="83" t="s">
        <v>10</v>
      </c>
      <c r="B1070" s="84">
        <v>46201</v>
      </c>
      <c r="C1070" s="83">
        <f t="shared" si="59"/>
        <v>27</v>
      </c>
      <c r="D1070" s="85">
        <v>2130</v>
      </c>
      <c r="E1070" s="83">
        <f>[1]DETAY!$A$2</f>
        <v>0</v>
      </c>
      <c r="F1070" s="80">
        <f t="shared" si="60"/>
        <v>2088</v>
      </c>
      <c r="G1070" s="81">
        <f t="shared" si="61"/>
        <v>42</v>
      </c>
      <c r="H1070" s="82">
        <f t="shared" si="62"/>
        <v>0.9802816901408451</v>
      </c>
      <c r="I1070" s="83"/>
      <c r="J1070" s="83"/>
      <c r="K1070" s="83"/>
      <c r="L1070" s="83"/>
      <c r="M1070" s="83">
        <v>39</v>
      </c>
      <c r="N1070" s="83"/>
      <c r="O1070" s="83"/>
      <c r="P1070" s="83"/>
      <c r="Q1070" s="83"/>
      <c r="R1070" s="83"/>
      <c r="S1070" s="83"/>
      <c r="T1070" s="83"/>
      <c r="U1070" s="83"/>
      <c r="V1070" s="83"/>
      <c r="W1070" s="83"/>
      <c r="X1070" s="83"/>
      <c r="Y1070" s="83"/>
      <c r="Z1070" s="83"/>
      <c r="AA1070" s="83">
        <v>3</v>
      </c>
      <c r="AB1070" s="83"/>
      <c r="AC1070" s="83"/>
      <c r="AD1070" s="83"/>
      <c r="AE1070" s="83"/>
      <c r="AF1070" s="83"/>
      <c r="AG1070" s="83"/>
      <c r="AH1070" s="83"/>
      <c r="AI1070" s="83"/>
      <c r="AJ1070" s="83"/>
      <c r="AK1070" s="83"/>
      <c r="AL1070" s="83"/>
      <c r="AM1070" s="83"/>
      <c r="AN1070" s="83"/>
      <c r="AO1070" s="83"/>
      <c r="AP1070" s="83"/>
      <c r="AQ1070" s="83"/>
      <c r="AR1070" s="83"/>
      <c r="AS1070" s="83"/>
      <c r="AT1070" s="83"/>
      <c r="AU1070" s="83"/>
      <c r="AV1070" s="83"/>
      <c r="AW1070" s="83"/>
      <c r="AX1070" s="83"/>
      <c r="AY1070" s="83"/>
      <c r="AZ1070" s="83"/>
      <c r="BA1070" s="83"/>
      <c r="BB1070" s="83"/>
      <c r="BC1070" s="83"/>
      <c r="BD1070" s="83"/>
      <c r="BE1070" s="83"/>
      <c r="BF1070" s="1"/>
    </row>
    <row r="1071" spans="1:58" s="22" customFormat="1" x14ac:dyDescent="0.25">
      <c r="A1071" s="83" t="s">
        <v>8</v>
      </c>
      <c r="B1071" s="84">
        <v>46201</v>
      </c>
      <c r="C1071" s="83">
        <f t="shared" si="59"/>
        <v>27</v>
      </c>
      <c r="D1071" s="85">
        <v>802</v>
      </c>
      <c r="E1071" s="83">
        <f>[1]DETAY!$A$2</f>
        <v>0</v>
      </c>
      <c r="F1071" s="80">
        <f t="shared" si="60"/>
        <v>798</v>
      </c>
      <c r="G1071" s="81">
        <f t="shared" si="61"/>
        <v>4</v>
      </c>
      <c r="H1071" s="82">
        <f t="shared" si="62"/>
        <v>0.99501246882793015</v>
      </c>
      <c r="I1071" s="83"/>
      <c r="J1071" s="83"/>
      <c r="K1071" s="83"/>
      <c r="L1071" s="83"/>
      <c r="M1071" s="83">
        <v>4</v>
      </c>
      <c r="N1071" s="83"/>
      <c r="O1071" s="83"/>
      <c r="P1071" s="83"/>
      <c r="Q1071" s="83"/>
      <c r="R1071" s="83"/>
      <c r="S1071" s="83"/>
      <c r="T1071" s="83"/>
      <c r="U1071" s="83"/>
      <c r="V1071" s="83"/>
      <c r="W1071" s="83"/>
      <c r="X1071" s="83"/>
      <c r="Y1071" s="83"/>
      <c r="Z1071" s="83"/>
      <c r="AA1071" s="83"/>
      <c r="AB1071" s="83"/>
      <c r="AC1071" s="83"/>
      <c r="AD1071" s="83"/>
      <c r="AE1071" s="83"/>
      <c r="AF1071" s="83"/>
      <c r="AG1071" s="83"/>
      <c r="AH1071" s="83"/>
      <c r="AI1071" s="83"/>
      <c r="AJ1071" s="83"/>
      <c r="AK1071" s="83"/>
      <c r="AL1071" s="83"/>
      <c r="AM1071" s="83"/>
      <c r="AN1071" s="83"/>
      <c r="AO1071" s="83"/>
      <c r="AP1071" s="83"/>
      <c r="AQ1071" s="83"/>
      <c r="AR1071" s="83"/>
      <c r="AS1071" s="83"/>
      <c r="AT1071" s="83"/>
      <c r="AU1071" s="83"/>
      <c r="AV1071" s="83"/>
      <c r="AW1071" s="83"/>
      <c r="AX1071" s="83"/>
      <c r="AY1071" s="83"/>
      <c r="AZ1071" s="83"/>
      <c r="BA1071" s="83"/>
      <c r="BB1071" s="83"/>
      <c r="BC1071" s="83"/>
      <c r="BD1071" s="83"/>
      <c r="BE1071" s="83"/>
      <c r="BF1071" s="1"/>
    </row>
    <row r="1072" spans="1:58" s="22" customFormat="1" x14ac:dyDescent="0.25">
      <c r="A1072" s="83" t="s">
        <v>7</v>
      </c>
      <c r="B1072" s="84">
        <v>46201</v>
      </c>
      <c r="C1072" s="83">
        <f t="shared" si="59"/>
        <v>27</v>
      </c>
      <c r="D1072" s="85">
        <v>64</v>
      </c>
      <c r="E1072" s="83">
        <f>[1]DETAY!$A$2</f>
        <v>0</v>
      </c>
      <c r="F1072" s="80">
        <f t="shared" si="60"/>
        <v>64</v>
      </c>
      <c r="G1072" s="81">
        <f t="shared" si="61"/>
        <v>0</v>
      </c>
      <c r="H1072" s="82">
        <f t="shared" si="62"/>
        <v>1</v>
      </c>
      <c r="I1072" s="83"/>
      <c r="J1072" s="83"/>
      <c r="K1072" s="83"/>
      <c r="L1072" s="83"/>
      <c r="M1072" s="83"/>
      <c r="N1072" s="83"/>
      <c r="O1072" s="83"/>
      <c r="P1072" s="83"/>
      <c r="Q1072" s="83"/>
      <c r="R1072" s="83"/>
      <c r="S1072" s="83"/>
      <c r="T1072" s="83"/>
      <c r="U1072" s="83"/>
      <c r="V1072" s="83"/>
      <c r="W1072" s="83"/>
      <c r="X1072" s="83"/>
      <c r="Y1072" s="83"/>
      <c r="Z1072" s="83"/>
      <c r="AA1072" s="83"/>
      <c r="AB1072" s="83"/>
      <c r="AC1072" s="83"/>
      <c r="AD1072" s="83"/>
      <c r="AE1072" s="83"/>
      <c r="AF1072" s="83"/>
      <c r="AG1072" s="83"/>
      <c r="AH1072" s="83"/>
      <c r="AI1072" s="83"/>
      <c r="AJ1072" s="83"/>
      <c r="AK1072" s="83"/>
      <c r="AL1072" s="83"/>
      <c r="AM1072" s="83"/>
      <c r="AN1072" s="83"/>
      <c r="AO1072" s="83"/>
      <c r="AP1072" s="83"/>
      <c r="AQ1072" s="83"/>
      <c r="AR1072" s="83"/>
      <c r="AS1072" s="83"/>
      <c r="AT1072" s="83"/>
      <c r="AU1072" s="83"/>
      <c r="AV1072" s="83"/>
      <c r="AW1072" s="83"/>
      <c r="AX1072" s="83"/>
      <c r="AY1072" s="83"/>
      <c r="AZ1072" s="83"/>
      <c r="BA1072" s="83"/>
      <c r="BB1072" s="83"/>
      <c r="BC1072" s="83"/>
      <c r="BD1072" s="83"/>
      <c r="BE1072" s="83"/>
      <c r="BF1072" s="1"/>
    </row>
    <row r="1073" spans="1:58" s="22" customFormat="1" x14ac:dyDescent="0.25">
      <c r="A1073" s="83" t="s">
        <v>13</v>
      </c>
      <c r="B1073" s="84">
        <v>46201</v>
      </c>
      <c r="C1073" s="83">
        <f t="shared" si="59"/>
        <v>27</v>
      </c>
      <c r="D1073" s="85">
        <v>4640</v>
      </c>
      <c r="E1073" s="83">
        <f>[1]DETAY!$A$2</f>
        <v>0</v>
      </c>
      <c r="F1073" s="80">
        <f t="shared" si="60"/>
        <v>4590</v>
      </c>
      <c r="G1073" s="81">
        <f t="shared" si="61"/>
        <v>50</v>
      </c>
      <c r="H1073" s="82">
        <f t="shared" si="62"/>
        <v>0.98922413793103448</v>
      </c>
      <c r="I1073" s="83">
        <v>45</v>
      </c>
      <c r="J1073" s="83"/>
      <c r="K1073" s="83"/>
      <c r="L1073" s="83"/>
      <c r="M1073" s="83">
        <v>5</v>
      </c>
      <c r="N1073" s="83"/>
      <c r="O1073" s="83"/>
      <c r="P1073" s="83"/>
      <c r="Q1073" s="83"/>
      <c r="R1073" s="83"/>
      <c r="S1073" s="83"/>
      <c r="T1073" s="83"/>
      <c r="U1073" s="83"/>
      <c r="V1073" s="83"/>
      <c r="W1073" s="83"/>
      <c r="X1073" s="83"/>
      <c r="Y1073" s="83"/>
      <c r="Z1073" s="83"/>
      <c r="AA1073" s="83"/>
      <c r="AB1073" s="83"/>
      <c r="AC1073" s="83"/>
      <c r="AD1073" s="83"/>
      <c r="AE1073" s="83"/>
      <c r="AF1073" s="83"/>
      <c r="AG1073" s="83"/>
      <c r="AH1073" s="83"/>
      <c r="AI1073" s="83"/>
      <c r="AJ1073" s="83"/>
      <c r="AK1073" s="83"/>
      <c r="AL1073" s="83"/>
      <c r="AM1073" s="83"/>
      <c r="AN1073" s="83"/>
      <c r="AO1073" s="83"/>
      <c r="AP1073" s="83"/>
      <c r="AQ1073" s="83"/>
      <c r="AR1073" s="83"/>
      <c r="AS1073" s="83"/>
      <c r="AT1073" s="83"/>
      <c r="AU1073" s="83"/>
      <c r="AV1073" s="83"/>
      <c r="AW1073" s="83"/>
      <c r="AX1073" s="83"/>
      <c r="AY1073" s="83"/>
      <c r="AZ1073" s="83"/>
      <c r="BA1073" s="83"/>
      <c r="BB1073" s="83"/>
      <c r="BC1073" s="83"/>
      <c r="BD1073" s="83"/>
      <c r="BE1073" s="83"/>
      <c r="BF1073" s="1"/>
    </row>
    <row r="1074" spans="1:58" s="22" customFormat="1" x14ac:dyDescent="0.25">
      <c r="A1074" s="83" t="s">
        <v>12</v>
      </c>
      <c r="B1074" s="84">
        <v>46201</v>
      </c>
      <c r="C1074" s="83">
        <f t="shared" si="59"/>
        <v>27</v>
      </c>
      <c r="D1074" s="85">
        <v>3468</v>
      </c>
      <c r="E1074" s="83">
        <f>[1]DETAY!$A$2</f>
        <v>0</v>
      </c>
      <c r="F1074" s="80">
        <f t="shared" si="60"/>
        <v>3467</v>
      </c>
      <c r="G1074" s="81">
        <v>1</v>
      </c>
      <c r="H1074" s="82">
        <f t="shared" si="62"/>
        <v>0.99971164936562862</v>
      </c>
      <c r="I1074" s="83"/>
      <c r="J1074" s="83"/>
      <c r="K1074" s="83"/>
      <c r="L1074" s="83"/>
      <c r="M1074" s="83"/>
      <c r="N1074" s="83"/>
      <c r="O1074" s="83"/>
      <c r="P1074" s="83"/>
      <c r="Q1074" s="83"/>
      <c r="R1074" s="83"/>
      <c r="S1074" s="83"/>
      <c r="T1074" s="83"/>
      <c r="U1074" s="83"/>
      <c r="V1074" s="83"/>
      <c r="W1074" s="83"/>
      <c r="X1074" s="83"/>
      <c r="Y1074" s="83"/>
      <c r="Z1074" s="83"/>
      <c r="AA1074" s="83">
        <v>1</v>
      </c>
      <c r="AB1074" s="83"/>
      <c r="AC1074" s="83"/>
      <c r="AD1074" s="83"/>
      <c r="AE1074" s="83"/>
      <c r="AF1074" s="83"/>
      <c r="AG1074" s="83">
        <v>27</v>
      </c>
      <c r="AH1074" s="83"/>
      <c r="AI1074" s="83"/>
      <c r="AJ1074" s="83"/>
      <c r="AK1074" s="83"/>
      <c r="AL1074" s="83"/>
      <c r="AM1074" s="83"/>
      <c r="AN1074" s="83"/>
      <c r="AO1074" s="83"/>
      <c r="AP1074" s="83"/>
      <c r="AQ1074" s="83"/>
      <c r="AR1074" s="83"/>
      <c r="AS1074" s="83"/>
      <c r="AT1074" s="83"/>
      <c r="AU1074" s="83"/>
      <c r="AV1074" s="83"/>
      <c r="AW1074" s="83"/>
      <c r="AX1074" s="83"/>
      <c r="AY1074" s="83"/>
      <c r="AZ1074" s="83"/>
      <c r="BA1074" s="83"/>
      <c r="BB1074" s="83"/>
      <c r="BC1074" s="83"/>
      <c r="BD1074" s="83"/>
      <c r="BE1074" s="83"/>
      <c r="BF1074" s="1"/>
    </row>
    <row r="1075" spans="1:58" s="22" customFormat="1" x14ac:dyDescent="0.25">
      <c r="A1075" s="83" t="s">
        <v>4</v>
      </c>
      <c r="B1075" s="84">
        <v>46201</v>
      </c>
      <c r="C1075" s="83">
        <f t="shared" si="59"/>
        <v>27</v>
      </c>
      <c r="D1075" s="85">
        <v>1259</v>
      </c>
      <c r="E1075" s="83">
        <f>[1]DETAY!$A$2</f>
        <v>0</v>
      </c>
      <c r="F1075" s="80">
        <f t="shared" si="60"/>
        <v>1259</v>
      </c>
      <c r="G1075" s="81">
        <f t="shared" si="61"/>
        <v>0</v>
      </c>
      <c r="H1075" s="82">
        <f t="shared" si="62"/>
        <v>1</v>
      </c>
      <c r="I1075" s="83"/>
      <c r="J1075" s="83"/>
      <c r="K1075" s="83"/>
      <c r="L1075" s="83"/>
      <c r="M1075" s="83"/>
      <c r="N1075" s="83"/>
      <c r="O1075" s="83"/>
      <c r="P1075" s="83"/>
      <c r="Q1075" s="83"/>
      <c r="R1075" s="83"/>
      <c r="S1075" s="83"/>
      <c r="T1075" s="83"/>
      <c r="U1075" s="83"/>
      <c r="V1075" s="83"/>
      <c r="W1075" s="83"/>
      <c r="X1075" s="83"/>
      <c r="Y1075" s="83"/>
      <c r="Z1075" s="83"/>
      <c r="AA1075" s="83"/>
      <c r="AB1075" s="83"/>
      <c r="AC1075" s="83"/>
      <c r="AD1075" s="83"/>
      <c r="AE1075" s="83"/>
      <c r="AF1075" s="83"/>
      <c r="AG1075" s="83"/>
      <c r="AH1075" s="83"/>
      <c r="AI1075" s="83"/>
      <c r="AJ1075" s="83"/>
      <c r="AK1075" s="83"/>
      <c r="AL1075" s="83"/>
      <c r="AM1075" s="83"/>
      <c r="AN1075" s="83"/>
      <c r="AO1075" s="83"/>
      <c r="AP1075" s="83"/>
      <c r="AQ1075" s="83"/>
      <c r="AR1075" s="83"/>
      <c r="AS1075" s="83"/>
      <c r="AT1075" s="83"/>
      <c r="AU1075" s="83"/>
      <c r="AV1075" s="83"/>
      <c r="AW1075" s="83"/>
      <c r="AX1075" s="83"/>
      <c r="AY1075" s="83"/>
      <c r="AZ1075" s="83"/>
      <c r="BA1075" s="83"/>
      <c r="BB1075" s="83"/>
      <c r="BC1075" s="83"/>
      <c r="BD1075" s="83"/>
      <c r="BE1075" s="83"/>
      <c r="BF1075" s="1"/>
    </row>
    <row r="1076" spans="1:58" s="22" customFormat="1" x14ac:dyDescent="0.25">
      <c r="A1076" s="83" t="s">
        <v>6</v>
      </c>
      <c r="B1076" s="84">
        <v>46201</v>
      </c>
      <c r="C1076" s="83">
        <f t="shared" si="59"/>
        <v>27</v>
      </c>
      <c r="D1076" s="85">
        <v>343</v>
      </c>
      <c r="E1076" s="83">
        <f>[1]DETAY!$A$2</f>
        <v>0</v>
      </c>
      <c r="F1076" s="80">
        <f t="shared" si="60"/>
        <v>343</v>
      </c>
      <c r="G1076" s="81">
        <f t="shared" si="61"/>
        <v>0</v>
      </c>
      <c r="H1076" s="82">
        <f t="shared" si="62"/>
        <v>1</v>
      </c>
      <c r="I1076" s="83"/>
      <c r="J1076" s="83"/>
      <c r="K1076" s="83"/>
      <c r="L1076" s="83"/>
      <c r="M1076" s="83"/>
      <c r="N1076" s="83"/>
      <c r="O1076" s="83"/>
      <c r="P1076" s="83"/>
      <c r="Q1076" s="83"/>
      <c r="R1076" s="83"/>
      <c r="S1076" s="83"/>
      <c r="T1076" s="83"/>
      <c r="U1076" s="83"/>
      <c r="V1076" s="83"/>
      <c r="W1076" s="83"/>
      <c r="X1076" s="83"/>
      <c r="Y1076" s="83"/>
      <c r="Z1076" s="83"/>
      <c r="AA1076" s="83"/>
      <c r="AB1076" s="83"/>
      <c r="AC1076" s="83"/>
      <c r="AD1076" s="83"/>
      <c r="AE1076" s="83"/>
      <c r="AF1076" s="83"/>
      <c r="AG1076" s="83"/>
      <c r="AH1076" s="83"/>
      <c r="AI1076" s="83"/>
      <c r="AJ1076" s="83"/>
      <c r="AK1076" s="83"/>
      <c r="AL1076" s="83"/>
      <c r="AM1076" s="83"/>
      <c r="AN1076" s="83"/>
      <c r="AO1076" s="83"/>
      <c r="AP1076" s="83"/>
      <c r="AQ1076" s="83"/>
      <c r="AR1076" s="83"/>
      <c r="AS1076" s="83"/>
      <c r="AT1076" s="83"/>
      <c r="AU1076" s="83"/>
      <c r="AV1076" s="83"/>
      <c r="AW1076" s="83"/>
      <c r="AX1076" s="83"/>
      <c r="AY1076" s="83"/>
      <c r="AZ1076" s="83"/>
      <c r="BA1076" s="83"/>
      <c r="BB1076" s="83"/>
      <c r="BC1076" s="83"/>
      <c r="BD1076" s="83"/>
      <c r="BE1076" s="83"/>
      <c r="BF1076" s="1"/>
    </row>
    <row r="1077" spans="1:58" s="22" customFormat="1" x14ac:dyDescent="0.25">
      <c r="A1077" s="83" t="s">
        <v>15</v>
      </c>
      <c r="B1077" s="84">
        <v>46201</v>
      </c>
      <c r="C1077" s="83">
        <f t="shared" si="59"/>
        <v>27</v>
      </c>
      <c r="D1077" s="85">
        <v>2137</v>
      </c>
      <c r="E1077" s="83">
        <f>[1]DETAY!$A$2</f>
        <v>0</v>
      </c>
      <c r="F1077" s="80">
        <f t="shared" si="60"/>
        <v>2130</v>
      </c>
      <c r="G1077" s="81">
        <f t="shared" si="61"/>
        <v>7</v>
      </c>
      <c r="H1077" s="82">
        <f t="shared" si="62"/>
        <v>0.9967243799719232</v>
      </c>
      <c r="I1077" s="83"/>
      <c r="J1077" s="83"/>
      <c r="K1077" s="83"/>
      <c r="L1077" s="83"/>
      <c r="M1077" s="83">
        <v>7</v>
      </c>
      <c r="N1077" s="83"/>
      <c r="O1077" s="83"/>
      <c r="P1077" s="83"/>
      <c r="Q1077" s="83"/>
      <c r="R1077" s="83"/>
      <c r="S1077" s="83"/>
      <c r="T1077" s="83"/>
      <c r="U1077" s="83"/>
      <c r="V1077" s="83"/>
      <c r="W1077" s="83"/>
      <c r="X1077" s="83"/>
      <c r="Y1077" s="83"/>
      <c r="Z1077" s="83"/>
      <c r="AA1077" s="83"/>
      <c r="AB1077" s="83"/>
      <c r="AC1077" s="83"/>
      <c r="AD1077" s="83"/>
      <c r="AE1077" s="83"/>
      <c r="AF1077" s="83"/>
      <c r="AG1077" s="83"/>
      <c r="AH1077" s="83"/>
      <c r="AI1077" s="83"/>
      <c r="AJ1077" s="83"/>
      <c r="AK1077" s="83"/>
      <c r="AL1077" s="83"/>
      <c r="AM1077" s="83"/>
      <c r="AN1077" s="83"/>
      <c r="AO1077" s="83"/>
      <c r="AP1077" s="83"/>
      <c r="AQ1077" s="83"/>
      <c r="AR1077" s="83"/>
      <c r="AS1077" s="83"/>
      <c r="AT1077" s="83"/>
      <c r="AU1077" s="83"/>
      <c r="AV1077" s="83"/>
      <c r="AW1077" s="83"/>
      <c r="AX1077" s="83"/>
      <c r="AY1077" s="83"/>
      <c r="AZ1077" s="83"/>
      <c r="BA1077" s="83"/>
      <c r="BB1077" s="83"/>
      <c r="BC1077" s="83"/>
      <c r="BD1077" s="83"/>
      <c r="BE1077" s="83"/>
      <c r="BF1077" s="1"/>
    </row>
    <row r="1078" spans="1:58" s="22" customFormat="1" x14ac:dyDescent="0.25">
      <c r="A1078" s="83" t="s">
        <v>0</v>
      </c>
      <c r="B1078" s="84">
        <v>46201</v>
      </c>
      <c r="C1078" s="83">
        <f t="shared" si="59"/>
        <v>27</v>
      </c>
      <c r="D1078" s="85">
        <v>455</v>
      </c>
      <c r="E1078" s="83">
        <f>[1]DETAY!$A$2</f>
        <v>0</v>
      </c>
      <c r="F1078" s="80">
        <f t="shared" si="60"/>
        <v>455</v>
      </c>
      <c r="G1078" s="81">
        <f t="shared" si="61"/>
        <v>0</v>
      </c>
      <c r="H1078" s="82">
        <f t="shared" si="62"/>
        <v>1</v>
      </c>
      <c r="I1078" s="83"/>
      <c r="J1078" s="83"/>
      <c r="K1078" s="83"/>
      <c r="L1078" s="83"/>
      <c r="M1078" s="83"/>
      <c r="N1078" s="83"/>
      <c r="O1078" s="83"/>
      <c r="P1078" s="83"/>
      <c r="Q1078" s="83"/>
      <c r="R1078" s="83"/>
      <c r="S1078" s="83"/>
      <c r="T1078" s="83"/>
      <c r="U1078" s="83"/>
      <c r="V1078" s="83"/>
      <c r="W1078" s="83"/>
      <c r="X1078" s="83"/>
      <c r="Y1078" s="83"/>
      <c r="Z1078" s="83"/>
      <c r="AA1078" s="83"/>
      <c r="AB1078" s="83"/>
      <c r="AC1078" s="83"/>
      <c r="AD1078" s="83"/>
      <c r="AE1078" s="83"/>
      <c r="AF1078" s="83"/>
      <c r="AG1078" s="83"/>
      <c r="AH1078" s="83"/>
      <c r="AI1078" s="83"/>
      <c r="AJ1078" s="83"/>
      <c r="AK1078" s="83"/>
      <c r="AL1078" s="83"/>
      <c r="AM1078" s="83"/>
      <c r="AN1078" s="83"/>
      <c r="AO1078" s="83"/>
      <c r="AP1078" s="83"/>
      <c r="AQ1078" s="83"/>
      <c r="AR1078" s="83"/>
      <c r="AS1078" s="83"/>
      <c r="AT1078" s="83"/>
      <c r="AU1078" s="83"/>
      <c r="AV1078" s="83"/>
      <c r="AW1078" s="83"/>
      <c r="AX1078" s="83"/>
      <c r="AY1078" s="83"/>
      <c r="AZ1078" s="83"/>
      <c r="BA1078" s="83"/>
      <c r="BB1078" s="83"/>
      <c r="BC1078" s="83"/>
      <c r="BD1078" s="83"/>
      <c r="BE1078" s="83"/>
      <c r="BF1078" s="1"/>
    </row>
    <row r="1079" spans="1:58" s="22" customFormat="1" x14ac:dyDescent="0.25">
      <c r="A1079" s="83" t="s">
        <v>17</v>
      </c>
      <c r="B1079" s="84">
        <v>46201</v>
      </c>
      <c r="C1079" s="83">
        <f t="shared" si="59"/>
        <v>27</v>
      </c>
      <c r="D1079" s="85">
        <v>3030</v>
      </c>
      <c r="E1079" s="83">
        <f>[1]DETAY!$A$2</f>
        <v>0</v>
      </c>
      <c r="F1079" s="80">
        <f t="shared" si="60"/>
        <v>2954</v>
      </c>
      <c r="G1079" s="81">
        <f t="shared" si="61"/>
        <v>76</v>
      </c>
      <c r="H1079" s="82">
        <f t="shared" si="62"/>
        <v>0.97491749174917497</v>
      </c>
      <c r="I1079" s="83"/>
      <c r="J1079" s="83">
        <v>50</v>
      </c>
      <c r="K1079" s="83"/>
      <c r="L1079" s="83">
        <v>22</v>
      </c>
      <c r="M1079" s="83">
        <v>4</v>
      </c>
      <c r="N1079" s="83"/>
      <c r="O1079" s="83"/>
      <c r="P1079" s="83"/>
      <c r="Q1079" s="83"/>
      <c r="R1079" s="83"/>
      <c r="S1079" s="83"/>
      <c r="T1079" s="83"/>
      <c r="U1079" s="83"/>
      <c r="V1079" s="83"/>
      <c r="W1079" s="83"/>
      <c r="X1079" s="83"/>
      <c r="Y1079" s="83"/>
      <c r="Z1079" s="83"/>
      <c r="AA1079" s="83"/>
      <c r="AB1079" s="83"/>
      <c r="AC1079" s="83"/>
      <c r="AD1079" s="83"/>
      <c r="AE1079" s="83"/>
      <c r="AF1079" s="83"/>
      <c r="AG1079" s="83"/>
      <c r="AH1079" s="83"/>
      <c r="AI1079" s="83"/>
      <c r="AJ1079" s="83"/>
      <c r="AK1079" s="83"/>
      <c r="AL1079" s="83"/>
      <c r="AM1079" s="83"/>
      <c r="AN1079" s="83"/>
      <c r="AO1079" s="83"/>
      <c r="AP1079" s="83"/>
      <c r="AQ1079" s="83"/>
      <c r="AR1079" s="83"/>
      <c r="AS1079" s="83"/>
      <c r="AT1079" s="83"/>
      <c r="AU1079" s="83"/>
      <c r="AV1079" s="83"/>
      <c r="AW1079" s="83"/>
      <c r="AX1079" s="83"/>
      <c r="AY1079" s="83"/>
      <c r="AZ1079" s="83"/>
      <c r="BA1079" s="83"/>
      <c r="BB1079" s="83"/>
      <c r="BC1079" s="83"/>
      <c r="BD1079" s="83"/>
      <c r="BE1079" s="83"/>
      <c r="BF1079" s="1"/>
    </row>
    <row r="1080" spans="1:58" s="22" customFormat="1" x14ac:dyDescent="0.25">
      <c r="A1080" s="83" t="s">
        <v>2</v>
      </c>
      <c r="B1080" s="84">
        <v>46201</v>
      </c>
      <c r="C1080" s="83">
        <f>WEEKNUM(B1080)</f>
        <v>27</v>
      </c>
      <c r="D1080" s="85">
        <v>200</v>
      </c>
      <c r="E1080" s="83">
        <f>[1]DETAY!$A$2</f>
        <v>0</v>
      </c>
      <c r="F1080" s="80">
        <f>D1080-G1080</f>
        <v>200</v>
      </c>
      <c r="G1080" s="81">
        <f>SUBTOTAL(9,I1080:BD1080)</f>
        <v>0</v>
      </c>
      <c r="H1080" s="82">
        <f>F1080/D1080</f>
        <v>1</v>
      </c>
      <c r="I1080" s="83"/>
      <c r="J1080" s="83"/>
      <c r="K1080" s="83"/>
      <c r="L1080" s="83"/>
      <c r="M1080" s="83"/>
      <c r="N1080" s="83"/>
      <c r="O1080" s="83"/>
      <c r="P1080" s="83"/>
      <c r="Q1080" s="83"/>
      <c r="R1080" s="83"/>
      <c r="S1080" s="83"/>
      <c r="T1080" s="83"/>
      <c r="U1080" s="83"/>
      <c r="V1080" s="83"/>
      <c r="W1080" s="83"/>
      <c r="X1080" s="83"/>
      <c r="Y1080" s="83"/>
      <c r="Z1080" s="83"/>
      <c r="AA1080" s="83"/>
      <c r="AB1080" s="83"/>
      <c r="AC1080" s="83"/>
      <c r="AD1080" s="83"/>
      <c r="AE1080" s="83"/>
      <c r="AF1080" s="83"/>
      <c r="AG1080" s="83"/>
      <c r="AH1080" s="83"/>
      <c r="AI1080" s="83"/>
      <c r="AJ1080" s="83"/>
      <c r="AK1080" s="83"/>
      <c r="AL1080" s="83"/>
      <c r="AM1080" s="83"/>
      <c r="AN1080" s="83"/>
      <c r="AO1080" s="83"/>
      <c r="AP1080" s="83"/>
      <c r="AQ1080" s="83"/>
      <c r="AR1080" s="83"/>
      <c r="AS1080" s="83"/>
      <c r="AT1080" s="83"/>
      <c r="AU1080" s="83"/>
      <c r="AV1080" s="83"/>
      <c r="AW1080" s="83"/>
      <c r="AX1080" s="83"/>
      <c r="AY1080" s="83"/>
      <c r="AZ1080" s="83"/>
      <c r="BA1080" s="83"/>
      <c r="BB1080" s="83"/>
      <c r="BC1080" s="83"/>
      <c r="BD1080" s="83"/>
      <c r="BE1080" s="83"/>
      <c r="BF1080" s="1"/>
    </row>
    <row r="1081" spans="1:58" s="22" customFormat="1" x14ac:dyDescent="0.25">
      <c r="A1081" s="83" t="s">
        <v>3</v>
      </c>
      <c r="B1081" s="84">
        <v>46201</v>
      </c>
      <c r="C1081" s="83">
        <f>WEEKNUM(B1081)</f>
        <v>27</v>
      </c>
      <c r="D1081" s="85">
        <v>430</v>
      </c>
      <c r="E1081" s="83">
        <f>[1]DETAY!$A$2</f>
        <v>0</v>
      </c>
      <c r="F1081" s="80">
        <f>D1081-G1081</f>
        <v>430</v>
      </c>
      <c r="G1081" s="81">
        <f>SUBTOTAL(9,I1081:BD1081)</f>
        <v>0</v>
      </c>
      <c r="H1081" s="82">
        <f>F1081/D1081</f>
        <v>1</v>
      </c>
      <c r="I1081" s="83"/>
      <c r="J1081" s="83"/>
      <c r="K1081" s="83"/>
      <c r="L1081" s="83"/>
      <c r="M1081" s="83"/>
      <c r="N1081" s="83"/>
      <c r="O1081" s="83"/>
      <c r="P1081" s="83"/>
      <c r="Q1081" s="83"/>
      <c r="R1081" s="83"/>
      <c r="S1081" s="83"/>
      <c r="T1081" s="83"/>
      <c r="U1081" s="83"/>
      <c r="V1081" s="83"/>
      <c r="W1081" s="83"/>
      <c r="X1081" s="83"/>
      <c r="Y1081" s="83"/>
      <c r="Z1081" s="83"/>
      <c r="AA1081" s="83"/>
      <c r="AB1081" s="83"/>
      <c r="AC1081" s="83"/>
      <c r="AD1081" s="83"/>
      <c r="AE1081" s="83"/>
      <c r="AF1081" s="83"/>
      <c r="AG1081" s="83"/>
      <c r="AH1081" s="83"/>
      <c r="AI1081" s="83"/>
      <c r="AJ1081" s="83"/>
      <c r="AK1081" s="83"/>
      <c r="AL1081" s="83"/>
      <c r="AM1081" s="83"/>
      <c r="AN1081" s="83"/>
      <c r="AO1081" s="83"/>
      <c r="AP1081" s="83"/>
      <c r="AQ1081" s="83"/>
      <c r="AR1081" s="83"/>
      <c r="AS1081" s="83"/>
      <c r="AT1081" s="83"/>
      <c r="AU1081" s="83"/>
      <c r="AV1081" s="83"/>
      <c r="AW1081" s="83"/>
      <c r="AX1081" s="83"/>
      <c r="AY1081" s="83"/>
      <c r="AZ1081" s="83"/>
      <c r="BA1081" s="83"/>
      <c r="BB1081" s="83"/>
      <c r="BC1081" s="83"/>
      <c r="BD1081" s="83"/>
      <c r="BE1081" s="83"/>
      <c r="BF1081" s="1"/>
    </row>
    <row r="1082" spans="1:58" s="22" customFormat="1" x14ac:dyDescent="0.25">
      <c r="A1082" s="83" t="s">
        <v>1</v>
      </c>
      <c r="B1082" s="84">
        <v>46201</v>
      </c>
      <c r="C1082" s="83">
        <f>WEEKNUM(B1082)</f>
        <v>27</v>
      </c>
      <c r="D1082" s="85">
        <v>299</v>
      </c>
      <c r="E1082" s="83">
        <f>[1]DETAY!$A$2</f>
        <v>0</v>
      </c>
      <c r="F1082" s="80">
        <f>D1082-G1082</f>
        <v>220</v>
      </c>
      <c r="G1082" s="81">
        <f>SUBTOTAL(9,I1082:BD1082)</f>
        <v>79</v>
      </c>
      <c r="H1082" s="82">
        <f>F1082/D1082</f>
        <v>0.73578595317725748</v>
      </c>
      <c r="I1082" s="83"/>
      <c r="J1082" s="83"/>
      <c r="K1082" s="83"/>
      <c r="L1082" s="83"/>
      <c r="M1082" s="83"/>
      <c r="N1082" s="83"/>
      <c r="O1082" s="83"/>
      <c r="P1082" s="83"/>
      <c r="Q1082" s="83"/>
      <c r="R1082" s="83"/>
      <c r="S1082" s="83"/>
      <c r="T1082" s="83"/>
      <c r="U1082" s="83"/>
      <c r="V1082" s="83"/>
      <c r="W1082" s="83"/>
      <c r="X1082" s="83"/>
      <c r="Y1082" s="83"/>
      <c r="Z1082" s="83"/>
      <c r="AA1082" s="83"/>
      <c r="AB1082" s="83"/>
      <c r="AC1082" s="83"/>
      <c r="AD1082" s="83"/>
      <c r="AE1082" s="83"/>
      <c r="AF1082" s="83"/>
      <c r="AG1082" s="83"/>
      <c r="AH1082" s="83"/>
      <c r="AI1082" s="83"/>
      <c r="AJ1082" s="83"/>
      <c r="AK1082" s="83"/>
      <c r="AL1082" s="83"/>
      <c r="AM1082" s="83"/>
      <c r="AN1082" s="83"/>
      <c r="AO1082" s="83"/>
      <c r="AP1082" s="83"/>
      <c r="AQ1082" s="83"/>
      <c r="AR1082" s="83"/>
      <c r="AS1082" s="83"/>
      <c r="AT1082" s="83"/>
      <c r="AU1082" s="83">
        <v>79</v>
      </c>
      <c r="AV1082" s="83"/>
      <c r="AW1082" s="83"/>
      <c r="AX1082" s="83"/>
      <c r="AY1082" s="83"/>
      <c r="AZ1082" s="83"/>
      <c r="BA1082" s="83"/>
      <c r="BB1082" s="83"/>
      <c r="BC1082" s="83"/>
      <c r="BD1082" s="83"/>
      <c r="BE1082" s="83"/>
      <c r="BF1082" s="1"/>
    </row>
    <row r="1083" spans="1:58" s="22" customFormat="1" x14ac:dyDescent="0.25">
      <c r="A1083" s="83" t="s">
        <v>5</v>
      </c>
      <c r="B1083" s="84">
        <v>46201</v>
      </c>
      <c r="C1083" s="83">
        <f>WEEKNUM(B1083)</f>
        <v>27</v>
      </c>
      <c r="D1083" s="85">
        <v>543</v>
      </c>
      <c r="E1083" s="83">
        <f>[1]DETAY!$A$2</f>
        <v>0</v>
      </c>
      <c r="F1083" s="80">
        <f>D1083-G1083</f>
        <v>543</v>
      </c>
      <c r="G1083" s="81">
        <f>SUBTOTAL(9,I1083:BD1083)</f>
        <v>0</v>
      </c>
      <c r="H1083" s="82">
        <f>F1083/D1083</f>
        <v>1</v>
      </c>
      <c r="I1083" s="83"/>
      <c r="J1083" s="83"/>
      <c r="K1083" s="83"/>
      <c r="L1083" s="83"/>
      <c r="M1083" s="83"/>
      <c r="N1083" s="83"/>
      <c r="O1083" s="83"/>
      <c r="P1083" s="83"/>
      <c r="Q1083" s="83"/>
      <c r="R1083" s="83"/>
      <c r="S1083" s="83"/>
      <c r="T1083" s="83"/>
      <c r="U1083" s="83"/>
      <c r="V1083" s="83"/>
      <c r="W1083" s="83"/>
      <c r="X1083" s="83"/>
      <c r="Y1083" s="83"/>
      <c r="Z1083" s="83"/>
      <c r="AA1083" s="83"/>
      <c r="AB1083" s="83"/>
      <c r="AC1083" s="83"/>
      <c r="AD1083" s="83"/>
      <c r="AE1083" s="83"/>
      <c r="AF1083" s="83"/>
      <c r="AG1083" s="83"/>
      <c r="AH1083" s="83"/>
      <c r="AI1083" s="83"/>
      <c r="AJ1083" s="83"/>
      <c r="AK1083" s="83"/>
      <c r="AL1083" s="83"/>
      <c r="AM1083" s="83"/>
      <c r="AN1083" s="83"/>
      <c r="AO1083" s="83"/>
      <c r="AP1083" s="83"/>
      <c r="AQ1083" s="83"/>
      <c r="AR1083" s="83"/>
      <c r="AS1083" s="83"/>
      <c r="AT1083" s="83"/>
      <c r="AU1083" s="83"/>
      <c r="AV1083" s="83"/>
      <c r="AW1083" s="83"/>
      <c r="AX1083" s="83"/>
      <c r="AY1083" s="83"/>
      <c r="AZ1083" s="83"/>
      <c r="BA1083" s="83"/>
      <c r="BB1083" s="83"/>
      <c r="BC1083" s="83"/>
      <c r="BD1083" s="83"/>
      <c r="BE1083" s="83"/>
      <c r="BF1083" s="1"/>
    </row>
    <row r="1084" spans="1:58" s="22" customFormat="1" x14ac:dyDescent="0.25">
      <c r="A1084" s="86" t="s">
        <v>22</v>
      </c>
      <c r="B1084" s="84">
        <v>46202</v>
      </c>
      <c r="C1084" s="83">
        <f t="shared" ref="C1084:C1101" si="63">WEEKNUM(B1084)</f>
        <v>27</v>
      </c>
      <c r="D1084" s="28">
        <f>300+602</f>
        <v>902</v>
      </c>
      <c r="E1084" s="22">
        <f>[1]DETAY!$A$2</f>
        <v>0</v>
      </c>
      <c r="F1084" s="80">
        <f t="shared" ref="F1084:F1101" si="64">D1084-G1084</f>
        <v>900</v>
      </c>
      <c r="G1084" s="81">
        <f t="shared" ref="G1084:G1101" si="65">SUBTOTAL(9,I1084:BD1084)</f>
        <v>2</v>
      </c>
      <c r="H1084" s="82">
        <f t="shared" ref="H1084:H1101" si="66">F1084/D1084</f>
        <v>0.99778270509977829</v>
      </c>
      <c r="L1084" s="22">
        <v>2</v>
      </c>
      <c r="BF1084" s="1"/>
    </row>
    <row r="1085" spans="1:58" s="22" customFormat="1" x14ac:dyDescent="0.25">
      <c r="A1085" s="86" t="s">
        <v>21</v>
      </c>
      <c r="B1085" s="84">
        <v>46202</v>
      </c>
      <c r="C1085" s="83">
        <f t="shared" si="63"/>
        <v>27</v>
      </c>
      <c r="D1085" s="28">
        <f>584+708</f>
        <v>1292</v>
      </c>
      <c r="E1085" s="22">
        <f>[1]DETAY!$A$2</f>
        <v>0</v>
      </c>
      <c r="F1085" s="80">
        <f t="shared" si="64"/>
        <v>1224</v>
      </c>
      <c r="G1085" s="81">
        <f t="shared" si="65"/>
        <v>68</v>
      </c>
      <c r="H1085" s="82">
        <f t="shared" si="66"/>
        <v>0.94736842105263153</v>
      </c>
      <c r="L1085" s="22">
        <f>44+21</f>
        <v>65</v>
      </c>
      <c r="M1085" s="22">
        <v>3</v>
      </c>
      <c r="BF1085" s="1"/>
    </row>
    <row r="1086" spans="1:58" s="22" customFormat="1" x14ac:dyDescent="0.25">
      <c r="A1086" s="86" t="s">
        <v>20</v>
      </c>
      <c r="B1086" s="84">
        <v>46202</v>
      </c>
      <c r="C1086" s="83">
        <f t="shared" si="63"/>
        <v>27</v>
      </c>
      <c r="D1086" s="28">
        <v>846</v>
      </c>
      <c r="E1086" s="22">
        <f>[1]DETAY!$A$2</f>
        <v>0</v>
      </c>
      <c r="F1086" s="80">
        <f t="shared" si="64"/>
        <v>830</v>
      </c>
      <c r="G1086" s="81">
        <f t="shared" si="65"/>
        <v>16</v>
      </c>
      <c r="H1086" s="82">
        <f t="shared" si="66"/>
        <v>0.98108747044917255</v>
      </c>
      <c r="J1086" s="22">
        <v>13</v>
      </c>
      <c r="L1086" s="22">
        <v>3</v>
      </c>
      <c r="BF1086" s="1"/>
    </row>
    <row r="1087" spans="1:58" s="22" customFormat="1" x14ac:dyDescent="0.25">
      <c r="A1087" s="86" t="s">
        <v>19</v>
      </c>
      <c r="B1087" s="84">
        <v>46202</v>
      </c>
      <c r="C1087" s="83">
        <f t="shared" si="63"/>
        <v>27</v>
      </c>
      <c r="D1087" s="28">
        <f>2002+2813</f>
        <v>4815</v>
      </c>
      <c r="E1087" s="22">
        <f>[1]DETAY!$A$2</f>
        <v>0</v>
      </c>
      <c r="F1087" s="80">
        <f t="shared" si="64"/>
        <v>4690</v>
      </c>
      <c r="G1087" s="81">
        <f t="shared" si="65"/>
        <v>125</v>
      </c>
      <c r="H1087" s="82">
        <f t="shared" si="66"/>
        <v>0.97403946002076847</v>
      </c>
      <c r="J1087" s="22">
        <f>48+59</f>
        <v>107</v>
      </c>
      <c r="L1087" s="22">
        <f>14+4</f>
        <v>18</v>
      </c>
      <c r="BF1087" s="1"/>
    </row>
    <row r="1088" spans="1:58" s="22" customFormat="1" x14ac:dyDescent="0.25">
      <c r="A1088" s="86" t="s">
        <v>18</v>
      </c>
      <c r="B1088" s="84">
        <v>46202</v>
      </c>
      <c r="C1088" s="83">
        <f t="shared" si="63"/>
        <v>27</v>
      </c>
      <c r="D1088" s="28">
        <f>718+1068</f>
        <v>1786</v>
      </c>
      <c r="E1088" s="22">
        <f>[1]DETAY!$A$2</f>
        <v>0</v>
      </c>
      <c r="F1088" s="80">
        <f t="shared" si="64"/>
        <v>1748</v>
      </c>
      <c r="G1088" s="81">
        <f t="shared" si="65"/>
        <v>38</v>
      </c>
      <c r="H1088" s="82">
        <f t="shared" si="66"/>
        <v>0.97872340425531912</v>
      </c>
      <c r="J1088" s="22">
        <f>13+17</f>
        <v>30</v>
      </c>
      <c r="M1088" s="22">
        <f>5+3</f>
        <v>8</v>
      </c>
      <c r="BF1088" s="1"/>
    </row>
    <row r="1089" spans="1:58" s="22" customFormat="1" x14ac:dyDescent="0.25">
      <c r="A1089" s="86" t="s">
        <v>16</v>
      </c>
      <c r="B1089" s="84">
        <v>46202</v>
      </c>
      <c r="C1089" s="83">
        <f t="shared" si="63"/>
        <v>27</v>
      </c>
      <c r="D1089" s="28">
        <f>1292</f>
        <v>1292</v>
      </c>
      <c r="E1089" s="22">
        <f>[1]DETAY!$A$2</f>
        <v>0</v>
      </c>
      <c r="F1089" s="80">
        <f t="shared" si="64"/>
        <v>1230</v>
      </c>
      <c r="G1089" s="81">
        <f t="shared" si="65"/>
        <v>62</v>
      </c>
      <c r="H1089" s="82">
        <f t="shared" si="66"/>
        <v>0.95201238390092879</v>
      </c>
      <c r="M1089" s="22">
        <v>8</v>
      </c>
      <c r="N1089" s="22">
        <v>2</v>
      </c>
      <c r="Q1089" s="22">
        <v>11</v>
      </c>
      <c r="U1089" s="22">
        <v>1</v>
      </c>
      <c r="AH1089" s="22">
        <v>3</v>
      </c>
      <c r="AJ1089" s="22">
        <v>37</v>
      </c>
      <c r="BF1089" s="1"/>
    </row>
    <row r="1090" spans="1:58" s="22" customFormat="1" x14ac:dyDescent="0.25">
      <c r="A1090" s="86" t="s">
        <v>10</v>
      </c>
      <c r="B1090" s="84">
        <v>46202</v>
      </c>
      <c r="C1090" s="83">
        <f t="shared" si="63"/>
        <v>27</v>
      </c>
      <c r="D1090" s="28">
        <v>182</v>
      </c>
      <c r="E1090" s="22">
        <f>[1]DETAY!$A$2</f>
        <v>0</v>
      </c>
      <c r="F1090" s="80">
        <f t="shared" si="64"/>
        <v>180</v>
      </c>
      <c r="G1090" s="81">
        <f t="shared" si="65"/>
        <v>2</v>
      </c>
      <c r="H1090" s="82">
        <f t="shared" si="66"/>
        <v>0.98901098901098905</v>
      </c>
      <c r="M1090" s="22">
        <v>2</v>
      </c>
      <c r="BF1090" s="1"/>
    </row>
    <row r="1091" spans="1:58" s="22" customFormat="1" x14ac:dyDescent="0.25">
      <c r="A1091" s="86" t="s">
        <v>8</v>
      </c>
      <c r="B1091" s="84">
        <v>46202</v>
      </c>
      <c r="C1091" s="83">
        <f t="shared" si="63"/>
        <v>27</v>
      </c>
      <c r="D1091" s="28">
        <f>198</f>
        <v>198</v>
      </c>
      <c r="E1091" s="22">
        <f>[1]DETAY!$A$2</f>
        <v>0</v>
      </c>
      <c r="F1091" s="80">
        <f t="shared" si="64"/>
        <v>198</v>
      </c>
      <c r="G1091" s="81">
        <f t="shared" si="65"/>
        <v>0</v>
      </c>
      <c r="H1091" s="82">
        <f t="shared" si="66"/>
        <v>1</v>
      </c>
      <c r="BF1091" s="1"/>
    </row>
    <row r="1092" spans="1:58" s="22" customFormat="1" x14ac:dyDescent="0.25">
      <c r="A1092" s="86" t="s">
        <v>11</v>
      </c>
      <c r="B1092" s="84">
        <v>46202</v>
      </c>
      <c r="C1092" s="83">
        <f t="shared" si="63"/>
        <v>27</v>
      </c>
      <c r="D1092" s="28">
        <f>1026+770</f>
        <v>1796</v>
      </c>
      <c r="E1092" s="22">
        <f>[1]DETAY!$A$2</f>
        <v>0</v>
      </c>
      <c r="F1092" s="80">
        <f t="shared" si="64"/>
        <v>1785</v>
      </c>
      <c r="G1092" s="81">
        <f t="shared" si="65"/>
        <v>11</v>
      </c>
      <c r="H1092" s="82">
        <f t="shared" si="66"/>
        <v>0.99387527839643652</v>
      </c>
      <c r="L1092" s="22">
        <v>1</v>
      </c>
      <c r="V1092" s="22">
        <v>10</v>
      </c>
      <c r="BF1092" s="1"/>
    </row>
    <row r="1093" spans="1:58" s="22" customFormat="1" x14ac:dyDescent="0.25">
      <c r="A1093" s="86" t="s">
        <v>9</v>
      </c>
      <c r="B1093" s="84">
        <v>46202</v>
      </c>
      <c r="C1093" s="83">
        <f t="shared" si="63"/>
        <v>27</v>
      </c>
      <c r="D1093" s="28">
        <f>249+303</f>
        <v>552</v>
      </c>
      <c r="E1093" s="22">
        <f>[1]DETAY!$A$2</f>
        <v>0</v>
      </c>
      <c r="F1093" s="80">
        <f t="shared" si="64"/>
        <v>540</v>
      </c>
      <c r="G1093" s="81">
        <f t="shared" si="65"/>
        <v>12</v>
      </c>
      <c r="H1093" s="82">
        <f t="shared" si="66"/>
        <v>0.97826086956521741</v>
      </c>
      <c r="M1093" s="22">
        <f>9+3</f>
        <v>12</v>
      </c>
      <c r="BF1093" s="1"/>
    </row>
    <row r="1094" spans="1:58" s="22" customFormat="1" x14ac:dyDescent="0.25">
      <c r="A1094" s="86" t="s">
        <v>10</v>
      </c>
      <c r="B1094" s="84">
        <v>46202</v>
      </c>
      <c r="C1094" s="83">
        <f t="shared" si="63"/>
        <v>27</v>
      </c>
      <c r="D1094" s="28">
        <f>566+191+182</f>
        <v>939</v>
      </c>
      <c r="E1094" s="22">
        <f>[1]DETAY!$A$2</f>
        <v>0</v>
      </c>
      <c r="F1094" s="80">
        <f t="shared" si="64"/>
        <v>910</v>
      </c>
      <c r="G1094" s="81">
        <f t="shared" si="65"/>
        <v>29</v>
      </c>
      <c r="H1094" s="82">
        <f t="shared" si="66"/>
        <v>0.96911608093716717</v>
      </c>
      <c r="M1094" s="22">
        <f>16+11+2</f>
        <v>29</v>
      </c>
      <c r="BF1094" s="1"/>
    </row>
    <row r="1095" spans="1:58" s="22" customFormat="1" x14ac:dyDescent="0.25">
      <c r="A1095" s="86" t="s">
        <v>8</v>
      </c>
      <c r="B1095" s="84">
        <v>46202</v>
      </c>
      <c r="C1095" s="83">
        <f t="shared" si="63"/>
        <v>27</v>
      </c>
      <c r="D1095" s="28"/>
      <c r="E1095" s="22">
        <f>[1]DETAY!$A$2</f>
        <v>0</v>
      </c>
      <c r="F1095" s="80">
        <f t="shared" si="64"/>
        <v>0</v>
      </c>
      <c r="G1095" s="81">
        <f t="shared" si="65"/>
        <v>0</v>
      </c>
      <c r="H1095" s="82" t="e">
        <f t="shared" si="66"/>
        <v>#DIV/0!</v>
      </c>
      <c r="BF1095" s="1"/>
    </row>
    <row r="1096" spans="1:58" s="22" customFormat="1" x14ac:dyDescent="0.25">
      <c r="A1096" s="86" t="s">
        <v>7</v>
      </c>
      <c r="B1096" s="84">
        <v>46202</v>
      </c>
      <c r="C1096" s="83">
        <f t="shared" si="63"/>
        <v>27</v>
      </c>
      <c r="D1096" s="28">
        <f>326</f>
        <v>326</v>
      </c>
      <c r="E1096" s="22">
        <f>[1]DETAY!$A$2</f>
        <v>0</v>
      </c>
      <c r="F1096" s="80">
        <f t="shared" si="64"/>
        <v>320</v>
      </c>
      <c r="G1096" s="81">
        <f t="shared" si="65"/>
        <v>6</v>
      </c>
      <c r="H1096" s="82">
        <f t="shared" si="66"/>
        <v>0.98159509202453987</v>
      </c>
      <c r="AA1096" s="22">
        <v>6</v>
      </c>
      <c r="BF1096" s="1"/>
    </row>
    <row r="1097" spans="1:58" s="22" customFormat="1" x14ac:dyDescent="0.25">
      <c r="A1097" s="86" t="s">
        <v>13</v>
      </c>
      <c r="B1097" s="84">
        <v>46202</v>
      </c>
      <c r="C1097" s="83">
        <f t="shared" si="63"/>
        <v>27</v>
      </c>
      <c r="D1097" s="28">
        <f>690+840</f>
        <v>1530</v>
      </c>
      <c r="E1097" s="22">
        <f>[1]DETAY!$A$2</f>
        <v>0</v>
      </c>
      <c r="F1097" s="80">
        <f t="shared" si="64"/>
        <v>1530</v>
      </c>
      <c r="G1097" s="81">
        <f t="shared" si="65"/>
        <v>0</v>
      </c>
      <c r="H1097" s="82">
        <f t="shared" si="66"/>
        <v>1</v>
      </c>
      <c r="BF1097" s="1"/>
    </row>
    <row r="1098" spans="1:58" s="22" customFormat="1" x14ac:dyDescent="0.25">
      <c r="A1098" s="86" t="s">
        <v>4</v>
      </c>
      <c r="B1098" s="84">
        <v>46202</v>
      </c>
      <c r="C1098" s="83">
        <f t="shared" si="63"/>
        <v>27</v>
      </c>
      <c r="D1098" s="28">
        <v>231</v>
      </c>
      <c r="E1098" s="22">
        <f>[1]DETAY!$A$2</f>
        <v>0</v>
      </c>
      <c r="F1098" s="80">
        <f t="shared" si="64"/>
        <v>231</v>
      </c>
      <c r="G1098" s="81">
        <f t="shared" si="65"/>
        <v>0</v>
      </c>
      <c r="H1098" s="82">
        <f t="shared" si="66"/>
        <v>1</v>
      </c>
      <c r="BF1098" s="1"/>
    </row>
    <row r="1099" spans="1:58" s="22" customFormat="1" x14ac:dyDescent="0.25">
      <c r="A1099" s="86" t="s">
        <v>15</v>
      </c>
      <c r="B1099" s="84">
        <v>46202</v>
      </c>
      <c r="C1099" s="83">
        <f t="shared" si="63"/>
        <v>27</v>
      </c>
      <c r="D1099" s="28">
        <v>440</v>
      </c>
      <c r="E1099" s="22">
        <f>[1]DETAY!$A$2</f>
        <v>0</v>
      </c>
      <c r="F1099" s="80">
        <f t="shared" si="64"/>
        <v>440</v>
      </c>
      <c r="G1099" s="81">
        <f t="shared" si="65"/>
        <v>0</v>
      </c>
      <c r="H1099" s="82">
        <f t="shared" si="66"/>
        <v>1</v>
      </c>
      <c r="BF1099" s="1"/>
    </row>
    <row r="1100" spans="1:58" s="22" customFormat="1" x14ac:dyDescent="0.25">
      <c r="A1100" s="86" t="s">
        <v>3</v>
      </c>
      <c r="B1100" s="84">
        <v>46202</v>
      </c>
      <c r="C1100" s="83">
        <f t="shared" si="63"/>
        <v>27</v>
      </c>
      <c r="D1100" s="28">
        <f>200</f>
        <v>200</v>
      </c>
      <c r="E1100" s="22">
        <f>[1]DETAY!$A$2</f>
        <v>0</v>
      </c>
      <c r="F1100" s="80">
        <f t="shared" si="64"/>
        <v>200</v>
      </c>
      <c r="G1100" s="81">
        <f t="shared" si="65"/>
        <v>0</v>
      </c>
      <c r="H1100" s="82">
        <f t="shared" si="66"/>
        <v>1</v>
      </c>
      <c r="BF1100" s="1"/>
    </row>
    <row r="1101" spans="1:58" s="22" customFormat="1" x14ac:dyDescent="0.25">
      <c r="A1101" s="86" t="s">
        <v>1</v>
      </c>
      <c r="B1101" s="84">
        <v>46202</v>
      </c>
      <c r="C1101" s="83">
        <f t="shared" si="63"/>
        <v>27</v>
      </c>
      <c r="D1101" s="28">
        <v>310</v>
      </c>
      <c r="E1101" s="22">
        <f>[1]DETAY!$A$2</f>
        <v>0</v>
      </c>
      <c r="F1101" s="80">
        <f t="shared" si="64"/>
        <v>257</v>
      </c>
      <c r="G1101" s="81">
        <f t="shared" si="65"/>
        <v>53</v>
      </c>
      <c r="H1101" s="82">
        <f t="shared" si="66"/>
        <v>0.82903225806451608</v>
      </c>
      <c r="AU1101" s="22">
        <v>53</v>
      </c>
      <c r="BF1101" s="1"/>
    </row>
    <row r="1102" spans="1:58" s="22" customFormat="1" x14ac:dyDescent="0.25">
      <c r="A1102" s="11" t="s">
        <v>21</v>
      </c>
      <c r="B1102" s="12">
        <v>46204</v>
      </c>
      <c r="C1102" s="10">
        <f>WEEKNUM(B1102)</f>
        <v>27</v>
      </c>
      <c r="D1102" s="9">
        <f>605+673</f>
        <v>1278</v>
      </c>
      <c r="E1102" s="8">
        <f>[1]DETAY!$A$2</f>
        <v>0</v>
      </c>
      <c r="F1102" s="23">
        <f>D1102-G1102</f>
        <v>1200</v>
      </c>
      <c r="G1102" s="7">
        <f>SUBTOTAL(9,I1102:BD1102)</f>
        <v>78</v>
      </c>
      <c r="H1102" s="6">
        <f>F1102/D1102</f>
        <v>0.93896713615023475</v>
      </c>
      <c r="I1102" s="8"/>
      <c r="J1102" s="8"/>
      <c r="K1102" s="8">
        <v>60</v>
      </c>
      <c r="L1102" s="8">
        <v>17</v>
      </c>
      <c r="M1102" s="8"/>
      <c r="N1102" s="8"/>
      <c r="O1102" s="8"/>
      <c r="P1102" s="8"/>
      <c r="Q1102" s="8"/>
      <c r="R1102" s="8"/>
      <c r="S1102" s="8"/>
      <c r="T1102" s="8">
        <v>1</v>
      </c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  <c r="BA1102" s="8"/>
      <c r="BB1102" s="8"/>
      <c r="BC1102" s="8"/>
      <c r="BD1102" s="8"/>
      <c r="BE1102" s="8"/>
      <c r="BF1102" s="8"/>
    </row>
    <row r="1103" spans="1:58" s="22" customFormat="1" x14ac:dyDescent="0.25">
      <c r="A1103" s="11" t="s">
        <v>20</v>
      </c>
      <c r="B1103" s="12">
        <v>46204</v>
      </c>
      <c r="C1103" s="10">
        <f t="shared" si="0"/>
        <v>27</v>
      </c>
      <c r="D1103" s="9">
        <f>708+354</f>
        <v>1062</v>
      </c>
      <c r="E1103" s="8">
        <f>[1]DETAY!$A$2</f>
        <v>0</v>
      </c>
      <c r="F1103" s="23">
        <f t="shared" si="1"/>
        <v>1050</v>
      </c>
      <c r="G1103" s="7">
        <f t="shared" si="2"/>
        <v>12</v>
      </c>
      <c r="H1103" s="6">
        <f t="shared" si="3"/>
        <v>0.98870056497175141</v>
      </c>
      <c r="I1103" s="8"/>
      <c r="J1103" s="8">
        <v>12</v>
      </c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  <c r="BA1103" s="8"/>
      <c r="BB1103" s="8"/>
      <c r="BC1103" s="8"/>
      <c r="BD1103" s="8"/>
      <c r="BE1103" s="8"/>
      <c r="BF1103" s="8"/>
    </row>
    <row r="1104" spans="1:58" s="22" customFormat="1" x14ac:dyDescent="0.25">
      <c r="A1104" s="11" t="s">
        <v>19</v>
      </c>
      <c r="B1104" s="12">
        <v>46204</v>
      </c>
      <c r="C1104" s="10">
        <f t="shared" si="0"/>
        <v>27</v>
      </c>
      <c r="D1104" s="9">
        <f>752</f>
        <v>752</v>
      </c>
      <c r="E1104" s="8">
        <f>[1]DETAY!$A$2</f>
        <v>0</v>
      </c>
      <c r="F1104" s="23">
        <f t="shared" si="1"/>
        <v>744</v>
      </c>
      <c r="G1104" s="7">
        <f t="shared" si="2"/>
        <v>8</v>
      </c>
      <c r="H1104" s="6">
        <f t="shared" si="3"/>
        <v>0.98936170212765961</v>
      </c>
      <c r="I1104" s="8"/>
      <c r="J1104" s="8"/>
      <c r="K1104" s="8"/>
      <c r="L1104" s="8">
        <v>8</v>
      </c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  <c r="BA1104" s="8"/>
      <c r="BB1104" s="8"/>
      <c r="BC1104" s="8"/>
      <c r="BD1104" s="8"/>
      <c r="BE1104" s="8"/>
      <c r="BF1104" s="8"/>
    </row>
    <row r="1105" spans="1:58" s="22" customFormat="1" x14ac:dyDescent="0.25">
      <c r="A1105" s="11" t="s">
        <v>18</v>
      </c>
      <c r="B1105" s="12">
        <v>46204</v>
      </c>
      <c r="C1105" s="10">
        <f t="shared" si="0"/>
        <v>27</v>
      </c>
      <c r="D1105" s="9">
        <f>1208</f>
        <v>1208</v>
      </c>
      <c r="E1105" s="8">
        <f>[1]DETAY!$A$2</f>
        <v>0</v>
      </c>
      <c r="F1105" s="23">
        <f t="shared" si="1"/>
        <v>1200</v>
      </c>
      <c r="G1105" s="7">
        <f t="shared" si="2"/>
        <v>8</v>
      </c>
      <c r="H1105" s="6">
        <f t="shared" si="3"/>
        <v>0.99337748344370858</v>
      </c>
      <c r="I1105" s="8"/>
      <c r="J1105" s="8">
        <v>7</v>
      </c>
      <c r="K1105" s="8"/>
      <c r="L1105" s="8">
        <v>1</v>
      </c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  <c r="BA1105" s="8"/>
      <c r="BB1105" s="8"/>
      <c r="BC1105" s="8"/>
      <c r="BD1105" s="8"/>
      <c r="BE1105" s="8"/>
      <c r="BF1105" s="8"/>
    </row>
    <row r="1106" spans="1:58" s="22" customFormat="1" x14ac:dyDescent="0.25">
      <c r="A1106" s="11" t="s">
        <v>16</v>
      </c>
      <c r="B1106" s="12">
        <v>46204</v>
      </c>
      <c r="C1106" s="10">
        <f t="shared" si="0"/>
        <v>27</v>
      </c>
      <c r="D1106" s="9">
        <f>1226+1067</f>
        <v>2293</v>
      </c>
      <c r="E1106" s="8">
        <f>[1]DETAY!$A$2</f>
        <v>0</v>
      </c>
      <c r="F1106" s="23">
        <f t="shared" si="1"/>
        <v>2135</v>
      </c>
      <c r="G1106" s="7">
        <f t="shared" si="2"/>
        <v>158</v>
      </c>
      <c r="H1106" s="6">
        <f t="shared" si="3"/>
        <v>0.93109463584823371</v>
      </c>
      <c r="I1106" s="8"/>
      <c r="J1106" s="8"/>
      <c r="K1106" s="8">
        <v>25</v>
      </c>
      <c r="L1106" s="8">
        <v>2</v>
      </c>
      <c r="M1106" s="8">
        <v>26</v>
      </c>
      <c r="N1106" s="8">
        <v>35</v>
      </c>
      <c r="O1106" s="8"/>
      <c r="P1106" s="8"/>
      <c r="Q1106" s="8">
        <v>5</v>
      </c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>
        <v>1</v>
      </c>
      <c r="AF1106" s="8"/>
      <c r="AG1106" s="8">
        <v>5</v>
      </c>
      <c r="AH1106" s="8"/>
      <c r="AI1106" s="8">
        <f>38+21</f>
        <v>59</v>
      </c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  <c r="BA1106" s="8"/>
      <c r="BB1106" s="8"/>
      <c r="BC1106" s="8"/>
      <c r="BD1106" s="8"/>
      <c r="BE1106" s="8"/>
      <c r="BF1106" s="8"/>
    </row>
    <row r="1107" spans="1:58" s="22" customFormat="1" x14ac:dyDescent="0.25">
      <c r="A1107" s="11" t="s">
        <v>8</v>
      </c>
      <c r="B1107" s="12">
        <v>46204</v>
      </c>
      <c r="C1107" s="10">
        <f t="shared" si="0"/>
        <v>27</v>
      </c>
      <c r="D1107" s="9">
        <f>300+300+70</f>
        <v>670</v>
      </c>
      <c r="E1107" s="8">
        <f>[1]DETAY!$A$2</f>
        <v>0</v>
      </c>
      <c r="F1107" s="23">
        <f t="shared" si="1"/>
        <v>670</v>
      </c>
      <c r="G1107" s="7">
        <f t="shared" si="2"/>
        <v>0</v>
      </c>
      <c r="H1107" s="6">
        <f t="shared" si="3"/>
        <v>1</v>
      </c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  <c r="BA1107" s="8"/>
      <c r="BB1107" s="8"/>
      <c r="BC1107" s="8"/>
      <c r="BD1107" s="8"/>
      <c r="BE1107" s="8"/>
      <c r="BF1107" s="8"/>
    </row>
    <row r="1108" spans="1:58" s="22" customFormat="1" x14ac:dyDescent="0.25">
      <c r="A1108" s="11" t="s">
        <v>13</v>
      </c>
      <c r="B1108" s="12">
        <v>46204</v>
      </c>
      <c r="C1108" s="10">
        <f t="shared" si="0"/>
        <v>27</v>
      </c>
      <c r="D1108" s="9">
        <f>120</f>
        <v>120</v>
      </c>
      <c r="E1108" s="8">
        <f>[1]DETAY!$A$2</f>
        <v>0</v>
      </c>
      <c r="F1108" s="23">
        <f t="shared" si="1"/>
        <v>120</v>
      </c>
      <c r="G1108" s="7">
        <f t="shared" si="2"/>
        <v>0</v>
      </c>
      <c r="H1108" s="6">
        <f t="shared" si="3"/>
        <v>1</v>
      </c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  <c r="BA1108" s="8"/>
      <c r="BB1108" s="8"/>
      <c r="BC1108" s="8"/>
      <c r="BD1108" s="8"/>
      <c r="BE1108" s="8"/>
      <c r="BF1108" s="8"/>
    </row>
    <row r="1109" spans="1:58" s="22" customFormat="1" x14ac:dyDescent="0.25">
      <c r="A1109" s="11" t="s">
        <v>12</v>
      </c>
      <c r="B1109" s="12">
        <v>46204</v>
      </c>
      <c r="C1109" s="10">
        <f t="shared" si="0"/>
        <v>27</v>
      </c>
      <c r="D1109" s="9">
        <f>600</f>
        <v>600</v>
      </c>
      <c r="E1109" s="8">
        <f>[1]DETAY!$A$2</f>
        <v>0</v>
      </c>
      <c r="F1109" s="23">
        <f t="shared" si="1"/>
        <v>600</v>
      </c>
      <c r="G1109" s="7">
        <f t="shared" si="2"/>
        <v>0</v>
      </c>
      <c r="H1109" s="6">
        <f t="shared" si="3"/>
        <v>1</v>
      </c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  <c r="BA1109" s="8"/>
      <c r="BB1109" s="8"/>
      <c r="BC1109" s="8"/>
      <c r="BD1109" s="8"/>
      <c r="BE1109" s="8"/>
      <c r="BF1109" s="8"/>
    </row>
    <row r="1110" spans="1:58" s="22" customFormat="1" x14ac:dyDescent="0.25">
      <c r="A1110" s="11" t="s">
        <v>9</v>
      </c>
      <c r="B1110" s="12">
        <v>46204</v>
      </c>
      <c r="C1110" s="10">
        <f t="shared" si="0"/>
        <v>27</v>
      </c>
      <c r="D1110" s="9">
        <f>542+123</f>
        <v>665</v>
      </c>
      <c r="E1110" s="8">
        <f>[1]DETAY!$A$2</f>
        <v>0</v>
      </c>
      <c r="F1110" s="23">
        <f t="shared" si="1"/>
        <v>660</v>
      </c>
      <c r="G1110" s="7">
        <f t="shared" si="2"/>
        <v>5</v>
      </c>
      <c r="H1110" s="6">
        <f t="shared" si="3"/>
        <v>0.99248120300751874</v>
      </c>
      <c r="I1110" s="8"/>
      <c r="J1110" s="8"/>
      <c r="K1110" s="8"/>
      <c r="L1110" s="8"/>
      <c r="M1110" s="8">
        <v>5</v>
      </c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  <c r="BA1110" s="8"/>
      <c r="BB1110" s="8"/>
      <c r="BC1110" s="8"/>
      <c r="BD1110" s="8"/>
      <c r="BE1110" s="8"/>
      <c r="BF1110" s="8"/>
    </row>
    <row r="1111" spans="1:58" s="22" customFormat="1" x14ac:dyDescent="0.25">
      <c r="A1111" s="11" t="s">
        <v>10</v>
      </c>
      <c r="B1111" s="12">
        <v>46204</v>
      </c>
      <c r="C1111" s="10">
        <f t="shared" si="0"/>
        <v>27</v>
      </c>
      <c r="D1111" s="9">
        <f>315+485</f>
        <v>800</v>
      </c>
      <c r="E1111" s="8">
        <f>[1]DETAY!$A$2</f>
        <v>0</v>
      </c>
      <c r="F1111" s="23">
        <f t="shared" si="1"/>
        <v>780</v>
      </c>
      <c r="G1111" s="7">
        <f t="shared" si="2"/>
        <v>20</v>
      </c>
      <c r="H1111" s="6">
        <f t="shared" si="3"/>
        <v>0.97499999999999998</v>
      </c>
      <c r="I1111" s="8"/>
      <c r="J1111" s="8"/>
      <c r="K1111" s="8"/>
      <c r="L1111" s="8"/>
      <c r="M1111" s="8">
        <v>20</v>
      </c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  <c r="BA1111" s="8"/>
      <c r="BB1111" s="8"/>
      <c r="BC1111" s="8"/>
      <c r="BD1111" s="8"/>
      <c r="BE1111" s="8"/>
      <c r="BF1111" s="8"/>
    </row>
    <row r="1112" spans="1:58" s="22" customFormat="1" x14ac:dyDescent="0.25">
      <c r="A1112" s="11" t="s">
        <v>8</v>
      </c>
      <c r="B1112" s="12">
        <v>46204</v>
      </c>
      <c r="C1112" s="10">
        <f t="shared" si="0"/>
        <v>27</v>
      </c>
      <c r="D1112" s="9"/>
      <c r="E1112" s="8">
        <f>[1]DETAY!$A$2</f>
        <v>0</v>
      </c>
      <c r="F1112" s="23">
        <f t="shared" si="1"/>
        <v>0</v>
      </c>
      <c r="G1112" s="7">
        <f t="shared" si="2"/>
        <v>0</v>
      </c>
      <c r="H1112" s="6" t="e">
        <f t="shared" si="3"/>
        <v>#DIV/0!</v>
      </c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  <c r="BA1112" s="8"/>
      <c r="BB1112" s="8"/>
      <c r="BC1112" s="8"/>
      <c r="BD1112" s="8"/>
      <c r="BE1112" s="8"/>
      <c r="BF1112" s="8"/>
    </row>
    <row r="1113" spans="1:58" s="22" customFormat="1" x14ac:dyDescent="0.25">
      <c r="A1113" s="11" t="s">
        <v>7</v>
      </c>
      <c r="B1113" s="12">
        <v>46204</v>
      </c>
      <c r="C1113" s="10">
        <f t="shared" si="0"/>
        <v>27</v>
      </c>
      <c r="D1113" s="9">
        <v>371</v>
      </c>
      <c r="E1113" s="8">
        <f>[1]DETAY!$A$2</f>
        <v>0</v>
      </c>
      <c r="F1113" s="23">
        <f t="shared" si="1"/>
        <v>357</v>
      </c>
      <c r="G1113" s="7">
        <f t="shared" si="2"/>
        <v>14</v>
      </c>
      <c r="H1113" s="6">
        <f t="shared" si="3"/>
        <v>0.96226415094339623</v>
      </c>
      <c r="I1113" s="8"/>
      <c r="J1113" s="8"/>
      <c r="K1113" s="8"/>
      <c r="L1113" s="8"/>
      <c r="M1113" s="29">
        <v>14</v>
      </c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  <c r="BA1113" s="8"/>
      <c r="BB1113" s="8"/>
      <c r="BC1113" s="8"/>
      <c r="BD1113" s="8"/>
      <c r="BE1113" s="8"/>
      <c r="BF1113" s="8"/>
    </row>
    <row r="1114" spans="1:58" s="22" customFormat="1" x14ac:dyDescent="0.25">
      <c r="A1114" s="11" t="s">
        <v>13</v>
      </c>
      <c r="B1114" s="12">
        <v>46204</v>
      </c>
      <c r="C1114" s="10">
        <f t="shared" si="0"/>
        <v>27</v>
      </c>
      <c r="D1114" s="9">
        <f>240+120</f>
        <v>360</v>
      </c>
      <c r="E1114" s="8">
        <f>[1]DETAY!$A$2</f>
        <v>0</v>
      </c>
      <c r="F1114" s="23">
        <f t="shared" si="1"/>
        <v>360</v>
      </c>
      <c r="G1114" s="7">
        <f t="shared" si="2"/>
        <v>0</v>
      </c>
      <c r="H1114" s="6">
        <f t="shared" si="3"/>
        <v>1</v>
      </c>
      <c r="I1114" s="8"/>
      <c r="J1114" s="8"/>
      <c r="K1114" s="8"/>
      <c r="L1114" s="8"/>
      <c r="M1114" s="29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  <c r="BA1114" s="8"/>
      <c r="BB1114" s="8"/>
      <c r="BC1114" s="8"/>
      <c r="BD1114" s="8"/>
      <c r="BE1114" s="8"/>
      <c r="BF1114" s="8"/>
    </row>
    <row r="1115" spans="1:58" s="22" customFormat="1" x14ac:dyDescent="0.25">
      <c r="A1115" s="11" t="s">
        <v>12</v>
      </c>
      <c r="B1115" s="12">
        <v>46204</v>
      </c>
      <c r="C1115" s="10">
        <f t="shared" si="0"/>
        <v>27</v>
      </c>
      <c r="D1115" s="9">
        <f>2440+400</f>
        <v>2840</v>
      </c>
      <c r="E1115" s="8">
        <f>[1]DETAY!$A$2</f>
        <v>0</v>
      </c>
      <c r="F1115" s="23">
        <f t="shared" si="1"/>
        <v>2800</v>
      </c>
      <c r="G1115" s="7">
        <f t="shared" si="2"/>
        <v>40</v>
      </c>
      <c r="H1115" s="6">
        <f t="shared" si="3"/>
        <v>0.9859154929577465</v>
      </c>
      <c r="I1115" s="8"/>
      <c r="J1115" s="8"/>
      <c r="K1115" s="8"/>
      <c r="L1115" s="8"/>
      <c r="M1115" s="29"/>
      <c r="N1115" s="8">
        <v>40</v>
      </c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  <c r="BA1115" s="8"/>
      <c r="BB1115" s="8"/>
      <c r="BC1115" s="8"/>
      <c r="BD1115" s="8"/>
      <c r="BE1115" s="8"/>
      <c r="BF1115" s="8"/>
    </row>
    <row r="1116" spans="1:58" s="22" customFormat="1" x14ac:dyDescent="0.25">
      <c r="A1116" s="11" t="s">
        <v>4</v>
      </c>
      <c r="B1116" s="12">
        <v>46204</v>
      </c>
      <c r="C1116" s="10">
        <f t="shared" si="0"/>
        <v>27</v>
      </c>
      <c r="D1116" s="9">
        <f>154+154</f>
        <v>308</v>
      </c>
      <c r="E1116" s="8">
        <f>[1]DETAY!$A$2</f>
        <v>0</v>
      </c>
      <c r="F1116" s="23">
        <f t="shared" si="1"/>
        <v>154</v>
      </c>
      <c r="G1116" s="7">
        <f t="shared" si="2"/>
        <v>154</v>
      </c>
      <c r="H1116" s="6">
        <f t="shared" si="3"/>
        <v>0.5</v>
      </c>
      <c r="I1116" s="8"/>
      <c r="J1116" s="8"/>
      <c r="K1116" s="8"/>
      <c r="L1116" s="8"/>
      <c r="M1116" s="8"/>
      <c r="N1116" s="8">
        <v>154</v>
      </c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  <c r="BA1116" s="8"/>
      <c r="BB1116" s="8"/>
      <c r="BC1116" s="8"/>
      <c r="BD1116" s="8"/>
      <c r="BE1116" s="8"/>
      <c r="BF1116" s="8"/>
    </row>
    <row r="1117" spans="1:58" s="22" customFormat="1" x14ac:dyDescent="0.25">
      <c r="A1117" s="11" t="s">
        <v>15</v>
      </c>
      <c r="B1117" s="12">
        <v>46204</v>
      </c>
      <c r="C1117" s="10">
        <f t="shared" si="0"/>
        <v>27</v>
      </c>
      <c r="D1117" s="9">
        <f>440+440</f>
        <v>880</v>
      </c>
      <c r="E1117" s="8">
        <f>[1]DETAY!$A$2</f>
        <v>0</v>
      </c>
      <c r="F1117" s="23">
        <f t="shared" si="1"/>
        <v>880</v>
      </c>
      <c r="G1117" s="7">
        <f t="shared" si="2"/>
        <v>0</v>
      </c>
      <c r="H1117" s="6">
        <f t="shared" si="3"/>
        <v>1</v>
      </c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  <c r="BA1117" s="8"/>
      <c r="BB1117" s="8"/>
      <c r="BC1117" s="8"/>
      <c r="BD1117" s="8"/>
      <c r="BE1117" s="8"/>
      <c r="BF1117" s="8"/>
    </row>
    <row r="1118" spans="1:58" s="22" customFormat="1" x14ac:dyDescent="0.25">
      <c r="A1118" s="11" t="s">
        <v>0</v>
      </c>
      <c r="B1118" s="12">
        <v>46204</v>
      </c>
      <c r="C1118" s="10">
        <f t="shared" si="0"/>
        <v>27</v>
      </c>
      <c r="D1118" s="9">
        <f>54</f>
        <v>54</v>
      </c>
      <c r="E1118" s="8">
        <f>[1]DETAY!$A$2</f>
        <v>0</v>
      </c>
      <c r="F1118" s="23">
        <f t="shared" si="1"/>
        <v>49</v>
      </c>
      <c r="G1118" s="7">
        <f t="shared" si="2"/>
        <v>5</v>
      </c>
      <c r="H1118" s="6">
        <f t="shared" si="3"/>
        <v>0.90740740740740744</v>
      </c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>
        <v>5</v>
      </c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</row>
    <row r="1119" spans="1:58" s="22" customFormat="1" x14ac:dyDescent="0.25">
      <c r="A1119" s="11" t="s">
        <v>17</v>
      </c>
      <c r="B1119" s="12">
        <v>46204</v>
      </c>
      <c r="C1119" s="10">
        <f t="shared" si="0"/>
        <v>27</v>
      </c>
      <c r="D1119" s="9">
        <f>371</f>
        <v>371</v>
      </c>
      <c r="E1119" s="8">
        <f>[1]DETAY!$A$2</f>
        <v>0</v>
      </c>
      <c r="F1119" s="23">
        <f t="shared" si="1"/>
        <v>350</v>
      </c>
      <c r="G1119" s="7">
        <f t="shared" si="2"/>
        <v>21</v>
      </c>
      <c r="H1119" s="6">
        <f t="shared" si="3"/>
        <v>0.94339622641509435</v>
      </c>
      <c r="I1119" s="8"/>
      <c r="J1119" s="8">
        <v>15</v>
      </c>
      <c r="K1119" s="8"/>
      <c r="L1119" s="8">
        <v>6</v>
      </c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  <c r="BA1119" s="8"/>
      <c r="BB1119" s="8"/>
      <c r="BC1119" s="8"/>
      <c r="BD1119" s="8"/>
      <c r="BE1119" s="8"/>
      <c r="BF1119" s="8"/>
    </row>
    <row r="1120" spans="1:58" s="22" customFormat="1" x14ac:dyDescent="0.25">
      <c r="A1120" s="11" t="s">
        <v>3</v>
      </c>
      <c r="B1120" s="12">
        <v>46204</v>
      </c>
      <c r="C1120" s="10">
        <f t="shared" si="0"/>
        <v>27</v>
      </c>
      <c r="D1120" s="9">
        <f>200</f>
        <v>200</v>
      </c>
      <c r="E1120" s="8">
        <f>[1]DETAY!$A$2</f>
        <v>0</v>
      </c>
      <c r="F1120" s="23">
        <f t="shared" si="1"/>
        <v>200</v>
      </c>
      <c r="G1120" s="7">
        <f t="shared" si="2"/>
        <v>0</v>
      </c>
      <c r="H1120" s="6">
        <f t="shared" si="3"/>
        <v>1</v>
      </c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  <c r="BA1120" s="8"/>
      <c r="BB1120" s="8"/>
      <c r="BC1120" s="8"/>
      <c r="BD1120" s="8"/>
      <c r="BE1120" s="8"/>
      <c r="BF1120" s="8"/>
    </row>
    <row r="1121" spans="1:58" s="22" customFormat="1" ht="15.75" thickBot="1" x14ac:dyDescent="0.3">
      <c r="A1121" s="40" t="s">
        <v>5</v>
      </c>
      <c r="B1121" s="41">
        <v>46204</v>
      </c>
      <c r="C1121" s="42">
        <f t="shared" si="0"/>
        <v>27</v>
      </c>
      <c r="D1121" s="43">
        <f>147</f>
        <v>147</v>
      </c>
      <c r="E1121" s="44">
        <f>[1]DETAY!$A$2</f>
        <v>0</v>
      </c>
      <c r="F1121" s="45">
        <f t="shared" si="1"/>
        <v>147</v>
      </c>
      <c r="G1121" s="46">
        <f t="shared" si="2"/>
        <v>0</v>
      </c>
      <c r="H1121" s="47">
        <f t="shared" si="3"/>
        <v>1</v>
      </c>
      <c r="I1121" s="44"/>
      <c r="J1121" s="44"/>
      <c r="K1121" s="44"/>
      <c r="L1121" s="44"/>
      <c r="M1121" s="44"/>
      <c r="N1121" s="44"/>
      <c r="O1121" s="44"/>
      <c r="P1121" s="44"/>
      <c r="Q1121" s="44"/>
      <c r="R1121" s="44"/>
      <c r="S1121" s="44"/>
      <c r="T1121" s="44"/>
      <c r="U1121" s="44"/>
      <c r="V1121" s="44"/>
      <c r="W1121" s="44"/>
      <c r="X1121" s="44"/>
      <c r="Y1121" s="44"/>
      <c r="Z1121" s="44"/>
      <c r="AA1121" s="44"/>
      <c r="AB1121" s="44"/>
      <c r="AC1121" s="44"/>
      <c r="AD1121" s="44"/>
      <c r="AE1121" s="44"/>
      <c r="AF1121" s="44"/>
      <c r="AG1121" s="44"/>
      <c r="AH1121" s="44"/>
      <c r="AI1121" s="44"/>
      <c r="AJ1121" s="44"/>
      <c r="AK1121" s="44"/>
      <c r="AL1121" s="44"/>
      <c r="AM1121" s="44"/>
      <c r="AN1121" s="44"/>
      <c r="AO1121" s="44"/>
      <c r="AP1121" s="44"/>
      <c r="AQ1121" s="44"/>
      <c r="AR1121" s="44"/>
      <c r="AS1121" s="44"/>
      <c r="AT1121" s="44"/>
      <c r="AU1121" s="44"/>
      <c r="AV1121" s="44"/>
      <c r="AW1121" s="44"/>
      <c r="AX1121" s="44"/>
      <c r="AY1121" s="44"/>
      <c r="AZ1121" s="44"/>
      <c r="BA1121" s="44"/>
      <c r="BB1121" s="44"/>
      <c r="BC1121" s="44"/>
      <c r="BD1121" s="44"/>
      <c r="BE1121" s="44"/>
      <c r="BF1121" s="44"/>
    </row>
    <row r="1122" spans="1:58" s="22" customFormat="1" x14ac:dyDescent="0.25">
      <c r="A1122" s="32" t="s">
        <v>22</v>
      </c>
      <c r="B1122" s="33">
        <v>46205</v>
      </c>
      <c r="C1122" s="34">
        <f t="shared" ref="C1122:C1141" si="67">WEEKNUM(B1122)</f>
        <v>27</v>
      </c>
      <c r="D1122" s="35">
        <f>1580+650</f>
        <v>2230</v>
      </c>
      <c r="E1122" s="36">
        <f>[1]DETAY!$A$2</f>
        <v>0</v>
      </c>
      <c r="F1122" s="37">
        <f t="shared" ref="F1122:F1141" si="68">D1122-G1122</f>
        <v>2222</v>
      </c>
      <c r="G1122" s="38">
        <f t="shared" ref="G1122:G1141" si="69">SUBTOTAL(9,I1122:BE1122)</f>
        <v>8</v>
      </c>
      <c r="H1122" s="39">
        <f t="shared" ref="H1122:H1141" si="70">F1122/D1122</f>
        <v>0.99641255605381163</v>
      </c>
      <c r="I1122" s="36"/>
      <c r="J1122" s="36"/>
      <c r="K1122" s="36"/>
      <c r="L1122" s="36">
        <v>6</v>
      </c>
      <c r="M1122" s="36"/>
      <c r="N1122" s="36"/>
      <c r="O1122" s="36"/>
      <c r="P1122" s="36"/>
      <c r="Q1122" s="36"/>
      <c r="R1122" s="36">
        <v>2</v>
      </c>
      <c r="S1122" s="36"/>
      <c r="T1122" s="36"/>
      <c r="U1122" s="36"/>
      <c r="V1122" s="36"/>
      <c r="W1122" s="36"/>
      <c r="X1122" s="36"/>
      <c r="Y1122" s="36"/>
      <c r="Z1122" s="36"/>
      <c r="AA1122" s="36"/>
      <c r="AB1122" s="36"/>
      <c r="AC1122" s="36"/>
      <c r="AD1122" s="36"/>
      <c r="AE1122" s="36"/>
      <c r="AF1122" s="36"/>
      <c r="AG1122" s="36"/>
      <c r="AH1122" s="36"/>
      <c r="AI1122" s="36"/>
      <c r="AJ1122" s="36"/>
      <c r="AK1122" s="36"/>
      <c r="AL1122" s="36"/>
      <c r="AM1122" s="36"/>
      <c r="AN1122" s="36"/>
      <c r="AO1122" s="36"/>
      <c r="AP1122" s="36"/>
      <c r="AQ1122" s="36"/>
      <c r="AR1122" s="36"/>
      <c r="AS1122" s="36"/>
      <c r="AT1122" s="36"/>
      <c r="AU1122" s="36"/>
      <c r="AV1122" s="36"/>
      <c r="AW1122" s="36"/>
      <c r="AX1122" s="36"/>
      <c r="AY1122" s="36"/>
      <c r="AZ1122" s="36"/>
      <c r="BA1122" s="36"/>
      <c r="BB1122" s="36"/>
      <c r="BC1122" s="36"/>
      <c r="BD1122" s="36"/>
      <c r="BE1122" s="36"/>
      <c r="BF1122" s="36"/>
    </row>
    <row r="1123" spans="1:58" s="22" customFormat="1" x14ac:dyDescent="0.25">
      <c r="A1123" s="11" t="s">
        <v>21</v>
      </c>
      <c r="B1123" s="12">
        <v>46205</v>
      </c>
      <c r="C1123" s="10">
        <f t="shared" si="67"/>
        <v>27</v>
      </c>
      <c r="D1123" s="9">
        <f>834+704</f>
        <v>1538</v>
      </c>
      <c r="E1123" s="8">
        <f>[1]DETAY!$A$2</f>
        <v>0</v>
      </c>
      <c r="F1123" s="23">
        <f t="shared" si="68"/>
        <v>1527</v>
      </c>
      <c r="G1123" s="7">
        <f t="shared" si="69"/>
        <v>11</v>
      </c>
      <c r="H1123" s="6">
        <f t="shared" si="70"/>
        <v>0.99284785435630685</v>
      </c>
      <c r="I1123" s="8"/>
      <c r="J1123" s="8"/>
      <c r="K1123" s="8"/>
      <c r="L1123" s="8">
        <v>2</v>
      </c>
      <c r="M1123" s="8">
        <v>1</v>
      </c>
      <c r="N1123" s="8"/>
      <c r="O1123" s="8"/>
      <c r="P1123" s="8"/>
      <c r="Q1123" s="8"/>
      <c r="R1123" s="8">
        <v>7</v>
      </c>
      <c r="S1123" s="8"/>
      <c r="T1123" s="8"/>
      <c r="U1123" s="8"/>
      <c r="V1123" s="8"/>
      <c r="W1123" s="8">
        <v>1</v>
      </c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  <c r="BA1123" s="8"/>
      <c r="BB1123" s="8"/>
      <c r="BC1123" s="8"/>
      <c r="BD1123" s="8"/>
      <c r="BE1123" s="8"/>
      <c r="BF1123" s="8"/>
    </row>
    <row r="1124" spans="1:58" s="22" customFormat="1" x14ac:dyDescent="0.25">
      <c r="A1124" s="11" t="s">
        <v>20</v>
      </c>
      <c r="B1124" s="12">
        <v>46205</v>
      </c>
      <c r="C1124" s="10">
        <f t="shared" si="67"/>
        <v>27</v>
      </c>
      <c r="D1124" s="9">
        <f>871+358+708</f>
        <v>1937</v>
      </c>
      <c r="E1124" s="8">
        <f>[1]DETAY!$A$2</f>
        <v>0</v>
      </c>
      <c r="F1124" s="23">
        <f t="shared" si="68"/>
        <v>1900</v>
      </c>
      <c r="G1124" s="7">
        <f t="shared" si="69"/>
        <v>37</v>
      </c>
      <c r="H1124" s="6">
        <f t="shared" si="70"/>
        <v>0.98089829633453796</v>
      </c>
      <c r="I1124" s="8"/>
      <c r="J1124" s="8">
        <f>29+8</f>
        <v>37</v>
      </c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  <c r="BA1124" s="8"/>
      <c r="BB1124" s="8"/>
      <c r="BC1124" s="8"/>
      <c r="BD1124" s="8"/>
      <c r="BE1124" s="8"/>
      <c r="BF1124" s="8"/>
    </row>
    <row r="1125" spans="1:58" s="22" customFormat="1" x14ac:dyDescent="0.25">
      <c r="A1125" s="11" t="s">
        <v>19</v>
      </c>
      <c r="B1125" s="12">
        <v>46205</v>
      </c>
      <c r="C1125" s="10">
        <f t="shared" si="67"/>
        <v>27</v>
      </c>
      <c r="D1125" s="9">
        <f>1408</f>
        <v>1408</v>
      </c>
      <c r="E1125" s="8">
        <f>[1]DETAY!$A$2</f>
        <v>0</v>
      </c>
      <c r="F1125" s="23">
        <f t="shared" si="68"/>
        <v>1400</v>
      </c>
      <c r="G1125" s="7">
        <f t="shared" si="69"/>
        <v>8</v>
      </c>
      <c r="H1125" s="6">
        <f t="shared" si="70"/>
        <v>0.99431818181818177</v>
      </c>
      <c r="I1125" s="8"/>
      <c r="J1125" s="8">
        <v>8</v>
      </c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  <c r="BA1125" s="8"/>
      <c r="BB1125" s="8"/>
      <c r="BC1125" s="8"/>
      <c r="BD1125" s="8"/>
      <c r="BE1125" s="8"/>
      <c r="BF1125" s="8"/>
    </row>
    <row r="1126" spans="1:58" s="22" customFormat="1" x14ac:dyDescent="0.25">
      <c r="A1126" s="11" t="s">
        <v>18</v>
      </c>
      <c r="B1126" s="12">
        <v>46205</v>
      </c>
      <c r="C1126" s="10">
        <f t="shared" si="67"/>
        <v>27</v>
      </c>
      <c r="D1126" s="9">
        <v>709</v>
      </c>
      <c r="E1126" s="8">
        <f>[1]DETAY!$A$2</f>
        <v>0</v>
      </c>
      <c r="F1126" s="23">
        <f t="shared" si="68"/>
        <v>700</v>
      </c>
      <c r="G1126" s="7">
        <f t="shared" si="69"/>
        <v>9</v>
      </c>
      <c r="H1126" s="6">
        <f t="shared" si="70"/>
        <v>0.98730606488011285</v>
      </c>
      <c r="I1126" s="8"/>
      <c r="J1126" s="8">
        <v>9</v>
      </c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  <c r="BA1126" s="8"/>
      <c r="BB1126" s="8"/>
      <c r="BC1126" s="8"/>
      <c r="BD1126" s="8"/>
      <c r="BE1126" s="8"/>
      <c r="BF1126" s="8"/>
    </row>
    <row r="1127" spans="1:58" s="22" customFormat="1" x14ac:dyDescent="0.25">
      <c r="A1127" s="11" t="s">
        <v>16</v>
      </c>
      <c r="B1127" s="12">
        <v>46205</v>
      </c>
      <c r="C1127" s="10">
        <f t="shared" si="67"/>
        <v>27</v>
      </c>
      <c r="D1127" s="9">
        <f>961+2105+1087</f>
        <v>4153</v>
      </c>
      <c r="E1127" s="8">
        <f>[1]DETAY!$A$2</f>
        <v>0</v>
      </c>
      <c r="F1127" s="23">
        <f t="shared" si="68"/>
        <v>3938</v>
      </c>
      <c r="G1127" s="7">
        <f t="shared" si="69"/>
        <v>215</v>
      </c>
      <c r="H1127" s="6">
        <f t="shared" si="70"/>
        <v>0.94823019503973027</v>
      </c>
      <c r="I1127" s="8"/>
      <c r="J1127" s="8"/>
      <c r="K1127" s="8">
        <v>6</v>
      </c>
      <c r="L1127" s="8">
        <v>7</v>
      </c>
      <c r="M1127" s="8">
        <v>40</v>
      </c>
      <c r="N1127" s="8"/>
      <c r="O1127" s="8">
        <v>1</v>
      </c>
      <c r="P1127" s="8">
        <v>1</v>
      </c>
      <c r="Q1127" s="8">
        <f>64+1</f>
        <v>65</v>
      </c>
      <c r="R1127" s="8"/>
      <c r="S1127" s="8"/>
      <c r="T1127" s="8"/>
      <c r="U1127" s="8">
        <v>6</v>
      </c>
      <c r="V1127" s="8"/>
      <c r="W1127" s="8">
        <v>1</v>
      </c>
      <c r="X1127" s="8">
        <v>25</v>
      </c>
      <c r="Y1127" s="8"/>
      <c r="Z1127" s="8"/>
      <c r="AA1127" s="8"/>
      <c r="AB1127" s="8"/>
      <c r="AC1127" s="8"/>
      <c r="AD1127" s="8"/>
      <c r="AE1127" s="8"/>
      <c r="AF1127" s="8">
        <v>2</v>
      </c>
      <c r="AG1127" s="8"/>
      <c r="AH1127" s="8">
        <v>9</v>
      </c>
      <c r="AI1127" s="8"/>
      <c r="AJ1127" s="8">
        <f>36+16</f>
        <v>52</v>
      </c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  <c r="BA1127" s="8"/>
      <c r="BB1127" s="8"/>
      <c r="BC1127" s="8"/>
      <c r="BD1127" s="8"/>
      <c r="BE1127" s="8"/>
      <c r="BF1127" s="8">
        <v>1</v>
      </c>
    </row>
    <row r="1128" spans="1:58" s="22" customFormat="1" x14ac:dyDescent="0.25">
      <c r="A1128" s="11" t="s">
        <v>13</v>
      </c>
      <c r="B1128" s="12">
        <v>46205</v>
      </c>
      <c r="C1128" s="10">
        <f t="shared" si="67"/>
        <v>27</v>
      </c>
      <c r="D1128" s="9">
        <v>360</v>
      </c>
      <c r="E1128" s="8">
        <f>[1]DETAY!$A$2</f>
        <v>0</v>
      </c>
      <c r="F1128" s="23">
        <f t="shared" si="68"/>
        <v>360</v>
      </c>
      <c r="G1128" s="7">
        <f t="shared" si="69"/>
        <v>0</v>
      </c>
      <c r="H1128" s="6">
        <f t="shared" si="70"/>
        <v>1</v>
      </c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  <c r="BA1128" s="8"/>
      <c r="BB1128" s="8"/>
      <c r="BC1128" s="8"/>
      <c r="BD1128" s="8"/>
      <c r="BE1128" s="8"/>
      <c r="BF1128" s="8"/>
    </row>
    <row r="1129" spans="1:58" s="22" customFormat="1" x14ac:dyDescent="0.25">
      <c r="A1129" s="11" t="s">
        <v>11</v>
      </c>
      <c r="B1129" s="12">
        <v>46205</v>
      </c>
      <c r="C1129" s="10">
        <f t="shared" si="67"/>
        <v>27</v>
      </c>
      <c r="D1129" s="9">
        <f>350+984</f>
        <v>1334</v>
      </c>
      <c r="E1129" s="8">
        <f>[1]DETAY!$A$2</f>
        <v>0</v>
      </c>
      <c r="F1129" s="23">
        <f t="shared" si="68"/>
        <v>1330</v>
      </c>
      <c r="G1129" s="7">
        <f t="shared" si="69"/>
        <v>4</v>
      </c>
      <c r="H1129" s="6">
        <f t="shared" si="70"/>
        <v>0.99700149925037485</v>
      </c>
      <c r="I1129" s="8"/>
      <c r="J1129" s="8"/>
      <c r="K1129" s="8"/>
      <c r="L1129" s="8">
        <v>4</v>
      </c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  <c r="BA1129" s="8"/>
      <c r="BB1129" s="8"/>
      <c r="BC1129" s="8"/>
      <c r="BD1129" s="8"/>
      <c r="BE1129" s="8"/>
      <c r="BF1129" s="8"/>
    </row>
    <row r="1130" spans="1:58" s="22" customFormat="1" x14ac:dyDescent="0.25">
      <c r="A1130" s="11" t="s">
        <v>9</v>
      </c>
      <c r="B1130" s="12">
        <v>46205</v>
      </c>
      <c r="C1130" s="10">
        <f t="shared" si="67"/>
        <v>27</v>
      </c>
      <c r="D1130" s="9">
        <f>486+847+307</f>
        <v>1640</v>
      </c>
      <c r="E1130" s="8">
        <f>[1]DETAY!$A$2</f>
        <v>0</v>
      </c>
      <c r="F1130" s="23">
        <f t="shared" si="68"/>
        <v>1620</v>
      </c>
      <c r="G1130" s="7">
        <f t="shared" si="69"/>
        <v>20</v>
      </c>
      <c r="H1130" s="6">
        <f t="shared" si="70"/>
        <v>0.98780487804878048</v>
      </c>
      <c r="I1130" s="8"/>
      <c r="J1130" s="8"/>
      <c r="K1130" s="8"/>
      <c r="L1130" s="8"/>
      <c r="M1130" s="8">
        <v>20</v>
      </c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  <c r="BA1130" s="8"/>
      <c r="BB1130" s="8"/>
      <c r="BC1130" s="8"/>
      <c r="BD1130" s="8"/>
      <c r="BE1130" s="8"/>
      <c r="BF1130" s="8"/>
    </row>
    <row r="1131" spans="1:58" s="22" customFormat="1" x14ac:dyDescent="0.25">
      <c r="A1131" s="11" t="s">
        <v>10</v>
      </c>
      <c r="B1131" s="12">
        <v>46205</v>
      </c>
      <c r="C1131" s="10">
        <f t="shared" si="67"/>
        <v>27</v>
      </c>
      <c r="D1131" s="9">
        <f>605+483+370</f>
        <v>1458</v>
      </c>
      <c r="E1131" s="8">
        <f>[1]DETAY!$A$2</f>
        <v>0</v>
      </c>
      <c r="F1131" s="23">
        <f t="shared" si="68"/>
        <v>1440</v>
      </c>
      <c r="G1131" s="7">
        <f t="shared" si="69"/>
        <v>18</v>
      </c>
      <c r="H1131" s="6">
        <f t="shared" si="70"/>
        <v>0.98765432098765427</v>
      </c>
      <c r="I1131" s="8"/>
      <c r="J1131" s="8"/>
      <c r="K1131" s="8"/>
      <c r="L1131" s="8"/>
      <c r="M1131" s="8">
        <v>14</v>
      </c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>
        <v>3</v>
      </c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>
        <v>1</v>
      </c>
      <c r="BA1131" s="8"/>
      <c r="BB1131" s="8"/>
      <c r="BC1131" s="8"/>
      <c r="BD1131" s="8"/>
      <c r="BE1131" s="8"/>
      <c r="BF1131" s="8"/>
    </row>
    <row r="1132" spans="1:58" s="22" customFormat="1" x14ac:dyDescent="0.25">
      <c r="A1132" s="11" t="s">
        <v>8</v>
      </c>
      <c r="B1132" s="12">
        <v>46205</v>
      </c>
      <c r="C1132" s="10">
        <f t="shared" si="67"/>
        <v>27</v>
      </c>
      <c r="D1132" s="9"/>
      <c r="E1132" s="8">
        <f>[1]DETAY!$A$2</f>
        <v>0</v>
      </c>
      <c r="F1132" s="23">
        <f t="shared" si="68"/>
        <v>0</v>
      </c>
      <c r="G1132" s="7">
        <f t="shared" si="69"/>
        <v>0</v>
      </c>
      <c r="H1132" s="6" t="e">
        <f t="shared" si="70"/>
        <v>#DIV/0!</v>
      </c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  <c r="BA1132" s="8"/>
      <c r="BB1132" s="8"/>
      <c r="BC1132" s="8"/>
      <c r="BD1132" s="8"/>
      <c r="BE1132" s="8"/>
      <c r="BF1132" s="8"/>
    </row>
    <row r="1133" spans="1:58" s="22" customFormat="1" x14ac:dyDescent="0.25">
      <c r="A1133" s="11" t="s">
        <v>13</v>
      </c>
      <c r="B1133" s="12">
        <v>46205</v>
      </c>
      <c r="C1133" s="10">
        <f t="shared" si="67"/>
        <v>27</v>
      </c>
      <c r="D1133" s="9">
        <f>318+480</f>
        <v>798</v>
      </c>
      <c r="E1133" s="8">
        <f>[1]DETAY!$A$2</f>
        <v>0</v>
      </c>
      <c r="F1133" s="23">
        <f t="shared" si="68"/>
        <v>798</v>
      </c>
      <c r="G1133" s="7">
        <f t="shared" si="69"/>
        <v>0</v>
      </c>
      <c r="H1133" s="6">
        <f t="shared" si="70"/>
        <v>1</v>
      </c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  <c r="BA1133" s="8"/>
      <c r="BB1133" s="8"/>
      <c r="BC1133" s="8"/>
      <c r="BD1133" s="8"/>
      <c r="BE1133" s="8"/>
      <c r="BF1133" s="8"/>
    </row>
    <row r="1134" spans="1:58" s="22" customFormat="1" x14ac:dyDescent="0.25">
      <c r="A1134" s="11" t="s">
        <v>4</v>
      </c>
      <c r="B1134" s="12">
        <v>46205</v>
      </c>
      <c r="C1134" s="10">
        <f t="shared" si="67"/>
        <v>27</v>
      </c>
      <c r="D1134" s="9">
        <f>385+77</f>
        <v>462</v>
      </c>
      <c r="E1134" s="8">
        <f>[1]DETAY!$A$2</f>
        <v>0</v>
      </c>
      <c r="F1134" s="23">
        <f t="shared" si="68"/>
        <v>462</v>
      </c>
      <c r="G1134" s="7">
        <f t="shared" si="69"/>
        <v>0</v>
      </c>
      <c r="H1134" s="6">
        <f t="shared" si="70"/>
        <v>1</v>
      </c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  <c r="BA1134" s="8"/>
      <c r="BB1134" s="8"/>
      <c r="BC1134" s="8"/>
      <c r="BD1134" s="8"/>
      <c r="BE1134" s="8"/>
      <c r="BF1134" s="8"/>
    </row>
    <row r="1135" spans="1:58" s="22" customFormat="1" x14ac:dyDescent="0.25">
      <c r="A1135" s="11" t="s">
        <v>6</v>
      </c>
      <c r="B1135" s="12">
        <v>46205</v>
      </c>
      <c r="C1135" s="10">
        <f t="shared" si="67"/>
        <v>27</v>
      </c>
      <c r="D1135" s="9">
        <f>77</f>
        <v>77</v>
      </c>
      <c r="E1135" s="8">
        <f>[1]DETAY!$A$2</f>
        <v>0</v>
      </c>
      <c r="F1135" s="23">
        <f t="shared" si="68"/>
        <v>77</v>
      </c>
      <c r="G1135" s="7">
        <f t="shared" si="69"/>
        <v>0</v>
      </c>
      <c r="H1135" s="6">
        <f t="shared" si="70"/>
        <v>1</v>
      </c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  <c r="BA1135" s="8"/>
      <c r="BB1135" s="8"/>
      <c r="BC1135" s="8"/>
      <c r="BD1135" s="8"/>
      <c r="BE1135" s="8"/>
      <c r="BF1135" s="8"/>
    </row>
    <row r="1136" spans="1:58" s="22" customFormat="1" x14ac:dyDescent="0.25">
      <c r="A1136" s="11" t="s">
        <v>15</v>
      </c>
      <c r="B1136" s="12">
        <v>46205</v>
      </c>
      <c r="C1136" s="10">
        <f t="shared" si="67"/>
        <v>27</v>
      </c>
      <c r="D1136" s="9">
        <f>407+440</f>
        <v>847</v>
      </c>
      <c r="E1136" s="8">
        <f>[1]DETAY!$A$2</f>
        <v>0</v>
      </c>
      <c r="F1136" s="23">
        <f t="shared" si="68"/>
        <v>847</v>
      </c>
      <c r="G1136" s="7">
        <f t="shared" si="69"/>
        <v>0</v>
      </c>
      <c r="H1136" s="6">
        <f t="shared" si="70"/>
        <v>1</v>
      </c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  <c r="BA1136" s="8"/>
      <c r="BB1136" s="8"/>
      <c r="BC1136" s="8"/>
      <c r="BD1136" s="8"/>
      <c r="BE1136" s="8"/>
      <c r="BF1136" s="8"/>
    </row>
    <row r="1137" spans="1:58" s="22" customFormat="1" x14ac:dyDescent="0.25">
      <c r="A1137" s="11" t="s">
        <v>0</v>
      </c>
      <c r="B1137" s="12">
        <v>46205</v>
      </c>
      <c r="C1137" s="10">
        <f t="shared" si="67"/>
        <v>27</v>
      </c>
      <c r="D1137" s="9">
        <f>311+97+386</f>
        <v>794</v>
      </c>
      <c r="E1137" s="8">
        <f>[1]DETAY!$A$2</f>
        <v>0</v>
      </c>
      <c r="F1137" s="23">
        <f t="shared" si="68"/>
        <v>660</v>
      </c>
      <c r="G1137" s="7">
        <f t="shared" si="69"/>
        <v>134</v>
      </c>
      <c r="H1137" s="6">
        <f t="shared" si="70"/>
        <v>0.83123425692695219</v>
      </c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>
        <f>63+71</f>
        <v>134</v>
      </c>
      <c r="AV1137" s="8"/>
      <c r="AW1137" s="8"/>
      <c r="AX1137" s="8"/>
      <c r="AY1137" s="8"/>
      <c r="AZ1137" s="8"/>
      <c r="BA1137" s="8"/>
      <c r="BB1137" s="8"/>
      <c r="BC1137" s="8"/>
      <c r="BD1137" s="8"/>
      <c r="BE1137" s="8"/>
      <c r="BF1137" s="8"/>
    </row>
    <row r="1138" spans="1:58" s="22" customFormat="1" x14ac:dyDescent="0.25">
      <c r="A1138" s="11" t="s">
        <v>17</v>
      </c>
      <c r="B1138" s="12">
        <v>46205</v>
      </c>
      <c r="C1138" s="10">
        <f t="shared" si="67"/>
        <v>27</v>
      </c>
      <c r="D1138" s="9">
        <f>361</f>
        <v>361</v>
      </c>
      <c r="E1138" s="8">
        <f>[1]DETAY!$A$2</f>
        <v>0</v>
      </c>
      <c r="F1138" s="23">
        <f t="shared" si="68"/>
        <v>350</v>
      </c>
      <c r="G1138" s="7">
        <f t="shared" si="69"/>
        <v>11</v>
      </c>
      <c r="H1138" s="6">
        <f t="shared" si="70"/>
        <v>0.96952908587257614</v>
      </c>
      <c r="I1138" s="8"/>
      <c r="J1138" s="8">
        <v>11</v>
      </c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  <c r="BA1138" s="8"/>
      <c r="BB1138" s="8"/>
      <c r="BC1138" s="8"/>
      <c r="BD1138" s="8"/>
      <c r="BE1138" s="8"/>
      <c r="BF1138" s="8"/>
    </row>
    <row r="1139" spans="1:58" s="22" customFormat="1" x14ac:dyDescent="0.25">
      <c r="A1139" s="11" t="s">
        <v>3</v>
      </c>
      <c r="B1139" s="12">
        <v>46205</v>
      </c>
      <c r="C1139" s="10">
        <f t="shared" si="67"/>
        <v>27</v>
      </c>
      <c r="D1139" s="9">
        <v>77</v>
      </c>
      <c r="E1139" s="8">
        <f>[1]DETAY!$A$2</f>
        <v>0</v>
      </c>
      <c r="F1139" s="23">
        <f t="shared" si="68"/>
        <v>77</v>
      </c>
      <c r="G1139" s="7">
        <f t="shared" si="69"/>
        <v>0</v>
      </c>
      <c r="H1139" s="6">
        <f t="shared" si="70"/>
        <v>1</v>
      </c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  <c r="BA1139" s="8"/>
      <c r="BB1139" s="8"/>
      <c r="BC1139" s="8"/>
      <c r="BD1139" s="8"/>
      <c r="BE1139" s="8"/>
      <c r="BF1139" s="8"/>
    </row>
    <row r="1140" spans="1:58" s="22" customFormat="1" x14ac:dyDescent="0.25">
      <c r="A1140" s="11" t="s">
        <v>1</v>
      </c>
      <c r="B1140" s="12">
        <v>46205</v>
      </c>
      <c r="C1140" s="10">
        <f t="shared" si="67"/>
        <v>27</v>
      </c>
      <c r="D1140" s="9">
        <v>370</v>
      </c>
      <c r="E1140" s="8">
        <f>[1]DETAY!$A$2</f>
        <v>0</v>
      </c>
      <c r="F1140" s="23">
        <f t="shared" si="68"/>
        <v>360</v>
      </c>
      <c r="G1140" s="7">
        <f t="shared" si="69"/>
        <v>10</v>
      </c>
      <c r="H1140" s="6">
        <f t="shared" si="70"/>
        <v>0.97297297297297303</v>
      </c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>
        <v>10</v>
      </c>
      <c r="AV1140" s="8"/>
      <c r="AW1140" s="8"/>
      <c r="AX1140" s="8"/>
      <c r="AY1140" s="8"/>
      <c r="AZ1140" s="8"/>
      <c r="BA1140" s="8"/>
      <c r="BB1140" s="8"/>
      <c r="BC1140" s="8"/>
      <c r="BD1140" s="8"/>
      <c r="BE1140" s="8"/>
      <c r="BF1140" s="8"/>
    </row>
    <row r="1141" spans="1:58" s="22" customFormat="1" ht="15.75" thickBot="1" x14ac:dyDescent="0.3">
      <c r="A1141" s="40" t="s">
        <v>5</v>
      </c>
      <c r="B1141" s="41">
        <v>46205</v>
      </c>
      <c r="C1141" s="42">
        <f t="shared" si="67"/>
        <v>27</v>
      </c>
      <c r="D1141" s="43">
        <f>77+308</f>
        <v>385</v>
      </c>
      <c r="E1141" s="44">
        <f>[1]DETAY!$A$2</f>
        <v>0</v>
      </c>
      <c r="F1141" s="45">
        <f t="shared" si="68"/>
        <v>385</v>
      </c>
      <c r="G1141" s="46">
        <f t="shared" si="69"/>
        <v>0</v>
      </c>
      <c r="H1141" s="47">
        <f t="shared" si="70"/>
        <v>1</v>
      </c>
      <c r="I1141" s="44"/>
      <c r="J1141" s="44"/>
      <c r="K1141" s="44"/>
      <c r="L1141" s="44"/>
      <c r="M1141" s="44"/>
      <c r="N1141" s="44"/>
      <c r="O1141" s="44"/>
      <c r="P1141" s="44"/>
      <c r="Q1141" s="44"/>
      <c r="R1141" s="44"/>
      <c r="S1141" s="44"/>
      <c r="T1141" s="44"/>
      <c r="U1141" s="44"/>
      <c r="V1141" s="44"/>
      <c r="W1141" s="44"/>
      <c r="X1141" s="44"/>
      <c r="Y1141" s="44"/>
      <c r="Z1141" s="44"/>
      <c r="AA1141" s="44"/>
      <c r="AB1141" s="44"/>
      <c r="AC1141" s="44"/>
      <c r="AD1141" s="44"/>
      <c r="AE1141" s="44"/>
      <c r="AF1141" s="44"/>
      <c r="AG1141" s="44"/>
      <c r="AH1141" s="44"/>
      <c r="AI1141" s="44"/>
      <c r="AJ1141" s="44"/>
      <c r="AK1141" s="44"/>
      <c r="AL1141" s="44"/>
      <c r="AM1141" s="44"/>
      <c r="AN1141" s="44"/>
      <c r="AO1141" s="44"/>
      <c r="AP1141" s="44"/>
      <c r="AQ1141" s="44"/>
      <c r="AR1141" s="44"/>
      <c r="AS1141" s="44"/>
      <c r="AT1141" s="44"/>
      <c r="AU1141" s="44"/>
      <c r="AV1141" s="44"/>
      <c r="AW1141" s="44"/>
      <c r="AX1141" s="44"/>
      <c r="AY1141" s="44"/>
      <c r="AZ1141" s="44"/>
      <c r="BA1141" s="44"/>
      <c r="BB1141" s="44"/>
      <c r="BC1141" s="44"/>
      <c r="BD1141" s="44"/>
      <c r="BE1141" s="44"/>
      <c r="BF1141" s="44"/>
    </row>
    <row r="1142" spans="1:58" x14ac:dyDescent="0.25">
      <c r="A1142" s="88" t="s">
        <v>22</v>
      </c>
      <c r="B1142" s="48">
        <v>46206</v>
      </c>
      <c r="C1142" s="49">
        <f t="shared" ref="C1142:C1160" si="71">WEEKNUM(B1142)</f>
        <v>27</v>
      </c>
      <c r="D1142" s="50">
        <f>650+692</f>
        <v>1342</v>
      </c>
      <c r="E1142" s="51">
        <f>[1]DETAY!$A$2</f>
        <v>0</v>
      </c>
      <c r="F1142" s="37">
        <f t="shared" ref="F1142:F1160" si="72">D1142-G1142</f>
        <v>1342</v>
      </c>
      <c r="G1142" s="38">
        <f t="shared" ref="G1142:G1156" si="73">SUBTOTAL(9,I1142:BE1142)</f>
        <v>0</v>
      </c>
      <c r="H1142" s="62">
        <f t="shared" ref="H1142:H1160" si="74">F1142/D1142</f>
        <v>1</v>
      </c>
      <c r="I1142" s="51"/>
      <c r="J1142" s="51"/>
      <c r="K1142" s="51"/>
      <c r="L1142" s="51"/>
      <c r="M1142" s="93"/>
      <c r="N1142" s="51"/>
      <c r="O1142" s="51"/>
      <c r="P1142" s="51"/>
      <c r="Q1142" s="51"/>
      <c r="R1142" s="51"/>
      <c r="S1142" s="51"/>
      <c r="T1142" s="51"/>
      <c r="U1142" s="51"/>
      <c r="V1142" s="51"/>
      <c r="W1142" s="51"/>
      <c r="X1142" s="51"/>
      <c r="Y1142" s="51"/>
      <c r="Z1142" s="51"/>
      <c r="AA1142" s="51"/>
      <c r="AB1142" s="51"/>
      <c r="AC1142" s="51"/>
      <c r="AD1142" s="51"/>
      <c r="AE1142" s="51"/>
      <c r="AF1142" s="51"/>
      <c r="AG1142" s="51"/>
      <c r="AH1142" s="51"/>
      <c r="AI1142" s="51"/>
      <c r="AJ1142" s="51"/>
      <c r="AK1142" s="51"/>
      <c r="AL1142" s="51"/>
      <c r="AM1142" s="51"/>
      <c r="AN1142" s="51"/>
      <c r="AO1142" s="51"/>
      <c r="AP1142" s="51"/>
      <c r="AQ1142" s="51"/>
      <c r="AR1142" s="51"/>
      <c r="AS1142" s="51"/>
      <c r="AT1142" s="51"/>
      <c r="AU1142" s="51"/>
      <c r="AV1142" s="51"/>
      <c r="AW1142" s="51"/>
      <c r="AX1142" s="51"/>
      <c r="AY1142" s="51"/>
      <c r="AZ1142" s="51"/>
      <c r="BA1142" s="57"/>
      <c r="BB1142" s="51"/>
      <c r="BC1142" s="51"/>
      <c r="BD1142" s="51"/>
      <c r="BE1142" s="51"/>
      <c r="BF1142" s="51"/>
    </row>
    <row r="1143" spans="1:58" x14ac:dyDescent="0.25">
      <c r="A1143" s="30" t="s">
        <v>21</v>
      </c>
      <c r="B1143" s="25">
        <v>46206</v>
      </c>
      <c r="C1143" s="26">
        <f t="shared" si="71"/>
        <v>27</v>
      </c>
      <c r="D1143" s="27">
        <f>1119</f>
        <v>1119</v>
      </c>
      <c r="E1143" s="24">
        <f>[1]DETAY!$A$2</f>
        <v>0</v>
      </c>
      <c r="F1143" s="23">
        <f t="shared" si="72"/>
        <v>1100</v>
      </c>
      <c r="G1143" s="7">
        <f t="shared" si="73"/>
        <v>19</v>
      </c>
      <c r="H1143" s="62">
        <f t="shared" si="74"/>
        <v>0.98302055406613043</v>
      </c>
      <c r="I1143" s="24"/>
      <c r="J1143" s="24"/>
      <c r="K1143" s="24">
        <v>2</v>
      </c>
      <c r="L1143" s="24">
        <v>15</v>
      </c>
      <c r="M1143" s="31"/>
      <c r="N1143" s="24"/>
      <c r="O1143" s="24"/>
      <c r="P1143" s="24"/>
      <c r="Q1143" s="24"/>
      <c r="R1143" s="24">
        <v>2</v>
      </c>
      <c r="S1143" s="24"/>
      <c r="T1143" s="24"/>
      <c r="U1143" s="24"/>
      <c r="V1143" s="24"/>
      <c r="W1143" s="24"/>
      <c r="X1143" s="24"/>
      <c r="Y1143" s="24"/>
      <c r="Z1143" s="24"/>
      <c r="AA1143" s="24"/>
      <c r="AB1143" s="24"/>
      <c r="AC1143" s="24"/>
      <c r="AD1143" s="24"/>
      <c r="AE1143" s="24"/>
      <c r="AF1143" s="24"/>
      <c r="AG1143" s="24"/>
      <c r="AH1143" s="24"/>
      <c r="AI1143" s="24"/>
      <c r="AJ1143" s="24"/>
      <c r="AK1143" s="24"/>
      <c r="AL1143" s="24"/>
      <c r="AM1143" s="24"/>
      <c r="AN1143" s="24"/>
      <c r="AO1143" s="24"/>
      <c r="AP1143" s="24"/>
      <c r="AQ1143" s="24"/>
      <c r="AR1143" s="24"/>
      <c r="AS1143" s="24"/>
      <c r="AT1143" s="24"/>
      <c r="AU1143" s="24"/>
      <c r="AV1143" s="24"/>
      <c r="AW1143" s="24"/>
      <c r="AX1143" s="24"/>
      <c r="AY1143" s="24"/>
      <c r="AZ1143" s="24"/>
      <c r="BA1143" s="57"/>
      <c r="BB1143" s="24"/>
      <c r="BC1143" s="24"/>
      <c r="BD1143" s="24"/>
      <c r="BE1143" s="24"/>
      <c r="BF1143" s="24"/>
    </row>
    <row r="1144" spans="1:58" x14ac:dyDescent="0.25">
      <c r="A1144" s="30" t="s">
        <v>20</v>
      </c>
      <c r="B1144" s="25">
        <v>46206</v>
      </c>
      <c r="C1144" s="26">
        <f t="shared" si="71"/>
        <v>27</v>
      </c>
      <c r="D1144" s="27">
        <f>708+274</f>
        <v>982</v>
      </c>
      <c r="E1144" s="24">
        <f>[1]DETAY!$A$2</f>
        <v>0</v>
      </c>
      <c r="F1144" s="23">
        <f t="shared" si="72"/>
        <v>974</v>
      </c>
      <c r="G1144" s="7">
        <f t="shared" si="73"/>
        <v>8</v>
      </c>
      <c r="H1144" s="62">
        <f t="shared" si="74"/>
        <v>0.99185336048879835</v>
      </c>
      <c r="I1144" s="24"/>
      <c r="J1144" s="24">
        <v>8</v>
      </c>
      <c r="K1144" s="24"/>
      <c r="L1144" s="24"/>
      <c r="M1144" s="31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  <c r="AA1144" s="24"/>
      <c r="AB1144" s="24"/>
      <c r="AC1144" s="24"/>
      <c r="AD1144" s="24"/>
      <c r="AE1144" s="24"/>
      <c r="AF1144" s="24"/>
      <c r="AG1144" s="24"/>
      <c r="AH1144" s="24"/>
      <c r="AI1144" s="24"/>
      <c r="AJ1144" s="24"/>
      <c r="AK1144" s="24"/>
      <c r="AL1144" s="24"/>
      <c r="AM1144" s="24"/>
      <c r="AN1144" s="24"/>
      <c r="AO1144" s="24"/>
      <c r="AP1144" s="24"/>
      <c r="AQ1144" s="24"/>
      <c r="AR1144" s="24"/>
      <c r="AS1144" s="24"/>
      <c r="AT1144" s="24"/>
      <c r="AU1144" s="24"/>
      <c r="AV1144" s="24"/>
      <c r="AW1144" s="24"/>
      <c r="AX1144" s="24"/>
      <c r="AY1144" s="24"/>
      <c r="AZ1144" s="24"/>
      <c r="BA1144" s="57"/>
      <c r="BB1144" s="24"/>
      <c r="BC1144" s="24"/>
      <c r="BD1144" s="24"/>
      <c r="BE1144" s="24"/>
      <c r="BF1144" s="24"/>
    </row>
    <row r="1145" spans="1:58" x14ac:dyDescent="0.25">
      <c r="A1145" s="30" t="s">
        <v>18</v>
      </c>
      <c r="B1145" s="25">
        <v>46206</v>
      </c>
      <c r="C1145" s="26">
        <f t="shared" si="71"/>
        <v>27</v>
      </c>
      <c r="D1145" s="27">
        <f>709+1059</f>
        <v>1768</v>
      </c>
      <c r="E1145" s="24">
        <f>[1]DETAY!$A$2</f>
        <v>0</v>
      </c>
      <c r="F1145" s="23">
        <f t="shared" si="72"/>
        <v>1753</v>
      </c>
      <c r="G1145" s="7">
        <f t="shared" si="73"/>
        <v>15</v>
      </c>
      <c r="H1145" s="62">
        <f t="shared" si="74"/>
        <v>0.99151583710407243</v>
      </c>
      <c r="I1145" s="24"/>
      <c r="J1145" s="24">
        <v>14</v>
      </c>
      <c r="K1145" s="24"/>
      <c r="L1145" s="24">
        <v>1</v>
      </c>
      <c r="M1145" s="31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  <c r="AA1145" s="24"/>
      <c r="AB1145" s="24"/>
      <c r="AC1145" s="24"/>
      <c r="AD1145" s="24"/>
      <c r="AE1145" s="24"/>
      <c r="AF1145" s="24"/>
      <c r="AG1145" s="24"/>
      <c r="AH1145" s="24"/>
      <c r="AI1145" s="24"/>
      <c r="AJ1145" s="24"/>
      <c r="AK1145" s="24"/>
      <c r="AL1145" s="24"/>
      <c r="AM1145" s="24"/>
      <c r="AN1145" s="24"/>
      <c r="AO1145" s="24"/>
      <c r="AP1145" s="24"/>
      <c r="AQ1145" s="24"/>
      <c r="AR1145" s="24"/>
      <c r="AS1145" s="24"/>
      <c r="AT1145" s="24"/>
      <c r="AU1145" s="24"/>
      <c r="AV1145" s="24"/>
      <c r="AW1145" s="24"/>
      <c r="AX1145" s="24"/>
      <c r="AY1145" s="24"/>
      <c r="AZ1145" s="24"/>
      <c r="BA1145" s="57"/>
      <c r="BB1145" s="24"/>
      <c r="BC1145" s="24"/>
      <c r="BD1145" s="24"/>
      <c r="BE1145" s="24"/>
      <c r="BF1145" s="24"/>
    </row>
    <row r="1146" spans="1:58" x14ac:dyDescent="0.25">
      <c r="A1146" s="30" t="s">
        <v>17</v>
      </c>
      <c r="B1146" s="25">
        <v>46206</v>
      </c>
      <c r="C1146" s="26">
        <f t="shared" si="71"/>
        <v>27</v>
      </c>
      <c r="D1146" s="27">
        <f>1412</f>
        <v>1412</v>
      </c>
      <c r="E1146" s="24">
        <f>[1]DETAY!$A$2</f>
        <v>0</v>
      </c>
      <c r="F1146" s="23">
        <f t="shared" si="72"/>
        <v>1402</v>
      </c>
      <c r="G1146" s="7">
        <f t="shared" si="73"/>
        <v>10</v>
      </c>
      <c r="H1146" s="62">
        <f t="shared" si="74"/>
        <v>0.99291784702549579</v>
      </c>
      <c r="I1146" s="24"/>
      <c r="J1146" s="24">
        <v>8</v>
      </c>
      <c r="K1146" s="24">
        <v>2</v>
      </c>
      <c r="L1146" s="24"/>
      <c r="M1146" s="31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  <c r="AA1146" s="24"/>
      <c r="AB1146" s="24"/>
      <c r="AC1146" s="24"/>
      <c r="AD1146" s="24"/>
      <c r="AE1146" s="24"/>
      <c r="AF1146" s="24"/>
      <c r="AG1146" s="24"/>
      <c r="AH1146" s="24"/>
      <c r="AI1146" s="24"/>
      <c r="AJ1146" s="24"/>
      <c r="AK1146" s="24"/>
      <c r="AL1146" s="24"/>
      <c r="AM1146" s="24"/>
      <c r="AN1146" s="24"/>
      <c r="AO1146" s="24"/>
      <c r="AP1146" s="24"/>
      <c r="AQ1146" s="24"/>
      <c r="AR1146" s="24"/>
      <c r="AS1146" s="24"/>
      <c r="AT1146" s="24"/>
      <c r="AU1146" s="24"/>
      <c r="AV1146" s="24"/>
      <c r="AW1146" s="24"/>
      <c r="AX1146" s="24"/>
      <c r="AY1146" s="24"/>
      <c r="AZ1146" s="24"/>
      <c r="BA1146" s="57"/>
      <c r="BB1146" s="24"/>
      <c r="BC1146" s="24"/>
      <c r="BD1146" s="24"/>
      <c r="BE1146" s="24"/>
      <c r="BF1146" s="24"/>
    </row>
    <row r="1147" spans="1:58" x14ac:dyDescent="0.25">
      <c r="A1147" s="30" t="s">
        <v>16</v>
      </c>
      <c r="B1147" s="25">
        <v>46206</v>
      </c>
      <c r="C1147" s="26">
        <f t="shared" si="71"/>
        <v>27</v>
      </c>
      <c r="D1147" s="27">
        <f>1087+1725</f>
        <v>2812</v>
      </c>
      <c r="E1147" s="24">
        <f>[1]DETAY!$A$2</f>
        <v>0</v>
      </c>
      <c r="F1147" s="23">
        <f t="shared" si="72"/>
        <v>2730</v>
      </c>
      <c r="G1147" s="7">
        <f t="shared" si="73"/>
        <v>82</v>
      </c>
      <c r="H1147" s="62">
        <f t="shared" si="74"/>
        <v>0.97083926031294454</v>
      </c>
      <c r="I1147" s="24"/>
      <c r="J1147" s="24"/>
      <c r="K1147" s="24">
        <v>12</v>
      </c>
      <c r="L1147" s="24">
        <v>11</v>
      </c>
      <c r="M1147" s="31"/>
      <c r="N1147" s="24"/>
      <c r="O1147" s="24"/>
      <c r="P1147" s="24"/>
      <c r="Q1147" s="24">
        <v>16</v>
      </c>
      <c r="R1147" s="24"/>
      <c r="S1147" s="24"/>
      <c r="T1147" s="24"/>
      <c r="U1147" s="24"/>
      <c r="V1147" s="24"/>
      <c r="W1147" s="24"/>
      <c r="X1147" s="24"/>
      <c r="Y1147" s="24"/>
      <c r="Z1147" s="24"/>
      <c r="AA1147" s="24"/>
      <c r="AB1147" s="24"/>
      <c r="AC1147" s="24"/>
      <c r="AD1147" s="24"/>
      <c r="AE1147" s="24">
        <v>1</v>
      </c>
      <c r="AF1147" s="24"/>
      <c r="AG1147" s="24">
        <v>2</v>
      </c>
      <c r="AH1147" s="24"/>
      <c r="AI1147" s="24">
        <v>16</v>
      </c>
      <c r="AJ1147" s="24">
        <v>24</v>
      </c>
      <c r="AK1147" s="24"/>
      <c r="AL1147" s="24"/>
      <c r="AM1147" s="24"/>
      <c r="AN1147" s="24"/>
      <c r="AO1147" s="24"/>
      <c r="AP1147" s="24"/>
      <c r="AQ1147" s="24"/>
      <c r="AR1147" s="24"/>
      <c r="AS1147" s="24"/>
      <c r="AT1147" s="24"/>
      <c r="AU1147" s="24"/>
      <c r="AV1147" s="24"/>
      <c r="AW1147" s="24"/>
      <c r="AX1147" s="24"/>
      <c r="AY1147" s="24"/>
      <c r="AZ1147" s="24"/>
      <c r="BA1147" s="57"/>
      <c r="BB1147" s="24"/>
      <c r="BC1147" s="24"/>
      <c r="BD1147" s="24"/>
      <c r="BE1147" s="24"/>
      <c r="BF1147" s="24"/>
    </row>
    <row r="1148" spans="1:58" x14ac:dyDescent="0.25">
      <c r="A1148" s="30" t="s">
        <v>8</v>
      </c>
      <c r="B1148" s="25">
        <v>46206</v>
      </c>
      <c r="C1148" s="26">
        <f t="shared" si="71"/>
        <v>27</v>
      </c>
      <c r="D1148" s="27">
        <f>155+600</f>
        <v>755</v>
      </c>
      <c r="E1148" s="24">
        <f>[1]DETAY!$A$2</f>
        <v>0</v>
      </c>
      <c r="F1148" s="23">
        <f t="shared" si="72"/>
        <v>750</v>
      </c>
      <c r="G1148" s="7">
        <f t="shared" si="73"/>
        <v>5</v>
      </c>
      <c r="H1148" s="62">
        <f t="shared" si="74"/>
        <v>0.99337748344370858</v>
      </c>
      <c r="I1148" s="24"/>
      <c r="J1148" s="24"/>
      <c r="K1148" s="24"/>
      <c r="L1148" s="24"/>
      <c r="M1148" s="31"/>
      <c r="N1148" s="24">
        <v>5</v>
      </c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  <c r="AA1148" s="24"/>
      <c r="AB1148" s="24"/>
      <c r="AC1148" s="24"/>
      <c r="AD1148" s="24"/>
      <c r="AE1148" s="24"/>
      <c r="AF1148" s="24"/>
      <c r="AG1148" s="24"/>
      <c r="AH1148" s="24"/>
      <c r="AI1148" s="24"/>
      <c r="AJ1148" s="24"/>
      <c r="AK1148" s="24"/>
      <c r="AL1148" s="24"/>
      <c r="AM1148" s="24"/>
      <c r="AN1148" s="24"/>
      <c r="AO1148" s="24"/>
      <c r="AP1148" s="24"/>
      <c r="AQ1148" s="24"/>
      <c r="AR1148" s="24"/>
      <c r="AS1148" s="24"/>
      <c r="AT1148" s="24"/>
      <c r="AU1148" s="24"/>
      <c r="AV1148" s="24"/>
      <c r="AW1148" s="24"/>
      <c r="AX1148" s="24"/>
      <c r="AY1148" s="24"/>
      <c r="AZ1148" s="24"/>
      <c r="BA1148" s="57"/>
      <c r="BB1148" s="24"/>
      <c r="BC1148" s="24"/>
      <c r="BD1148" s="24"/>
      <c r="BE1148" s="24"/>
      <c r="BF1148" s="24"/>
    </row>
    <row r="1149" spans="1:58" x14ac:dyDescent="0.25">
      <c r="A1149" s="30" t="s">
        <v>15</v>
      </c>
      <c r="B1149" s="25">
        <v>46206</v>
      </c>
      <c r="C1149" s="26">
        <f t="shared" si="71"/>
        <v>27</v>
      </c>
      <c r="D1149" s="27">
        <f>440+440</f>
        <v>880</v>
      </c>
      <c r="E1149" s="24">
        <f>[1]DETAY!$A$2</f>
        <v>0</v>
      </c>
      <c r="F1149" s="23">
        <f t="shared" si="72"/>
        <v>880</v>
      </c>
      <c r="G1149" s="7">
        <f t="shared" si="73"/>
        <v>0</v>
      </c>
      <c r="H1149" s="62">
        <f t="shared" si="74"/>
        <v>1</v>
      </c>
      <c r="I1149" s="24"/>
      <c r="J1149" s="24"/>
      <c r="K1149" s="24"/>
      <c r="L1149" s="24"/>
      <c r="M1149" s="31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  <c r="AA1149" s="24"/>
      <c r="AB1149" s="24"/>
      <c r="AC1149" s="24"/>
      <c r="AD1149" s="24"/>
      <c r="AE1149" s="24"/>
      <c r="AF1149" s="24"/>
      <c r="AG1149" s="24"/>
      <c r="AH1149" s="24"/>
      <c r="AI1149" s="24"/>
      <c r="AJ1149" s="24"/>
      <c r="AK1149" s="24"/>
      <c r="AL1149" s="24"/>
      <c r="AM1149" s="24"/>
      <c r="AN1149" s="24"/>
      <c r="AO1149" s="24"/>
      <c r="AP1149" s="24"/>
      <c r="AQ1149" s="24"/>
      <c r="AR1149" s="24"/>
      <c r="AS1149" s="24"/>
      <c r="AT1149" s="24"/>
      <c r="AU1149" s="24"/>
      <c r="AV1149" s="24"/>
      <c r="AW1149" s="24"/>
      <c r="AX1149" s="24"/>
      <c r="AY1149" s="24"/>
      <c r="AZ1149" s="24"/>
      <c r="BA1149" s="57"/>
      <c r="BB1149" s="24"/>
      <c r="BC1149" s="24"/>
      <c r="BD1149" s="24"/>
      <c r="BE1149" s="24"/>
      <c r="BF1149" s="24"/>
    </row>
    <row r="1150" spans="1:58" x14ac:dyDescent="0.25">
      <c r="A1150" s="30" t="s">
        <v>13</v>
      </c>
      <c r="B1150" s="25">
        <v>46206</v>
      </c>
      <c r="C1150" s="26">
        <f t="shared" si="71"/>
        <v>27</v>
      </c>
      <c r="D1150" s="27">
        <f>480+600</f>
        <v>1080</v>
      </c>
      <c r="E1150" s="24">
        <f>[1]DETAY!$A$2</f>
        <v>0</v>
      </c>
      <c r="F1150" s="23">
        <f t="shared" si="72"/>
        <v>1080</v>
      </c>
      <c r="G1150" s="7">
        <f t="shared" si="73"/>
        <v>0</v>
      </c>
      <c r="H1150" s="62">
        <f t="shared" si="74"/>
        <v>1</v>
      </c>
      <c r="I1150" s="24"/>
      <c r="J1150" s="24"/>
      <c r="K1150" s="24"/>
      <c r="L1150" s="24"/>
      <c r="M1150" s="31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  <c r="AA1150" s="24"/>
      <c r="AB1150" s="24"/>
      <c r="AC1150" s="24"/>
      <c r="AD1150" s="24"/>
      <c r="AE1150" s="24"/>
      <c r="AF1150" s="24"/>
      <c r="AG1150" s="24"/>
      <c r="AH1150" s="24"/>
      <c r="AI1150" s="24"/>
      <c r="AJ1150" s="24"/>
      <c r="AK1150" s="24"/>
      <c r="AL1150" s="24"/>
      <c r="AM1150" s="24"/>
      <c r="AN1150" s="24"/>
      <c r="AO1150" s="24"/>
      <c r="AP1150" s="24"/>
      <c r="AQ1150" s="24"/>
      <c r="AR1150" s="24"/>
      <c r="AS1150" s="24"/>
      <c r="AT1150" s="24"/>
      <c r="AU1150" s="24"/>
      <c r="AV1150" s="24"/>
      <c r="AW1150" s="24"/>
      <c r="AX1150" s="24"/>
      <c r="AY1150" s="24"/>
      <c r="AZ1150" s="24"/>
      <c r="BA1150" s="57"/>
      <c r="BB1150" s="24"/>
      <c r="BC1150" s="24"/>
      <c r="BD1150" s="24"/>
      <c r="BE1150" s="24"/>
      <c r="BF1150" s="24"/>
    </row>
    <row r="1151" spans="1:58" x14ac:dyDescent="0.25">
      <c r="A1151" s="30" t="s">
        <v>10</v>
      </c>
      <c r="B1151" s="25">
        <v>46206</v>
      </c>
      <c r="C1151" s="26">
        <f t="shared" si="71"/>
        <v>27</v>
      </c>
      <c r="D1151" s="27">
        <f>370+721+362</f>
        <v>1453</v>
      </c>
      <c r="E1151" s="24">
        <f>[1]DETAY!$A$2</f>
        <v>0</v>
      </c>
      <c r="F1151" s="23">
        <f t="shared" si="72"/>
        <v>1441</v>
      </c>
      <c r="G1151" s="7">
        <f t="shared" si="73"/>
        <v>12</v>
      </c>
      <c r="H1151" s="62">
        <f t="shared" si="74"/>
        <v>0.99174122505161733</v>
      </c>
      <c r="I1151" s="24"/>
      <c r="J1151" s="24"/>
      <c r="K1151" s="24"/>
      <c r="L1151" s="24"/>
      <c r="M1151" s="31">
        <v>9</v>
      </c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>
        <v>3</v>
      </c>
      <c r="AA1151" s="24"/>
      <c r="AB1151" s="24"/>
      <c r="AC1151" s="24"/>
      <c r="AD1151" s="24"/>
      <c r="AE1151" s="24"/>
      <c r="AF1151" s="24"/>
      <c r="AG1151" s="24"/>
      <c r="AH1151" s="24"/>
      <c r="AI1151" s="24"/>
      <c r="AJ1151" s="24"/>
      <c r="AK1151" s="24"/>
      <c r="AL1151" s="24"/>
      <c r="AM1151" s="24"/>
      <c r="AN1151" s="24"/>
      <c r="AO1151" s="24"/>
      <c r="AP1151" s="24"/>
      <c r="AQ1151" s="24"/>
      <c r="AR1151" s="24"/>
      <c r="AS1151" s="24"/>
      <c r="AT1151" s="24"/>
      <c r="AU1151" s="24"/>
      <c r="AV1151" s="24"/>
      <c r="AW1151" s="24"/>
      <c r="AX1151" s="24"/>
      <c r="AY1151" s="24"/>
      <c r="AZ1151" s="24"/>
      <c r="BA1151" s="57"/>
      <c r="BB1151" s="24"/>
      <c r="BC1151" s="24"/>
      <c r="BD1151" s="24"/>
      <c r="BE1151" s="24"/>
      <c r="BF1151" s="24"/>
    </row>
    <row r="1152" spans="1:58" x14ac:dyDescent="0.25">
      <c r="A1152" s="30" t="s">
        <v>9</v>
      </c>
      <c r="B1152" s="25">
        <v>46206</v>
      </c>
      <c r="C1152" s="26">
        <f t="shared" si="71"/>
        <v>27</v>
      </c>
      <c r="D1152" s="27">
        <f>307+725+385</f>
        <v>1417</v>
      </c>
      <c r="E1152" s="24">
        <f>[1]DETAY!$A$2</f>
        <v>0</v>
      </c>
      <c r="F1152" s="23">
        <f t="shared" si="72"/>
        <v>1402</v>
      </c>
      <c r="G1152" s="7">
        <f t="shared" si="73"/>
        <v>15</v>
      </c>
      <c r="H1152" s="62">
        <f t="shared" si="74"/>
        <v>0.9894142554693014</v>
      </c>
      <c r="I1152" s="24"/>
      <c r="J1152" s="24"/>
      <c r="K1152" s="24"/>
      <c r="L1152" s="24"/>
      <c r="M1152" s="31">
        <v>14</v>
      </c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  <c r="AA1152" s="24"/>
      <c r="AB1152" s="24"/>
      <c r="AC1152" s="24"/>
      <c r="AD1152" s="24"/>
      <c r="AE1152" s="24"/>
      <c r="AF1152" s="24"/>
      <c r="AG1152" s="24"/>
      <c r="AH1152" s="24"/>
      <c r="AI1152" s="24"/>
      <c r="AJ1152" s="24"/>
      <c r="AK1152" s="24"/>
      <c r="AL1152" s="24"/>
      <c r="AM1152" s="24"/>
      <c r="AN1152" s="24"/>
      <c r="AO1152" s="24"/>
      <c r="AP1152" s="24"/>
      <c r="AQ1152" s="24"/>
      <c r="AR1152" s="24"/>
      <c r="AS1152" s="24"/>
      <c r="AT1152" s="24"/>
      <c r="AU1152" s="24"/>
      <c r="AV1152" s="24"/>
      <c r="AW1152" s="24"/>
      <c r="AX1152" s="24"/>
      <c r="AY1152" s="24">
        <v>1</v>
      </c>
      <c r="AZ1152" s="24"/>
      <c r="BA1152" s="57"/>
      <c r="BB1152" s="24"/>
      <c r="BC1152" s="24"/>
      <c r="BD1152" s="24"/>
      <c r="BE1152" s="24"/>
      <c r="BF1152" s="24"/>
    </row>
    <row r="1153" spans="1:58" x14ac:dyDescent="0.25">
      <c r="A1153" s="30" t="s">
        <v>8</v>
      </c>
      <c r="B1153" s="25">
        <v>46206</v>
      </c>
      <c r="C1153" s="26">
        <f t="shared" si="71"/>
        <v>27</v>
      </c>
      <c r="D1153" s="27"/>
      <c r="E1153" s="24">
        <f>[1]DETAY!$A$2</f>
        <v>0</v>
      </c>
      <c r="F1153" s="23">
        <f t="shared" si="72"/>
        <v>0</v>
      </c>
      <c r="G1153" s="7">
        <f t="shared" si="73"/>
        <v>0</v>
      </c>
      <c r="H1153" s="62" t="e">
        <f t="shared" si="74"/>
        <v>#DIV/0!</v>
      </c>
      <c r="I1153" s="24"/>
      <c r="J1153" s="24"/>
      <c r="K1153" s="24"/>
      <c r="L1153" s="24"/>
      <c r="M1153" s="31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  <c r="AA1153" s="24"/>
      <c r="AB1153" s="24"/>
      <c r="AC1153" s="24"/>
      <c r="AD1153" s="24"/>
      <c r="AE1153" s="24"/>
      <c r="AF1153" s="24"/>
      <c r="AG1153" s="24"/>
      <c r="AH1153" s="24"/>
      <c r="AI1153" s="24"/>
      <c r="AJ1153" s="24"/>
      <c r="AK1153" s="24"/>
      <c r="AL1153" s="24"/>
      <c r="AM1153" s="24"/>
      <c r="AN1153" s="24"/>
      <c r="AO1153" s="24"/>
      <c r="AP1153" s="24"/>
      <c r="AQ1153" s="24"/>
      <c r="AR1153" s="24"/>
      <c r="AS1153" s="24"/>
      <c r="AT1153" s="24"/>
      <c r="AU1153" s="24"/>
      <c r="AV1153" s="24"/>
      <c r="AW1153" s="24"/>
      <c r="AX1153" s="24"/>
      <c r="AY1153" s="24"/>
      <c r="AZ1153" s="24"/>
      <c r="BA1153" s="57"/>
      <c r="BB1153" s="24"/>
      <c r="BC1153" s="24"/>
      <c r="BD1153" s="24"/>
      <c r="BE1153" s="24"/>
      <c r="BF1153" s="24"/>
    </row>
    <row r="1154" spans="1:58" x14ac:dyDescent="0.25">
      <c r="A1154" s="30" t="s">
        <v>7</v>
      </c>
      <c r="B1154" s="25">
        <v>46206</v>
      </c>
      <c r="C1154" s="26">
        <f t="shared" si="71"/>
        <v>27</v>
      </c>
      <c r="D1154" s="27">
        <f>256</f>
        <v>256</v>
      </c>
      <c r="E1154" s="24">
        <f>[1]DETAY!$A$2</f>
        <v>0</v>
      </c>
      <c r="F1154" s="23">
        <f t="shared" si="72"/>
        <v>256</v>
      </c>
      <c r="G1154" s="7">
        <f t="shared" si="73"/>
        <v>0</v>
      </c>
      <c r="H1154" s="62">
        <f t="shared" si="74"/>
        <v>1</v>
      </c>
      <c r="I1154" s="24"/>
      <c r="J1154" s="24"/>
      <c r="K1154" s="24"/>
      <c r="L1154" s="24"/>
      <c r="M1154" s="31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  <c r="AA1154" s="24"/>
      <c r="AB1154" s="24"/>
      <c r="AC1154" s="24"/>
      <c r="AD1154" s="24"/>
      <c r="AE1154" s="24"/>
      <c r="AF1154" s="24"/>
      <c r="AG1154" s="24"/>
      <c r="AH1154" s="24"/>
      <c r="AI1154" s="24"/>
      <c r="AJ1154" s="24"/>
      <c r="AK1154" s="24"/>
      <c r="AL1154" s="24"/>
      <c r="AM1154" s="24"/>
      <c r="AN1154" s="24"/>
      <c r="AO1154" s="24"/>
      <c r="AP1154" s="24"/>
      <c r="AQ1154" s="24"/>
      <c r="AR1154" s="24"/>
      <c r="AS1154" s="24"/>
      <c r="AT1154" s="24"/>
      <c r="AU1154" s="24"/>
      <c r="AV1154" s="24"/>
      <c r="AW1154" s="24"/>
      <c r="AX1154" s="24"/>
      <c r="AY1154" s="24"/>
      <c r="AZ1154" s="24"/>
      <c r="BA1154" s="57"/>
      <c r="BB1154" s="24"/>
      <c r="BC1154" s="24"/>
      <c r="BD1154" s="24"/>
      <c r="BE1154" s="24"/>
      <c r="BF1154" s="24"/>
    </row>
    <row r="1155" spans="1:58" x14ac:dyDescent="0.25">
      <c r="A1155" s="30" t="s">
        <v>6</v>
      </c>
      <c r="B1155" s="25">
        <v>46206</v>
      </c>
      <c r="C1155" s="26">
        <f t="shared" si="71"/>
        <v>27</v>
      </c>
      <c r="D1155" s="27">
        <f>283+154</f>
        <v>437</v>
      </c>
      <c r="E1155" s="24">
        <f>[1]DETAY!$A$2</f>
        <v>0</v>
      </c>
      <c r="F1155" s="23">
        <f t="shared" si="72"/>
        <v>434</v>
      </c>
      <c r="G1155" s="7">
        <f t="shared" si="73"/>
        <v>3</v>
      </c>
      <c r="H1155" s="62">
        <f t="shared" si="74"/>
        <v>0.99313501144164762</v>
      </c>
      <c r="I1155" s="24"/>
      <c r="J1155" s="24"/>
      <c r="K1155" s="24"/>
      <c r="L1155" s="24"/>
      <c r="M1155" s="31"/>
      <c r="N1155" s="24">
        <v>3</v>
      </c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  <c r="AA1155" s="24"/>
      <c r="AB1155" s="24"/>
      <c r="AC1155" s="24"/>
      <c r="AD1155" s="24"/>
      <c r="AE1155" s="24"/>
      <c r="AF1155" s="24"/>
      <c r="AG1155" s="24"/>
      <c r="AH1155" s="24"/>
      <c r="AI1155" s="24"/>
      <c r="AJ1155" s="24"/>
      <c r="AK1155" s="24"/>
      <c r="AL1155" s="24"/>
      <c r="AM1155" s="24"/>
      <c r="AN1155" s="24"/>
      <c r="AO1155" s="24"/>
      <c r="AP1155" s="24"/>
      <c r="AQ1155" s="24"/>
      <c r="AR1155" s="24"/>
      <c r="AS1155" s="24"/>
      <c r="AT1155" s="24"/>
      <c r="AU1155" s="24"/>
      <c r="AV1155" s="24"/>
      <c r="AW1155" s="24"/>
      <c r="AX1155" s="24"/>
      <c r="AY1155" s="24"/>
      <c r="AZ1155" s="24"/>
      <c r="BA1155" s="57"/>
      <c r="BB1155" s="24"/>
      <c r="BC1155" s="24"/>
      <c r="BD1155" s="24"/>
      <c r="BE1155" s="24"/>
      <c r="BF1155" s="24"/>
    </row>
    <row r="1156" spans="1:58" x14ac:dyDescent="0.25">
      <c r="A1156" s="30" t="s">
        <v>5</v>
      </c>
      <c r="B1156" s="25">
        <v>46206</v>
      </c>
      <c r="C1156" s="26">
        <f t="shared" si="71"/>
        <v>27</v>
      </c>
      <c r="D1156" s="27">
        <f>308</f>
        <v>308</v>
      </c>
      <c r="E1156" s="24">
        <f>[1]DETAY!$A$2</f>
        <v>0</v>
      </c>
      <c r="F1156" s="23">
        <f t="shared" si="72"/>
        <v>308</v>
      </c>
      <c r="G1156" s="7">
        <f t="shared" si="73"/>
        <v>0</v>
      </c>
      <c r="H1156" s="62">
        <f t="shared" si="74"/>
        <v>1</v>
      </c>
      <c r="I1156" s="24"/>
      <c r="J1156" s="24"/>
      <c r="K1156" s="24"/>
      <c r="L1156" s="24"/>
      <c r="M1156" s="31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  <c r="AA1156" s="24"/>
      <c r="AB1156" s="24"/>
      <c r="AC1156" s="24"/>
      <c r="AD1156" s="24"/>
      <c r="AE1156" s="24"/>
      <c r="AF1156" s="24"/>
      <c r="AG1156" s="24"/>
      <c r="AH1156" s="24"/>
      <c r="AI1156" s="24"/>
      <c r="AJ1156" s="24"/>
      <c r="AK1156" s="24"/>
      <c r="AL1156" s="24"/>
      <c r="AM1156" s="24"/>
      <c r="AN1156" s="24"/>
      <c r="AO1156" s="24"/>
      <c r="AP1156" s="24"/>
      <c r="AQ1156" s="24"/>
      <c r="AR1156" s="24"/>
      <c r="AS1156" s="24"/>
      <c r="AT1156" s="24"/>
      <c r="AU1156" s="24"/>
      <c r="AV1156" s="24"/>
      <c r="AW1156" s="24"/>
      <c r="AX1156" s="24"/>
      <c r="AY1156" s="24"/>
      <c r="AZ1156" s="24"/>
      <c r="BA1156" s="57"/>
      <c r="BB1156" s="24"/>
      <c r="BC1156" s="24"/>
      <c r="BD1156" s="24"/>
      <c r="BE1156" s="24"/>
      <c r="BF1156" s="24"/>
    </row>
    <row r="1157" spans="1:58" x14ac:dyDescent="0.25">
      <c r="A1157" s="30" t="s">
        <v>4</v>
      </c>
      <c r="B1157" s="25">
        <v>46206</v>
      </c>
      <c r="C1157" s="26">
        <f t="shared" si="71"/>
        <v>27</v>
      </c>
      <c r="D1157" s="27">
        <f>77+153+308</f>
        <v>538</v>
      </c>
      <c r="E1157" s="24">
        <f>[1]DETAY!$A$2</f>
        <v>0</v>
      </c>
      <c r="F1157" s="23">
        <f t="shared" si="72"/>
        <v>536</v>
      </c>
      <c r="G1157" s="7">
        <f>SUBTOTAL(9,I1157:BD1157)</f>
        <v>2</v>
      </c>
      <c r="H1157" s="62">
        <f t="shared" si="74"/>
        <v>0.99628252788104088</v>
      </c>
      <c r="I1157" s="24"/>
      <c r="J1157" s="24"/>
      <c r="K1157" s="24"/>
      <c r="L1157" s="24"/>
      <c r="M1157" s="31">
        <v>2</v>
      </c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  <c r="AA1157" s="24"/>
      <c r="AB1157" s="24"/>
      <c r="AC1157" s="24"/>
      <c r="AD1157" s="24"/>
      <c r="AE1157" s="24"/>
      <c r="AF1157" s="24"/>
      <c r="AG1157" s="24"/>
      <c r="AH1157" s="24"/>
      <c r="AI1157" s="24"/>
      <c r="AJ1157" s="24"/>
      <c r="AK1157" s="24"/>
      <c r="AL1157" s="24"/>
      <c r="AM1157" s="24"/>
      <c r="AN1157" s="24"/>
      <c r="AO1157" s="24"/>
      <c r="AP1157" s="24"/>
      <c r="AQ1157" s="24"/>
      <c r="AR1157" s="24"/>
      <c r="AS1157" s="24"/>
      <c r="AT1157" s="24"/>
      <c r="AU1157" s="24"/>
      <c r="AV1157" s="24"/>
      <c r="AW1157" s="24"/>
      <c r="AX1157" s="24"/>
      <c r="AY1157" s="24"/>
      <c r="AZ1157" s="24"/>
      <c r="BA1157" s="57"/>
      <c r="BB1157" s="24"/>
      <c r="BC1157" s="24"/>
      <c r="BD1157" s="24"/>
      <c r="BE1157" s="24"/>
      <c r="BF1157" s="24"/>
    </row>
    <row r="1158" spans="1:58" x14ac:dyDescent="0.25">
      <c r="A1158" s="30" t="s">
        <v>3</v>
      </c>
      <c r="B1158" s="25">
        <v>46206</v>
      </c>
      <c r="C1158" s="26">
        <f t="shared" si="71"/>
        <v>27</v>
      </c>
      <c r="D1158" s="27">
        <f>77+200</f>
        <v>277</v>
      </c>
      <c r="E1158" s="24">
        <f>[1]DETAY!$A$2</f>
        <v>0</v>
      </c>
      <c r="F1158" s="23">
        <f t="shared" si="72"/>
        <v>277</v>
      </c>
      <c r="G1158" s="7">
        <f>SUBTOTAL(9,I1158:BD1158)</f>
        <v>0</v>
      </c>
      <c r="H1158" s="62">
        <f t="shared" si="74"/>
        <v>1</v>
      </c>
      <c r="I1158" s="24"/>
      <c r="J1158" s="24"/>
      <c r="K1158" s="24"/>
      <c r="L1158" s="24"/>
      <c r="M1158" s="31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  <c r="AA1158" s="24"/>
      <c r="AB1158" s="24"/>
      <c r="AC1158" s="24"/>
      <c r="AD1158" s="24"/>
      <c r="AE1158" s="24"/>
      <c r="AF1158" s="24"/>
      <c r="AG1158" s="24"/>
      <c r="AH1158" s="24"/>
      <c r="AI1158" s="24"/>
      <c r="AJ1158" s="24"/>
      <c r="AK1158" s="24"/>
      <c r="AL1158" s="24"/>
      <c r="AM1158" s="24"/>
      <c r="AN1158" s="24"/>
      <c r="AO1158" s="24"/>
      <c r="AP1158" s="24"/>
      <c r="AQ1158" s="24"/>
      <c r="AR1158" s="24"/>
      <c r="AS1158" s="24"/>
      <c r="AT1158" s="24"/>
      <c r="AU1158" s="24"/>
      <c r="AV1158" s="24"/>
      <c r="AW1158" s="24"/>
      <c r="AX1158" s="24"/>
      <c r="AY1158" s="24"/>
      <c r="AZ1158" s="24"/>
      <c r="BA1158" s="57"/>
      <c r="BB1158" s="24"/>
      <c r="BC1158" s="24"/>
      <c r="BD1158" s="24"/>
      <c r="BE1158" s="24"/>
      <c r="BF1158" s="24"/>
    </row>
    <row r="1159" spans="1:58" x14ac:dyDescent="0.25">
      <c r="A1159" s="30" t="s">
        <v>1</v>
      </c>
      <c r="B1159" s="25">
        <v>46206</v>
      </c>
      <c r="C1159" s="26">
        <f t="shared" si="71"/>
        <v>27</v>
      </c>
      <c r="D1159" s="27">
        <f>370+205</f>
        <v>575</v>
      </c>
      <c r="E1159" s="24">
        <f>[1]DETAY!$A$2</f>
        <v>0</v>
      </c>
      <c r="F1159" s="23">
        <f t="shared" si="72"/>
        <v>538</v>
      </c>
      <c r="G1159" s="7">
        <f>SUBTOTAL(9,I1159:BE1159)</f>
        <v>37</v>
      </c>
      <c r="H1159" s="62">
        <f t="shared" si="74"/>
        <v>0.93565217391304345</v>
      </c>
      <c r="I1159" s="24"/>
      <c r="J1159" s="24"/>
      <c r="K1159" s="24"/>
      <c r="L1159" s="24"/>
      <c r="M1159" s="31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  <c r="AA1159" s="24"/>
      <c r="AB1159" s="24"/>
      <c r="AC1159" s="24"/>
      <c r="AD1159" s="24"/>
      <c r="AE1159" s="24"/>
      <c r="AF1159" s="24"/>
      <c r="AG1159" s="24"/>
      <c r="AH1159" s="24"/>
      <c r="AI1159" s="24"/>
      <c r="AJ1159" s="24"/>
      <c r="AK1159" s="24"/>
      <c r="AL1159" s="24"/>
      <c r="AM1159" s="24"/>
      <c r="AN1159" s="24"/>
      <c r="AO1159" s="24"/>
      <c r="AP1159" s="24"/>
      <c r="AQ1159" s="24"/>
      <c r="AR1159" s="24"/>
      <c r="AS1159" s="24"/>
      <c r="AT1159" s="24">
        <v>37</v>
      </c>
      <c r="AU1159" s="24"/>
      <c r="AV1159" s="24"/>
      <c r="AW1159" s="24"/>
      <c r="AX1159" s="24"/>
      <c r="AY1159" s="24"/>
      <c r="AZ1159" s="24"/>
      <c r="BA1159" s="57"/>
      <c r="BB1159" s="24"/>
      <c r="BC1159" s="24"/>
      <c r="BD1159" s="24"/>
      <c r="BE1159" s="24"/>
      <c r="BF1159" s="24"/>
    </row>
    <row r="1160" spans="1:58" ht="15.75" thickBot="1" x14ac:dyDescent="0.3">
      <c r="A1160" s="63" t="s">
        <v>0</v>
      </c>
      <c r="B1160" s="64">
        <v>46206</v>
      </c>
      <c r="C1160" s="65">
        <f t="shared" si="71"/>
        <v>27</v>
      </c>
      <c r="D1160" s="66">
        <f>315+41</f>
        <v>356</v>
      </c>
      <c r="E1160" s="67">
        <f>[1]DETAY!$A$2</f>
        <v>0</v>
      </c>
      <c r="F1160" s="45">
        <f t="shared" si="72"/>
        <v>279</v>
      </c>
      <c r="G1160" s="46">
        <f>SUBTOTAL(9,I1160:BE1160)</f>
        <v>77</v>
      </c>
      <c r="H1160" s="62">
        <f t="shared" si="74"/>
        <v>0.7837078651685393</v>
      </c>
      <c r="I1160" s="67"/>
      <c r="J1160" s="67"/>
      <c r="K1160" s="67"/>
      <c r="L1160" s="67"/>
      <c r="M1160" s="68"/>
      <c r="N1160" s="67"/>
      <c r="O1160" s="67"/>
      <c r="P1160" s="67"/>
      <c r="Q1160" s="67"/>
      <c r="R1160" s="67"/>
      <c r="S1160" s="67"/>
      <c r="T1160" s="67"/>
      <c r="U1160" s="67"/>
      <c r="V1160" s="67"/>
      <c r="W1160" s="67"/>
      <c r="X1160" s="67"/>
      <c r="Y1160" s="67"/>
      <c r="Z1160" s="67"/>
      <c r="AA1160" s="67"/>
      <c r="AB1160" s="67"/>
      <c r="AC1160" s="67"/>
      <c r="AD1160" s="67"/>
      <c r="AE1160" s="67"/>
      <c r="AF1160" s="67"/>
      <c r="AG1160" s="67"/>
      <c r="AH1160" s="67"/>
      <c r="AI1160" s="67"/>
      <c r="AJ1160" s="67"/>
      <c r="AK1160" s="67"/>
      <c r="AL1160" s="67"/>
      <c r="AM1160" s="67"/>
      <c r="AN1160" s="67"/>
      <c r="AO1160" s="67"/>
      <c r="AP1160" s="67"/>
      <c r="AQ1160" s="67"/>
      <c r="AR1160" s="67"/>
      <c r="AS1160" s="67"/>
      <c r="AT1160" s="67">
        <v>77</v>
      </c>
      <c r="AU1160" s="67"/>
      <c r="AV1160" s="67"/>
      <c r="AW1160" s="67"/>
      <c r="AX1160" s="67"/>
      <c r="AY1160" s="67"/>
      <c r="AZ1160" s="67"/>
      <c r="BA1160" s="57"/>
      <c r="BB1160" s="67"/>
      <c r="BC1160" s="67"/>
      <c r="BD1160" s="67"/>
      <c r="BE1160" s="67"/>
      <c r="BF1160" s="67"/>
    </row>
    <row r="1161" spans="1:58" x14ac:dyDescent="0.25">
      <c r="A1161" s="30" t="s">
        <v>21</v>
      </c>
      <c r="B1161" s="25">
        <v>46207</v>
      </c>
      <c r="C1161" s="26">
        <f t="shared" ref="C1161:C1178" si="75">WEEKNUM(B1161)</f>
        <v>27</v>
      </c>
      <c r="D1161" s="27">
        <f>615+1504</f>
        <v>2119</v>
      </c>
      <c r="E1161" s="24">
        <f>[1]DETAY!$A$2</f>
        <v>0</v>
      </c>
      <c r="F1161" s="23">
        <f t="shared" ref="F1161:F1178" si="76">D1161-G1161</f>
        <v>2100</v>
      </c>
      <c r="G1161" s="7">
        <f t="shared" ref="G1161:G1178" si="77">SUBTOTAL(9,I1161:BE1161)</f>
        <v>19</v>
      </c>
      <c r="H1161" s="62">
        <f t="shared" ref="H1161:H1178" si="78">F1161/D1161</f>
        <v>0.99103350637092968</v>
      </c>
      <c r="I1161" s="24"/>
      <c r="J1161" s="24"/>
      <c r="K1161" s="24">
        <v>2</v>
      </c>
      <c r="L1161" s="24">
        <v>3</v>
      </c>
      <c r="M1161" s="31">
        <v>14</v>
      </c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  <c r="AA1161" s="24"/>
      <c r="AB1161" s="24"/>
      <c r="AC1161" s="24"/>
      <c r="AD1161" s="24"/>
      <c r="AE1161" s="24"/>
      <c r="AF1161" s="24"/>
      <c r="AG1161" s="24"/>
      <c r="AH1161" s="24"/>
      <c r="AI1161" s="24"/>
      <c r="AJ1161" s="24"/>
      <c r="AK1161" s="24"/>
      <c r="AL1161" s="24"/>
      <c r="AM1161" s="24"/>
      <c r="AN1161" s="24"/>
      <c r="AO1161" s="24"/>
      <c r="AP1161" s="24"/>
      <c r="AQ1161" s="24"/>
      <c r="AR1161" s="24"/>
      <c r="AS1161" s="24"/>
      <c r="AT1161" s="24"/>
      <c r="AU1161" s="24"/>
      <c r="AV1161" s="24"/>
      <c r="AW1161" s="24"/>
      <c r="AX1161" s="24"/>
      <c r="AY1161" s="24"/>
      <c r="AZ1161" s="24"/>
      <c r="BA1161" s="57"/>
      <c r="BB1161" s="24"/>
      <c r="BC1161" s="24"/>
      <c r="BD1161" s="24"/>
      <c r="BE1161" s="24"/>
      <c r="BF1161" s="24"/>
    </row>
    <row r="1162" spans="1:58" x14ac:dyDescent="0.25">
      <c r="A1162" s="30" t="s">
        <v>20</v>
      </c>
      <c r="B1162" s="25">
        <v>46207</v>
      </c>
      <c r="C1162" s="26">
        <f t="shared" si="75"/>
        <v>27</v>
      </c>
      <c r="D1162" s="27">
        <f>1822+80</f>
        <v>1902</v>
      </c>
      <c r="E1162" s="24">
        <f>[1]DETAY!$A$2</f>
        <v>0</v>
      </c>
      <c r="F1162" s="23">
        <f t="shared" si="76"/>
        <v>1830</v>
      </c>
      <c r="G1162" s="7">
        <f t="shared" si="77"/>
        <v>72</v>
      </c>
      <c r="H1162" s="62">
        <f t="shared" si="78"/>
        <v>0.96214511041009465</v>
      </c>
      <c r="I1162" s="24"/>
      <c r="J1162" s="24">
        <v>72</v>
      </c>
      <c r="K1162" s="24"/>
      <c r="L1162" s="24"/>
      <c r="M1162" s="31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  <c r="AA1162" s="24"/>
      <c r="AB1162" s="24"/>
      <c r="AC1162" s="24"/>
      <c r="AD1162" s="24"/>
      <c r="AE1162" s="24"/>
      <c r="AF1162" s="24"/>
      <c r="AG1162" s="24"/>
      <c r="AH1162" s="24"/>
      <c r="AI1162" s="24"/>
      <c r="AJ1162" s="24"/>
      <c r="AK1162" s="24"/>
      <c r="AL1162" s="24"/>
      <c r="AM1162" s="24"/>
      <c r="AN1162" s="24"/>
      <c r="AO1162" s="24"/>
      <c r="AP1162" s="24"/>
      <c r="AQ1162" s="24"/>
      <c r="AR1162" s="24"/>
      <c r="AS1162" s="24"/>
      <c r="AT1162" s="24"/>
      <c r="AU1162" s="24"/>
      <c r="AV1162" s="24"/>
      <c r="AW1162" s="24"/>
      <c r="AX1162" s="24"/>
      <c r="AY1162" s="24"/>
      <c r="AZ1162" s="24"/>
      <c r="BA1162" s="57"/>
      <c r="BB1162" s="24"/>
      <c r="BC1162" s="24"/>
      <c r="BD1162" s="24"/>
      <c r="BE1162" s="24"/>
      <c r="BF1162" s="24"/>
    </row>
    <row r="1163" spans="1:58" x14ac:dyDescent="0.25">
      <c r="A1163" s="30" t="s">
        <v>19</v>
      </c>
      <c r="B1163" s="25">
        <v>46207</v>
      </c>
      <c r="C1163" s="26">
        <f t="shared" si="75"/>
        <v>27</v>
      </c>
      <c r="D1163" s="27">
        <f>843</f>
        <v>843</v>
      </c>
      <c r="E1163" s="24">
        <f>[1]DETAY!$A$2</f>
        <v>0</v>
      </c>
      <c r="F1163" s="23">
        <f t="shared" si="76"/>
        <v>800</v>
      </c>
      <c r="G1163" s="7">
        <f t="shared" si="77"/>
        <v>43</v>
      </c>
      <c r="H1163" s="62">
        <f t="shared" si="78"/>
        <v>0.94899169632265723</v>
      </c>
      <c r="I1163" s="24"/>
      <c r="J1163" s="24">
        <v>43</v>
      </c>
      <c r="K1163" s="24"/>
      <c r="L1163" s="24"/>
      <c r="M1163" s="31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  <c r="AA1163" s="24"/>
      <c r="AB1163" s="24"/>
      <c r="AC1163" s="24"/>
      <c r="AD1163" s="24"/>
      <c r="AE1163" s="24"/>
      <c r="AF1163" s="24"/>
      <c r="AG1163" s="24"/>
      <c r="AH1163" s="24"/>
      <c r="AI1163" s="24"/>
      <c r="AJ1163" s="24"/>
      <c r="AK1163" s="24"/>
      <c r="AL1163" s="24"/>
      <c r="AM1163" s="24"/>
      <c r="AN1163" s="24"/>
      <c r="AO1163" s="24"/>
      <c r="AP1163" s="24"/>
      <c r="AQ1163" s="24"/>
      <c r="AR1163" s="24"/>
      <c r="AS1163" s="24"/>
      <c r="AT1163" s="24"/>
      <c r="AU1163" s="24"/>
      <c r="AV1163" s="24"/>
      <c r="AW1163" s="24"/>
      <c r="AX1163" s="24"/>
      <c r="AY1163" s="24"/>
      <c r="AZ1163" s="24"/>
      <c r="BA1163" s="57"/>
      <c r="BB1163" s="24"/>
      <c r="BC1163" s="24"/>
      <c r="BD1163" s="24"/>
      <c r="BE1163" s="24"/>
      <c r="BF1163" s="24"/>
    </row>
    <row r="1164" spans="1:58" x14ac:dyDescent="0.25">
      <c r="A1164" s="30" t="s">
        <v>17</v>
      </c>
      <c r="B1164" s="25">
        <v>46207</v>
      </c>
      <c r="C1164" s="26">
        <f t="shared" si="75"/>
        <v>27</v>
      </c>
      <c r="D1164" s="27">
        <f>363+1097</f>
        <v>1460</v>
      </c>
      <c r="E1164" s="24">
        <f>[1]DETAY!$A$2</f>
        <v>0</v>
      </c>
      <c r="F1164" s="23">
        <f t="shared" si="76"/>
        <v>1400</v>
      </c>
      <c r="G1164" s="7">
        <f t="shared" si="77"/>
        <v>60</v>
      </c>
      <c r="H1164" s="62">
        <f t="shared" si="78"/>
        <v>0.95890410958904104</v>
      </c>
      <c r="I1164" s="24"/>
      <c r="J1164" s="24">
        <v>51</v>
      </c>
      <c r="K1164" s="24">
        <v>1</v>
      </c>
      <c r="L1164" s="24">
        <v>8</v>
      </c>
      <c r="M1164" s="31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  <c r="AA1164" s="24"/>
      <c r="AB1164" s="24"/>
      <c r="AC1164" s="24"/>
      <c r="AD1164" s="24"/>
      <c r="AE1164" s="24"/>
      <c r="AF1164" s="24"/>
      <c r="AG1164" s="24"/>
      <c r="AH1164" s="24"/>
      <c r="AI1164" s="24"/>
      <c r="AJ1164" s="24"/>
      <c r="AK1164" s="24"/>
      <c r="AL1164" s="24"/>
      <c r="AM1164" s="24"/>
      <c r="AN1164" s="24"/>
      <c r="AO1164" s="24"/>
      <c r="AP1164" s="24"/>
      <c r="AQ1164" s="24"/>
      <c r="AR1164" s="24"/>
      <c r="AS1164" s="24"/>
      <c r="AT1164" s="24"/>
      <c r="AU1164" s="24"/>
      <c r="AV1164" s="24"/>
      <c r="AW1164" s="24"/>
      <c r="AX1164" s="24"/>
      <c r="AY1164" s="24"/>
      <c r="AZ1164" s="24"/>
      <c r="BA1164" s="57"/>
      <c r="BB1164" s="24"/>
      <c r="BC1164" s="24"/>
      <c r="BD1164" s="24"/>
      <c r="BE1164" s="24"/>
      <c r="BF1164" s="24"/>
    </row>
    <row r="1165" spans="1:58" x14ac:dyDescent="0.25">
      <c r="A1165" s="30" t="s">
        <v>16</v>
      </c>
      <c r="B1165" s="25">
        <v>46207</v>
      </c>
      <c r="C1165" s="26">
        <f t="shared" si="75"/>
        <v>27</v>
      </c>
      <c r="D1165" s="27">
        <f>1088+1236</f>
        <v>2324</v>
      </c>
      <c r="E1165" s="24">
        <f>[1]DETAY!$A$2</f>
        <v>0</v>
      </c>
      <c r="F1165" s="23">
        <f t="shared" si="76"/>
        <v>2168</v>
      </c>
      <c r="G1165" s="7">
        <f t="shared" si="77"/>
        <v>156</v>
      </c>
      <c r="H1165" s="62">
        <f t="shared" si="78"/>
        <v>0.93287435456110157</v>
      </c>
      <c r="I1165" s="24"/>
      <c r="J1165" s="24"/>
      <c r="K1165" s="24"/>
      <c r="L1165" s="24">
        <v>14</v>
      </c>
      <c r="M1165" s="31">
        <v>2</v>
      </c>
      <c r="N1165" s="24"/>
      <c r="O1165" s="24"/>
      <c r="P1165" s="24"/>
      <c r="Q1165" s="24">
        <f>27+76</f>
        <v>103</v>
      </c>
      <c r="R1165" s="24"/>
      <c r="S1165" s="24"/>
      <c r="T1165" s="24">
        <v>2</v>
      </c>
      <c r="U1165" s="24"/>
      <c r="V1165" s="24"/>
      <c r="W1165" s="24">
        <v>4</v>
      </c>
      <c r="X1165" s="24"/>
      <c r="Y1165" s="24"/>
      <c r="Z1165" s="24"/>
      <c r="AA1165" s="24"/>
      <c r="AB1165" s="24"/>
      <c r="AC1165" s="24"/>
      <c r="AD1165" s="24"/>
      <c r="AE1165" s="24">
        <v>2</v>
      </c>
      <c r="AF1165" s="24"/>
      <c r="AG1165" s="24">
        <v>14</v>
      </c>
      <c r="AH1165" s="24"/>
      <c r="AI1165" s="24">
        <v>15</v>
      </c>
      <c r="AJ1165" s="24"/>
      <c r="AK1165" s="24"/>
      <c r="AL1165" s="24"/>
      <c r="AM1165" s="24"/>
      <c r="AN1165" s="24"/>
      <c r="AO1165" s="24"/>
      <c r="AP1165" s="24"/>
      <c r="AQ1165" s="24"/>
      <c r="AR1165" s="24"/>
      <c r="AS1165" s="24"/>
      <c r="AT1165" s="24"/>
      <c r="AU1165" s="24"/>
      <c r="AV1165" s="24"/>
      <c r="AW1165" s="24"/>
      <c r="AX1165" s="24"/>
      <c r="AY1165" s="24"/>
      <c r="AZ1165" s="24"/>
      <c r="BA1165" s="57"/>
      <c r="BB1165" s="24"/>
      <c r="BC1165" s="24"/>
      <c r="BD1165" s="24"/>
      <c r="BE1165" s="24"/>
      <c r="BF1165" s="24"/>
    </row>
    <row r="1166" spans="1:58" x14ac:dyDescent="0.25">
      <c r="A1166" s="30" t="s">
        <v>8</v>
      </c>
      <c r="B1166" s="25">
        <v>46207</v>
      </c>
      <c r="C1166" s="26">
        <f t="shared" si="75"/>
        <v>27</v>
      </c>
      <c r="D1166" s="27">
        <f>425+600+200</f>
        <v>1225</v>
      </c>
      <c r="E1166" s="24">
        <f>[1]DETAY!$A$2</f>
        <v>0</v>
      </c>
      <c r="F1166" s="23">
        <f t="shared" si="76"/>
        <v>1225</v>
      </c>
      <c r="G1166" s="7">
        <f t="shared" si="77"/>
        <v>0</v>
      </c>
      <c r="H1166" s="62">
        <f t="shared" si="78"/>
        <v>1</v>
      </c>
      <c r="I1166" s="24"/>
      <c r="J1166" s="24"/>
      <c r="K1166" s="24"/>
      <c r="L1166" s="24"/>
      <c r="M1166" s="31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  <c r="AA1166" s="24"/>
      <c r="AB1166" s="24"/>
      <c r="AC1166" s="24"/>
      <c r="AD1166" s="24"/>
      <c r="AE1166" s="24"/>
      <c r="AF1166" s="24"/>
      <c r="AG1166" s="24"/>
      <c r="AH1166" s="24"/>
      <c r="AI1166" s="24"/>
      <c r="AJ1166" s="24"/>
      <c r="AK1166" s="24"/>
      <c r="AL1166" s="24"/>
      <c r="AM1166" s="24"/>
      <c r="AN1166" s="24"/>
      <c r="AO1166" s="24"/>
      <c r="AP1166" s="24"/>
      <c r="AQ1166" s="24"/>
      <c r="AR1166" s="24"/>
      <c r="AS1166" s="24"/>
      <c r="AT1166" s="24"/>
      <c r="AU1166" s="24"/>
      <c r="AV1166" s="24"/>
      <c r="AW1166" s="24"/>
      <c r="AX1166" s="24"/>
      <c r="AY1166" s="24"/>
      <c r="AZ1166" s="24"/>
      <c r="BA1166" s="57"/>
      <c r="BB1166" s="24"/>
      <c r="BC1166" s="24"/>
      <c r="BD1166" s="24"/>
      <c r="BE1166" s="24"/>
      <c r="BF1166" s="24"/>
    </row>
    <row r="1167" spans="1:58" x14ac:dyDescent="0.25">
      <c r="A1167" s="30" t="s">
        <v>15</v>
      </c>
      <c r="B1167" s="25">
        <v>46207</v>
      </c>
      <c r="C1167" s="26">
        <f t="shared" si="75"/>
        <v>27</v>
      </c>
      <c r="D1167" s="27">
        <f>210+440+220</f>
        <v>870</v>
      </c>
      <c r="E1167" s="24">
        <f>[1]DETAY!$A$2</f>
        <v>0</v>
      </c>
      <c r="F1167" s="23">
        <f t="shared" si="76"/>
        <v>870</v>
      </c>
      <c r="G1167" s="7">
        <f t="shared" si="77"/>
        <v>0</v>
      </c>
      <c r="H1167" s="62">
        <f t="shared" si="78"/>
        <v>1</v>
      </c>
      <c r="I1167" s="24"/>
      <c r="J1167" s="24"/>
      <c r="K1167" s="24"/>
      <c r="L1167" s="24"/>
      <c r="M1167" s="31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  <c r="AA1167" s="24"/>
      <c r="AB1167" s="24"/>
      <c r="AC1167" s="24"/>
      <c r="AD1167" s="24"/>
      <c r="AE1167" s="24"/>
      <c r="AF1167" s="24"/>
      <c r="AG1167" s="24"/>
      <c r="AH1167" s="24"/>
      <c r="AI1167" s="24"/>
      <c r="AJ1167" s="24"/>
      <c r="AK1167" s="24"/>
      <c r="AL1167" s="24"/>
      <c r="AM1167" s="24"/>
      <c r="AN1167" s="24"/>
      <c r="AO1167" s="24"/>
      <c r="AP1167" s="24"/>
      <c r="AQ1167" s="24"/>
      <c r="AR1167" s="24"/>
      <c r="AS1167" s="24"/>
      <c r="AT1167" s="24"/>
      <c r="AU1167" s="24"/>
      <c r="AV1167" s="24"/>
      <c r="AW1167" s="24"/>
      <c r="AX1167" s="24"/>
      <c r="AY1167" s="24"/>
      <c r="AZ1167" s="24"/>
      <c r="BA1167" s="57"/>
      <c r="BB1167" s="24"/>
      <c r="BC1167" s="24"/>
      <c r="BD1167" s="24"/>
      <c r="BE1167" s="24"/>
      <c r="BF1167" s="24"/>
    </row>
    <row r="1168" spans="1:58" x14ac:dyDescent="0.25">
      <c r="A1168" s="30" t="s">
        <v>81</v>
      </c>
      <c r="B1168" s="25">
        <v>46207</v>
      </c>
      <c r="C1168" s="26">
        <f t="shared" ref="C1168" si="79">WEEKNUM(B1168)</f>
        <v>27</v>
      </c>
      <c r="D1168" s="27">
        <f>220</f>
        <v>220</v>
      </c>
      <c r="E1168" s="24">
        <f>[1]DETAY!$A$2</f>
        <v>0</v>
      </c>
      <c r="F1168" s="23">
        <f t="shared" ref="F1168" si="80">D1168-G1168</f>
        <v>220</v>
      </c>
      <c r="G1168" s="7">
        <f t="shared" ref="G1168" si="81">SUBTOTAL(9,I1168:BE1168)</f>
        <v>0</v>
      </c>
      <c r="H1168" s="62">
        <f t="shared" ref="H1168" si="82">F1168/D1168</f>
        <v>1</v>
      </c>
      <c r="I1168" s="24"/>
      <c r="J1168" s="24"/>
      <c r="K1168" s="24"/>
      <c r="L1168" s="24"/>
      <c r="M1168" s="31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  <c r="AA1168" s="24"/>
      <c r="AB1168" s="24"/>
      <c r="AC1168" s="24"/>
      <c r="AD1168" s="24"/>
      <c r="AE1168" s="24"/>
      <c r="AF1168" s="24"/>
      <c r="AG1168" s="24"/>
      <c r="AH1168" s="24"/>
      <c r="AI1168" s="24"/>
      <c r="AJ1168" s="24"/>
      <c r="AK1168" s="24"/>
      <c r="AL1168" s="24"/>
      <c r="AM1168" s="24"/>
      <c r="AN1168" s="24"/>
      <c r="AO1168" s="24"/>
      <c r="AP1168" s="24"/>
      <c r="AQ1168" s="24"/>
      <c r="AR1168" s="24"/>
      <c r="AS1168" s="24"/>
      <c r="AT1168" s="24"/>
      <c r="AU1168" s="24"/>
      <c r="AV1168" s="24"/>
      <c r="AW1168" s="24"/>
      <c r="AX1168" s="24"/>
      <c r="AY1168" s="24"/>
      <c r="AZ1168" s="24"/>
      <c r="BA1168" s="57"/>
      <c r="BB1168" s="24"/>
      <c r="BC1168" s="24"/>
      <c r="BD1168" s="24"/>
      <c r="BE1168" s="24"/>
      <c r="BF1168" s="24"/>
    </row>
    <row r="1169" spans="1:58" x14ac:dyDescent="0.25">
      <c r="A1169" s="30" t="s">
        <v>13</v>
      </c>
      <c r="B1169" s="25">
        <v>46207</v>
      </c>
      <c r="C1169" s="26">
        <f t="shared" si="75"/>
        <v>27</v>
      </c>
      <c r="D1169" s="27">
        <f>467+600+110</f>
        <v>1177</v>
      </c>
      <c r="E1169" s="24">
        <f>[1]DETAY!$A$2</f>
        <v>0</v>
      </c>
      <c r="F1169" s="23">
        <f t="shared" si="76"/>
        <v>1170</v>
      </c>
      <c r="G1169" s="7">
        <f t="shared" si="77"/>
        <v>7</v>
      </c>
      <c r="H1169" s="62">
        <f t="shared" si="78"/>
        <v>0.99405267629566696</v>
      </c>
      <c r="I1169" s="24"/>
      <c r="J1169" s="24"/>
      <c r="K1169" s="24"/>
      <c r="L1169" s="24"/>
      <c r="M1169" s="31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  <c r="AA1169" s="24"/>
      <c r="AB1169" s="24"/>
      <c r="AC1169" s="24"/>
      <c r="AD1169" s="24"/>
      <c r="AE1169" s="24"/>
      <c r="AF1169" s="24"/>
      <c r="AG1169" s="24"/>
      <c r="AH1169" s="24"/>
      <c r="AI1169" s="24"/>
      <c r="AJ1169" s="24"/>
      <c r="AK1169" s="24"/>
      <c r="AL1169" s="24"/>
      <c r="AM1169" s="24"/>
      <c r="AN1169" s="24"/>
      <c r="AO1169" s="24"/>
      <c r="AP1169" s="24"/>
      <c r="AQ1169" s="24">
        <v>7</v>
      </c>
      <c r="AR1169" s="24"/>
      <c r="AS1169" s="24"/>
      <c r="AT1169" s="24"/>
      <c r="AU1169" s="24"/>
      <c r="AV1169" s="24"/>
      <c r="AW1169" s="24"/>
      <c r="AX1169" s="24"/>
      <c r="AY1169" s="24"/>
      <c r="AZ1169" s="24"/>
      <c r="BA1169" s="57"/>
      <c r="BB1169" s="24"/>
      <c r="BC1169" s="24"/>
      <c r="BD1169" s="24"/>
      <c r="BE1169" s="24"/>
      <c r="BF1169" s="24"/>
    </row>
    <row r="1170" spans="1:58" x14ac:dyDescent="0.25">
      <c r="A1170" s="30" t="s">
        <v>12</v>
      </c>
      <c r="B1170" s="25">
        <v>46207</v>
      </c>
      <c r="C1170" s="26">
        <f t="shared" si="75"/>
        <v>27</v>
      </c>
      <c r="D1170" s="27">
        <f>400</f>
        <v>400</v>
      </c>
      <c r="E1170" s="24">
        <f>[1]DETAY!$A$2</f>
        <v>0</v>
      </c>
      <c r="F1170" s="23">
        <f t="shared" si="76"/>
        <v>400</v>
      </c>
      <c r="G1170" s="7">
        <f t="shared" si="77"/>
        <v>0</v>
      </c>
      <c r="H1170" s="62">
        <f t="shared" si="78"/>
        <v>1</v>
      </c>
      <c r="I1170" s="24"/>
      <c r="J1170" s="24"/>
      <c r="K1170" s="24"/>
      <c r="L1170" s="24"/>
      <c r="M1170" s="31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  <c r="AA1170" s="24"/>
      <c r="AB1170" s="24"/>
      <c r="AC1170" s="24"/>
      <c r="AD1170" s="24"/>
      <c r="AE1170" s="24"/>
      <c r="AF1170" s="24"/>
      <c r="AG1170" s="24"/>
      <c r="AH1170" s="24"/>
      <c r="AI1170" s="24"/>
      <c r="AJ1170" s="24"/>
      <c r="AK1170" s="24"/>
      <c r="AL1170" s="24"/>
      <c r="AM1170" s="24"/>
      <c r="AN1170" s="24"/>
      <c r="AO1170" s="24"/>
      <c r="AP1170" s="24"/>
      <c r="AQ1170" s="24"/>
      <c r="AR1170" s="24"/>
      <c r="AS1170" s="24"/>
      <c r="AT1170" s="24"/>
      <c r="AU1170" s="24"/>
      <c r="AV1170" s="24"/>
      <c r="AW1170" s="24"/>
      <c r="AX1170" s="24"/>
      <c r="AY1170" s="24"/>
      <c r="AZ1170" s="24"/>
      <c r="BA1170" s="57"/>
      <c r="BB1170" s="24"/>
      <c r="BC1170" s="24"/>
      <c r="BD1170" s="24"/>
      <c r="BE1170" s="24"/>
      <c r="BF1170" s="24"/>
    </row>
    <row r="1171" spans="1:58" x14ac:dyDescent="0.25">
      <c r="A1171" s="30" t="s">
        <v>10</v>
      </c>
      <c r="B1171" s="25">
        <v>46207</v>
      </c>
      <c r="C1171" s="26">
        <f t="shared" si="75"/>
        <v>27</v>
      </c>
      <c r="D1171" s="27">
        <f>364+298+396</f>
        <v>1058</v>
      </c>
      <c r="E1171" s="24">
        <f>[1]DETAY!$A$2</f>
        <v>0</v>
      </c>
      <c r="F1171" s="23">
        <f t="shared" si="76"/>
        <v>1045</v>
      </c>
      <c r="G1171" s="7">
        <f t="shared" si="77"/>
        <v>13</v>
      </c>
      <c r="H1171" s="62">
        <f t="shared" si="78"/>
        <v>0.98771266540642721</v>
      </c>
      <c r="I1171" s="24"/>
      <c r="J1171" s="24"/>
      <c r="K1171" s="24"/>
      <c r="L1171" s="24"/>
      <c r="M1171" s="31">
        <v>13</v>
      </c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  <c r="AA1171" s="24"/>
      <c r="AB1171" s="24"/>
      <c r="AC1171" s="24"/>
      <c r="AD1171" s="24"/>
      <c r="AE1171" s="24"/>
      <c r="AF1171" s="24"/>
      <c r="AG1171" s="24"/>
      <c r="AH1171" s="24"/>
      <c r="AI1171" s="24"/>
      <c r="AJ1171" s="24"/>
      <c r="AK1171" s="24"/>
      <c r="AL1171" s="24"/>
      <c r="AM1171" s="24"/>
      <c r="AN1171" s="24"/>
      <c r="AO1171" s="24"/>
      <c r="AP1171" s="24"/>
      <c r="AQ1171" s="24"/>
      <c r="AR1171" s="24"/>
      <c r="AS1171" s="24"/>
      <c r="AT1171" s="24"/>
      <c r="AU1171" s="24"/>
      <c r="AV1171" s="24"/>
      <c r="AW1171" s="24"/>
      <c r="AX1171" s="24"/>
      <c r="AY1171" s="24"/>
      <c r="AZ1171" s="24"/>
      <c r="BA1171" s="57"/>
      <c r="BB1171" s="24"/>
      <c r="BC1171" s="24"/>
      <c r="BD1171" s="24"/>
      <c r="BE1171" s="24"/>
      <c r="BF1171" s="24"/>
    </row>
    <row r="1172" spans="1:58" x14ac:dyDescent="0.25">
      <c r="A1172" s="30" t="s">
        <v>9</v>
      </c>
      <c r="B1172" s="25">
        <v>46207</v>
      </c>
      <c r="C1172" s="26">
        <f t="shared" si="75"/>
        <v>27</v>
      </c>
      <c r="D1172" s="27">
        <f>610+260+241</f>
        <v>1111</v>
      </c>
      <c r="E1172" s="24">
        <f>[1]DETAY!$A$2</f>
        <v>0</v>
      </c>
      <c r="F1172" s="23">
        <f t="shared" si="76"/>
        <v>1102</v>
      </c>
      <c r="G1172" s="7">
        <f t="shared" si="77"/>
        <v>9</v>
      </c>
      <c r="H1172" s="62">
        <f t="shared" si="78"/>
        <v>0.99189918991899195</v>
      </c>
      <c r="I1172" s="24"/>
      <c r="J1172" s="24"/>
      <c r="K1172" s="24"/>
      <c r="L1172" s="24"/>
      <c r="M1172" s="31">
        <v>9</v>
      </c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  <c r="AA1172" s="24"/>
      <c r="AB1172" s="24"/>
      <c r="AC1172" s="24"/>
      <c r="AD1172" s="24"/>
      <c r="AE1172" s="24"/>
      <c r="AF1172" s="24"/>
      <c r="AG1172" s="24"/>
      <c r="AH1172" s="24"/>
      <c r="AI1172" s="24"/>
      <c r="AJ1172" s="24"/>
      <c r="AK1172" s="24"/>
      <c r="AL1172" s="24"/>
      <c r="AM1172" s="24"/>
      <c r="AN1172" s="24"/>
      <c r="AO1172" s="24"/>
      <c r="AP1172" s="24"/>
      <c r="AQ1172" s="24"/>
      <c r="AR1172" s="24"/>
      <c r="AS1172" s="24"/>
      <c r="AT1172" s="24"/>
      <c r="AU1172" s="24"/>
      <c r="AV1172" s="24"/>
      <c r="AW1172" s="24"/>
      <c r="AX1172" s="24"/>
      <c r="AY1172" s="24"/>
      <c r="AZ1172" s="24"/>
      <c r="BA1172" s="57"/>
      <c r="BB1172" s="24"/>
      <c r="BC1172" s="24"/>
      <c r="BD1172" s="24"/>
      <c r="BE1172" s="24"/>
      <c r="BF1172" s="24"/>
    </row>
    <row r="1173" spans="1:58" x14ac:dyDescent="0.25">
      <c r="A1173" s="30" t="s">
        <v>8</v>
      </c>
      <c r="B1173" s="25">
        <v>46207</v>
      </c>
      <c r="C1173" s="26">
        <f t="shared" si="75"/>
        <v>27</v>
      </c>
      <c r="D1173" s="27"/>
      <c r="E1173" s="24">
        <f>[1]DETAY!$A$2</f>
        <v>0</v>
      </c>
      <c r="F1173" s="23">
        <f t="shared" si="76"/>
        <v>0</v>
      </c>
      <c r="G1173" s="7">
        <f t="shared" si="77"/>
        <v>0</v>
      </c>
      <c r="H1173" s="62" t="e">
        <f t="shared" si="78"/>
        <v>#DIV/0!</v>
      </c>
      <c r="I1173" s="24"/>
      <c r="J1173" s="24"/>
      <c r="K1173" s="24"/>
      <c r="L1173" s="24"/>
      <c r="M1173" s="31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  <c r="AA1173" s="24"/>
      <c r="AB1173" s="24"/>
      <c r="AC1173" s="24"/>
      <c r="AD1173" s="24"/>
      <c r="AE1173" s="24"/>
      <c r="AF1173" s="24"/>
      <c r="AG1173" s="24"/>
      <c r="AH1173" s="24"/>
      <c r="AI1173" s="24"/>
      <c r="AJ1173" s="24"/>
      <c r="AK1173" s="24"/>
      <c r="AL1173" s="24"/>
      <c r="AM1173" s="24"/>
      <c r="AN1173" s="24"/>
      <c r="AO1173" s="24"/>
      <c r="AP1173" s="24"/>
      <c r="AQ1173" s="24"/>
      <c r="AR1173" s="24"/>
      <c r="AS1173" s="24"/>
      <c r="AT1173" s="24"/>
      <c r="AU1173" s="24"/>
      <c r="AV1173" s="24"/>
      <c r="AW1173" s="24"/>
      <c r="AX1173" s="24"/>
      <c r="AY1173" s="24"/>
      <c r="AZ1173" s="24"/>
      <c r="BA1173" s="57"/>
      <c r="BB1173" s="24"/>
      <c r="BC1173" s="24"/>
      <c r="BD1173" s="24"/>
      <c r="BE1173" s="24"/>
      <c r="BF1173" s="24"/>
    </row>
    <row r="1174" spans="1:58" x14ac:dyDescent="0.25">
      <c r="A1174" s="30" t="s">
        <v>7</v>
      </c>
      <c r="B1174" s="25">
        <v>46207</v>
      </c>
      <c r="C1174" s="26">
        <f t="shared" si="75"/>
        <v>27</v>
      </c>
      <c r="D1174" s="27">
        <f>194+192+256</f>
        <v>642</v>
      </c>
      <c r="E1174" s="24">
        <f>[1]DETAY!$A$2</f>
        <v>0</v>
      </c>
      <c r="F1174" s="23">
        <f t="shared" si="76"/>
        <v>640</v>
      </c>
      <c r="G1174" s="7">
        <f t="shared" si="77"/>
        <v>2</v>
      </c>
      <c r="H1174" s="62">
        <f t="shared" si="78"/>
        <v>0.99688473520249221</v>
      </c>
      <c r="I1174" s="24"/>
      <c r="J1174" s="24"/>
      <c r="K1174" s="24"/>
      <c r="L1174" s="24"/>
      <c r="M1174" s="31">
        <v>2</v>
      </c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  <c r="AA1174" s="24"/>
      <c r="AB1174" s="24"/>
      <c r="AC1174" s="24"/>
      <c r="AD1174" s="24"/>
      <c r="AE1174" s="24"/>
      <c r="AF1174" s="24"/>
      <c r="AG1174" s="24"/>
      <c r="AH1174" s="24"/>
      <c r="AI1174" s="24"/>
      <c r="AJ1174" s="24"/>
      <c r="AK1174" s="24"/>
      <c r="AL1174" s="24"/>
      <c r="AM1174" s="24"/>
      <c r="AN1174" s="24"/>
      <c r="AO1174" s="24"/>
      <c r="AP1174" s="24"/>
      <c r="AQ1174" s="24"/>
      <c r="AR1174" s="24"/>
      <c r="AS1174" s="24"/>
      <c r="AT1174" s="24"/>
      <c r="AU1174" s="24"/>
      <c r="AV1174" s="24"/>
      <c r="AW1174" s="24"/>
      <c r="AX1174" s="24"/>
      <c r="AY1174" s="24"/>
      <c r="AZ1174" s="24"/>
      <c r="BA1174" s="57"/>
      <c r="BB1174" s="24"/>
      <c r="BC1174" s="24"/>
      <c r="BD1174" s="24"/>
      <c r="BE1174" s="24"/>
      <c r="BF1174" s="24"/>
    </row>
    <row r="1175" spans="1:58" x14ac:dyDescent="0.25">
      <c r="A1175" s="30" t="s">
        <v>5</v>
      </c>
      <c r="B1175" s="25">
        <v>46207</v>
      </c>
      <c r="C1175" s="26">
        <f t="shared" si="75"/>
        <v>27</v>
      </c>
      <c r="D1175" s="27">
        <f>80+40</f>
        <v>120</v>
      </c>
      <c r="E1175" s="24">
        <f>[1]DETAY!$A$2</f>
        <v>0</v>
      </c>
      <c r="F1175" s="23">
        <f t="shared" si="76"/>
        <v>117</v>
      </c>
      <c r="G1175" s="7">
        <f t="shared" si="77"/>
        <v>3</v>
      </c>
      <c r="H1175" s="62">
        <f t="shared" si="78"/>
        <v>0.97499999999999998</v>
      </c>
      <c r="I1175" s="24"/>
      <c r="J1175" s="24"/>
      <c r="K1175" s="24"/>
      <c r="L1175" s="24"/>
      <c r="M1175" s="31"/>
      <c r="N1175" s="24">
        <v>3</v>
      </c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  <c r="AA1175" s="24"/>
      <c r="AB1175" s="24"/>
      <c r="AC1175" s="24"/>
      <c r="AD1175" s="24"/>
      <c r="AE1175" s="24"/>
      <c r="AF1175" s="24"/>
      <c r="AG1175" s="24"/>
      <c r="AH1175" s="24"/>
      <c r="AI1175" s="24"/>
      <c r="AJ1175" s="24"/>
      <c r="AK1175" s="24"/>
      <c r="AL1175" s="24"/>
      <c r="AM1175" s="24"/>
      <c r="AN1175" s="24"/>
      <c r="AO1175" s="24"/>
      <c r="AP1175" s="24"/>
      <c r="AQ1175" s="24"/>
      <c r="AR1175" s="24"/>
      <c r="AS1175" s="24"/>
      <c r="AT1175" s="24"/>
      <c r="AU1175" s="24"/>
      <c r="AV1175" s="24"/>
      <c r="AW1175" s="24"/>
      <c r="AX1175" s="24"/>
      <c r="AY1175" s="24"/>
      <c r="AZ1175" s="24"/>
      <c r="BA1175" s="57"/>
      <c r="BB1175" s="24"/>
      <c r="BC1175" s="24"/>
      <c r="BD1175" s="24"/>
      <c r="BE1175" s="24"/>
      <c r="BF1175" s="24"/>
    </row>
    <row r="1176" spans="1:58" x14ac:dyDescent="0.25">
      <c r="A1176" s="30" t="s">
        <v>4</v>
      </c>
      <c r="B1176" s="25">
        <v>46207</v>
      </c>
      <c r="C1176" s="26">
        <f t="shared" si="75"/>
        <v>27</v>
      </c>
      <c r="D1176" s="27">
        <f>154+771+231</f>
        <v>1156</v>
      </c>
      <c r="E1176" s="24">
        <f>[1]DETAY!$A$2</f>
        <v>0</v>
      </c>
      <c r="F1176" s="23">
        <f t="shared" si="76"/>
        <v>1155</v>
      </c>
      <c r="G1176" s="7">
        <f t="shared" si="77"/>
        <v>1</v>
      </c>
      <c r="H1176" s="62">
        <f t="shared" si="78"/>
        <v>0.99913494809688586</v>
      </c>
      <c r="I1176" s="24"/>
      <c r="J1176" s="24"/>
      <c r="K1176" s="24"/>
      <c r="L1176" s="24"/>
      <c r="M1176" s="31">
        <v>1</v>
      </c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  <c r="AA1176" s="24"/>
      <c r="AB1176" s="24"/>
      <c r="AC1176" s="24"/>
      <c r="AD1176" s="24"/>
      <c r="AE1176" s="24"/>
      <c r="AF1176" s="24"/>
      <c r="AG1176" s="24"/>
      <c r="AH1176" s="24"/>
      <c r="AI1176" s="24"/>
      <c r="AJ1176" s="24"/>
      <c r="AK1176" s="24"/>
      <c r="AL1176" s="24"/>
      <c r="AM1176" s="24"/>
      <c r="AN1176" s="24"/>
      <c r="AO1176" s="24"/>
      <c r="AP1176" s="24"/>
      <c r="AQ1176" s="24"/>
      <c r="AR1176" s="24"/>
      <c r="AS1176" s="24"/>
      <c r="AT1176" s="24"/>
      <c r="AU1176" s="24"/>
      <c r="AV1176" s="24"/>
      <c r="AW1176" s="24"/>
      <c r="AX1176" s="24"/>
      <c r="AY1176" s="24"/>
      <c r="AZ1176" s="24"/>
      <c r="BA1176" s="57"/>
      <c r="BB1176" s="24"/>
      <c r="BC1176" s="24"/>
      <c r="BD1176" s="24"/>
      <c r="BE1176" s="24"/>
      <c r="BF1176" s="24"/>
    </row>
    <row r="1177" spans="1:58" x14ac:dyDescent="0.25">
      <c r="A1177" s="30" t="s">
        <v>2</v>
      </c>
      <c r="B1177" s="25">
        <v>46207</v>
      </c>
      <c r="C1177" s="26">
        <f t="shared" si="75"/>
        <v>27</v>
      </c>
      <c r="D1177" s="27">
        <f>100</f>
        <v>100</v>
      </c>
      <c r="E1177" s="24">
        <f>[1]DETAY!$A$2</f>
        <v>0</v>
      </c>
      <c r="F1177" s="23">
        <f t="shared" si="76"/>
        <v>100</v>
      </c>
      <c r="G1177" s="7">
        <f t="shared" si="77"/>
        <v>0</v>
      </c>
      <c r="H1177" s="62">
        <f t="shared" si="78"/>
        <v>1</v>
      </c>
      <c r="I1177" s="24"/>
      <c r="J1177" s="24"/>
      <c r="K1177" s="24"/>
      <c r="L1177" s="24"/>
      <c r="M1177" s="31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  <c r="AA1177" s="24"/>
      <c r="AB1177" s="24"/>
      <c r="AC1177" s="24"/>
      <c r="AD1177" s="24"/>
      <c r="AE1177" s="24"/>
      <c r="AF1177" s="24"/>
      <c r="AG1177" s="24"/>
      <c r="AH1177" s="24"/>
      <c r="AI1177" s="24"/>
      <c r="AJ1177" s="24"/>
      <c r="AK1177" s="24"/>
      <c r="AL1177" s="24"/>
      <c r="AM1177" s="24"/>
      <c r="AN1177" s="24"/>
      <c r="AO1177" s="24"/>
      <c r="AP1177" s="24"/>
      <c r="AQ1177" s="24"/>
      <c r="AR1177" s="24"/>
      <c r="AS1177" s="24"/>
      <c r="AT1177" s="24"/>
      <c r="AU1177" s="24"/>
      <c r="AV1177" s="24"/>
      <c r="AW1177" s="24"/>
      <c r="AX1177" s="24"/>
      <c r="AY1177" s="24"/>
      <c r="AZ1177" s="24"/>
      <c r="BA1177" s="57"/>
      <c r="BB1177" s="24"/>
      <c r="BC1177" s="24"/>
      <c r="BD1177" s="24"/>
      <c r="BE1177" s="24"/>
      <c r="BF1177" s="24"/>
    </row>
    <row r="1178" spans="1:58" ht="15.75" thickBot="1" x14ac:dyDescent="0.3">
      <c r="A1178" s="63" t="s">
        <v>0</v>
      </c>
      <c r="B1178" s="64">
        <v>46207</v>
      </c>
      <c r="C1178" s="65">
        <f t="shared" si="75"/>
        <v>27</v>
      </c>
      <c r="D1178" s="66">
        <f>176+285</f>
        <v>461</v>
      </c>
      <c r="E1178" s="67">
        <f>[1]DETAY!$A$2</f>
        <v>0</v>
      </c>
      <c r="F1178" s="45">
        <f t="shared" si="76"/>
        <v>388</v>
      </c>
      <c r="G1178" s="46">
        <f t="shared" si="77"/>
        <v>73</v>
      </c>
      <c r="H1178" s="62">
        <f t="shared" si="78"/>
        <v>0.84164859002169201</v>
      </c>
      <c r="I1178" s="67"/>
      <c r="J1178" s="67"/>
      <c r="K1178" s="67"/>
      <c r="L1178" s="67"/>
      <c r="M1178" s="68"/>
      <c r="N1178" s="67"/>
      <c r="O1178" s="67"/>
      <c r="P1178" s="67"/>
      <c r="Q1178" s="67"/>
      <c r="R1178" s="67"/>
      <c r="S1178" s="67"/>
      <c r="T1178" s="67"/>
      <c r="U1178" s="67"/>
      <c r="V1178" s="67"/>
      <c r="W1178" s="67"/>
      <c r="X1178" s="67"/>
      <c r="Y1178" s="67"/>
      <c r="Z1178" s="67"/>
      <c r="AA1178" s="67"/>
      <c r="AB1178" s="67"/>
      <c r="AC1178" s="67"/>
      <c r="AD1178" s="67"/>
      <c r="AE1178" s="67"/>
      <c r="AF1178" s="67"/>
      <c r="AG1178" s="67"/>
      <c r="AH1178" s="67"/>
      <c r="AI1178" s="67"/>
      <c r="AJ1178" s="67"/>
      <c r="AK1178" s="67"/>
      <c r="AL1178" s="67"/>
      <c r="AM1178" s="67"/>
      <c r="AN1178" s="67"/>
      <c r="AO1178" s="67"/>
      <c r="AP1178" s="67"/>
      <c r="AQ1178" s="67"/>
      <c r="AR1178" s="67"/>
      <c r="AS1178" s="67"/>
      <c r="AT1178" s="67">
        <v>73</v>
      </c>
      <c r="AU1178" s="67"/>
      <c r="AV1178" s="67"/>
      <c r="AW1178" s="67"/>
      <c r="AX1178" s="67"/>
      <c r="AY1178" s="67"/>
      <c r="AZ1178" s="67"/>
      <c r="BA1178" s="57"/>
      <c r="BB1178" s="67"/>
      <c r="BC1178" s="67"/>
      <c r="BD1178" s="67"/>
      <c r="BE1178" s="67"/>
      <c r="BF1178" s="67"/>
    </row>
    <row r="1179" spans="1:58" x14ac:dyDescent="0.25">
      <c r="A1179" s="30" t="s">
        <v>8</v>
      </c>
      <c r="B1179" s="48">
        <v>46208</v>
      </c>
      <c r="C1179" s="26">
        <f t="shared" ref="C1179:C1183" si="83">WEEKNUM(B1179)</f>
        <v>28</v>
      </c>
      <c r="D1179" s="27">
        <v>300</v>
      </c>
      <c r="E1179" s="24">
        <f>[1]DETAY!$A$2</f>
        <v>0</v>
      </c>
      <c r="F1179" s="23">
        <f t="shared" ref="F1179:F1183" si="84">D1179-G1179</f>
        <v>300</v>
      </c>
      <c r="G1179" s="7">
        <f t="shared" ref="G1179:G1183" si="85">SUBTOTAL(9,I1179:BE1179)</f>
        <v>0</v>
      </c>
      <c r="H1179" s="62">
        <f t="shared" ref="H1179:H1183" si="86">F1179/D1179</f>
        <v>1</v>
      </c>
      <c r="I1179" s="24"/>
      <c r="J1179" s="24"/>
      <c r="K1179" s="24"/>
      <c r="L1179" s="24"/>
      <c r="M1179" s="31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  <c r="AA1179" s="24"/>
      <c r="AB1179" s="24"/>
      <c r="AC1179" s="24"/>
      <c r="AD1179" s="24"/>
      <c r="AE1179" s="24"/>
      <c r="AF1179" s="24"/>
      <c r="AG1179" s="24"/>
      <c r="AH1179" s="24"/>
      <c r="AI1179" s="24"/>
      <c r="AJ1179" s="24"/>
      <c r="AK1179" s="24"/>
      <c r="AL1179" s="24"/>
      <c r="AM1179" s="24"/>
      <c r="AN1179" s="24"/>
      <c r="AO1179" s="24"/>
      <c r="AP1179" s="24"/>
      <c r="AQ1179" s="24"/>
      <c r="AR1179" s="24"/>
      <c r="AS1179" s="24"/>
      <c r="AT1179" s="24"/>
      <c r="AU1179" s="24"/>
      <c r="AV1179" s="24"/>
      <c r="AW1179" s="24"/>
      <c r="AX1179" s="24"/>
      <c r="AY1179" s="24"/>
      <c r="AZ1179" s="24"/>
      <c r="BA1179" s="57"/>
      <c r="BB1179" s="24"/>
      <c r="BC1179" s="24"/>
      <c r="BD1179" s="24"/>
      <c r="BE1179" s="24"/>
      <c r="BF1179" s="24"/>
    </row>
    <row r="1180" spans="1:58" x14ac:dyDescent="0.25">
      <c r="A1180" s="30" t="s">
        <v>13</v>
      </c>
      <c r="B1180" s="48">
        <v>46208</v>
      </c>
      <c r="C1180" s="26">
        <f t="shared" si="83"/>
        <v>28</v>
      </c>
      <c r="D1180" s="27">
        <v>720</v>
      </c>
      <c r="E1180" s="24">
        <f>[1]DETAY!$A$2</f>
        <v>0</v>
      </c>
      <c r="F1180" s="23">
        <f t="shared" si="84"/>
        <v>720</v>
      </c>
      <c r="G1180" s="7">
        <f t="shared" si="85"/>
        <v>0</v>
      </c>
      <c r="H1180" s="62">
        <f t="shared" si="86"/>
        <v>1</v>
      </c>
      <c r="I1180" s="24"/>
      <c r="J1180" s="24"/>
      <c r="K1180" s="24"/>
      <c r="L1180" s="24"/>
      <c r="M1180" s="31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  <c r="AA1180" s="24"/>
      <c r="AB1180" s="24"/>
      <c r="AC1180" s="24"/>
      <c r="AD1180" s="24"/>
      <c r="AE1180" s="24"/>
      <c r="AF1180" s="24"/>
      <c r="AG1180" s="24"/>
      <c r="AH1180" s="24"/>
      <c r="AI1180" s="24"/>
      <c r="AJ1180" s="24"/>
      <c r="AK1180" s="24"/>
      <c r="AL1180" s="24"/>
      <c r="AM1180" s="24"/>
      <c r="AN1180" s="24"/>
      <c r="AO1180" s="24"/>
      <c r="AP1180" s="24"/>
      <c r="AQ1180" s="24"/>
      <c r="AR1180" s="24"/>
      <c r="AS1180" s="24"/>
      <c r="AT1180" s="24"/>
      <c r="AU1180" s="24"/>
      <c r="AV1180" s="24"/>
      <c r="AW1180" s="24"/>
      <c r="AX1180" s="24"/>
      <c r="AY1180" s="24"/>
      <c r="AZ1180" s="24"/>
      <c r="BA1180" s="57"/>
      <c r="BB1180" s="24"/>
      <c r="BC1180" s="24"/>
      <c r="BD1180" s="24"/>
      <c r="BE1180" s="24"/>
      <c r="BF1180" s="24"/>
    </row>
    <row r="1181" spans="1:58" x14ac:dyDescent="0.25">
      <c r="A1181" s="30" t="s">
        <v>6</v>
      </c>
      <c r="B1181" s="48">
        <v>46208</v>
      </c>
      <c r="C1181" s="26">
        <f t="shared" si="83"/>
        <v>28</v>
      </c>
      <c r="D1181" s="27">
        <v>231</v>
      </c>
      <c r="E1181" s="24">
        <f>[1]DETAY!$A$2</f>
        <v>0</v>
      </c>
      <c r="F1181" s="23">
        <f t="shared" si="84"/>
        <v>231</v>
      </c>
      <c r="G1181" s="7">
        <f t="shared" si="85"/>
        <v>0</v>
      </c>
      <c r="H1181" s="62">
        <f t="shared" si="86"/>
        <v>1</v>
      </c>
      <c r="I1181" s="24"/>
      <c r="J1181" s="24"/>
      <c r="K1181" s="24"/>
      <c r="L1181" s="24"/>
      <c r="M1181" s="31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  <c r="AA1181" s="24"/>
      <c r="AB1181" s="24"/>
      <c r="AC1181" s="24"/>
      <c r="AD1181" s="24"/>
      <c r="AE1181" s="24"/>
      <c r="AF1181" s="24"/>
      <c r="AG1181" s="24"/>
      <c r="AH1181" s="24"/>
      <c r="AI1181" s="24"/>
      <c r="AJ1181" s="24"/>
      <c r="AK1181" s="24"/>
      <c r="AL1181" s="24"/>
      <c r="AM1181" s="24"/>
      <c r="AN1181" s="24"/>
      <c r="AO1181" s="24"/>
      <c r="AP1181" s="24"/>
      <c r="AQ1181" s="24"/>
      <c r="AR1181" s="24"/>
      <c r="AS1181" s="24"/>
      <c r="AT1181" s="24"/>
      <c r="AU1181" s="24"/>
      <c r="AV1181" s="24"/>
      <c r="AW1181" s="24"/>
      <c r="AX1181" s="24"/>
      <c r="AY1181" s="24"/>
      <c r="AZ1181" s="24"/>
      <c r="BA1181" s="57"/>
      <c r="BB1181" s="24"/>
      <c r="BC1181" s="24"/>
      <c r="BD1181" s="24"/>
      <c r="BE1181" s="24"/>
      <c r="BF1181" s="24"/>
    </row>
    <row r="1182" spans="1:58" x14ac:dyDescent="0.25">
      <c r="A1182" s="30" t="s">
        <v>5</v>
      </c>
      <c r="B1182" s="48">
        <v>46208</v>
      </c>
      <c r="C1182" s="26">
        <f t="shared" si="83"/>
        <v>28</v>
      </c>
      <c r="D1182" s="27">
        <v>77</v>
      </c>
      <c r="E1182" s="24">
        <f>[1]DETAY!$A$2</f>
        <v>0</v>
      </c>
      <c r="F1182" s="23">
        <f t="shared" si="84"/>
        <v>77</v>
      </c>
      <c r="G1182" s="7">
        <f t="shared" si="85"/>
        <v>0</v>
      </c>
      <c r="H1182" s="62">
        <f t="shared" si="86"/>
        <v>1</v>
      </c>
      <c r="I1182" s="24"/>
      <c r="J1182" s="24"/>
      <c r="K1182" s="24"/>
      <c r="L1182" s="24"/>
      <c r="M1182" s="31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  <c r="AA1182" s="24"/>
      <c r="AB1182" s="24"/>
      <c r="AC1182" s="24"/>
      <c r="AD1182" s="24"/>
      <c r="AE1182" s="24"/>
      <c r="AF1182" s="24"/>
      <c r="AG1182" s="24"/>
      <c r="AH1182" s="24"/>
      <c r="AI1182" s="24"/>
      <c r="AJ1182" s="24"/>
      <c r="AK1182" s="24"/>
      <c r="AL1182" s="24"/>
      <c r="AM1182" s="24"/>
      <c r="AN1182" s="24"/>
      <c r="AO1182" s="24"/>
      <c r="AP1182" s="24"/>
      <c r="AQ1182" s="24"/>
      <c r="AR1182" s="24"/>
      <c r="AS1182" s="24"/>
      <c r="AT1182" s="24"/>
      <c r="AU1182" s="24"/>
      <c r="AV1182" s="24"/>
      <c r="AW1182" s="24"/>
      <c r="AX1182" s="24"/>
      <c r="AY1182" s="24"/>
      <c r="AZ1182" s="24"/>
      <c r="BA1182" s="57"/>
      <c r="BB1182" s="24"/>
      <c r="BC1182" s="24"/>
      <c r="BD1182" s="24"/>
      <c r="BE1182" s="24"/>
      <c r="BF1182" s="24"/>
    </row>
    <row r="1183" spans="1:58" ht="15.75" thickBot="1" x14ac:dyDescent="0.3">
      <c r="A1183" s="63" t="s">
        <v>4</v>
      </c>
      <c r="B1183" s="69">
        <v>46208</v>
      </c>
      <c r="C1183" s="65">
        <f t="shared" si="83"/>
        <v>28</v>
      </c>
      <c r="D1183" s="66">
        <v>308</v>
      </c>
      <c r="E1183" s="67">
        <f>[1]DETAY!$A$2</f>
        <v>0</v>
      </c>
      <c r="F1183" s="45">
        <f t="shared" si="84"/>
        <v>301</v>
      </c>
      <c r="G1183" s="46">
        <f t="shared" si="85"/>
        <v>7</v>
      </c>
      <c r="H1183" s="62">
        <f t="shared" si="86"/>
        <v>0.97727272727272729</v>
      </c>
      <c r="I1183" s="67"/>
      <c r="J1183" s="67"/>
      <c r="K1183" s="67"/>
      <c r="L1183" s="67"/>
      <c r="M1183" s="68"/>
      <c r="N1183" s="67"/>
      <c r="O1183" s="67"/>
      <c r="P1183" s="67"/>
      <c r="Q1183" s="67"/>
      <c r="R1183" s="67"/>
      <c r="S1183" s="67"/>
      <c r="T1183" s="67"/>
      <c r="U1183" s="67"/>
      <c r="V1183" s="67"/>
      <c r="W1183" s="67"/>
      <c r="X1183" s="67"/>
      <c r="Y1183" s="67"/>
      <c r="Z1183" s="67"/>
      <c r="AA1183" s="67"/>
      <c r="AB1183" s="67"/>
      <c r="AC1183" s="67"/>
      <c r="AD1183" s="67"/>
      <c r="AE1183" s="67"/>
      <c r="AF1183" s="67"/>
      <c r="AG1183" s="67"/>
      <c r="AH1183" s="67"/>
      <c r="AI1183" s="67"/>
      <c r="AJ1183" s="67"/>
      <c r="AK1183" s="67"/>
      <c r="AL1183" s="67"/>
      <c r="AM1183" s="67"/>
      <c r="AN1183" s="67"/>
      <c r="AO1183" s="67"/>
      <c r="AP1183" s="67"/>
      <c r="AQ1183" s="67"/>
      <c r="AR1183" s="67"/>
      <c r="AS1183" s="67"/>
      <c r="AT1183" s="67"/>
      <c r="AU1183" s="67"/>
      <c r="AV1183" s="67"/>
      <c r="AW1183" s="67"/>
      <c r="AX1183" s="67">
        <v>7</v>
      </c>
      <c r="AY1183" s="67"/>
      <c r="AZ1183" s="67"/>
      <c r="BA1183" s="57"/>
      <c r="BB1183" s="67"/>
      <c r="BC1183" s="67"/>
      <c r="BD1183" s="67"/>
      <c r="BE1183" s="67"/>
      <c r="BF1183" s="67"/>
    </row>
    <row r="1184" spans="1:58" x14ac:dyDescent="0.25">
      <c r="A1184" s="88" t="s">
        <v>22</v>
      </c>
      <c r="B1184" s="48">
        <v>46209</v>
      </c>
      <c r="C1184" s="49">
        <f t="shared" ref="C1184:C1208" si="87">WEEKNUM(B1184)</f>
        <v>28</v>
      </c>
      <c r="D1184" s="50">
        <f>607+1094+256</f>
        <v>1957</v>
      </c>
      <c r="E1184" s="51">
        <f>[1]DETAY!$A$2</f>
        <v>0</v>
      </c>
      <c r="F1184" s="37">
        <f t="shared" ref="F1184:F1208" si="88">D1184-G1184</f>
        <v>1925</v>
      </c>
      <c r="G1184" s="38">
        <f t="shared" ref="G1184:G1223" si="89">SUBTOTAL(9,I1184:BE1184)</f>
        <v>32</v>
      </c>
      <c r="H1184" s="62">
        <f t="shared" ref="H1184:H1208" si="90">F1184/D1184</f>
        <v>0.98364844149207975</v>
      </c>
      <c r="I1184" s="51"/>
      <c r="J1184" s="51"/>
      <c r="K1184" s="51"/>
      <c r="L1184" s="51">
        <v>32</v>
      </c>
      <c r="M1184" s="93"/>
      <c r="N1184" s="51"/>
      <c r="O1184" s="51"/>
      <c r="P1184" s="51"/>
      <c r="Q1184" s="51"/>
      <c r="R1184" s="51"/>
      <c r="S1184" s="51"/>
      <c r="T1184" s="51"/>
      <c r="U1184" s="51"/>
      <c r="V1184" s="51"/>
      <c r="W1184" s="51"/>
      <c r="X1184" s="51"/>
      <c r="Y1184" s="51"/>
      <c r="Z1184" s="51"/>
      <c r="AA1184" s="51"/>
      <c r="AB1184" s="51"/>
      <c r="AC1184" s="51"/>
      <c r="AD1184" s="51"/>
      <c r="AE1184" s="51"/>
      <c r="AF1184" s="51"/>
      <c r="AG1184" s="51"/>
      <c r="AH1184" s="51"/>
      <c r="AI1184" s="51"/>
      <c r="AJ1184" s="51"/>
      <c r="AK1184" s="51"/>
      <c r="AL1184" s="51"/>
      <c r="AM1184" s="51"/>
      <c r="AN1184" s="51"/>
      <c r="AO1184" s="51"/>
      <c r="AP1184" s="51"/>
      <c r="AQ1184" s="51"/>
      <c r="AR1184" s="51"/>
      <c r="AS1184" s="51"/>
      <c r="AT1184" s="51"/>
      <c r="AU1184" s="51"/>
      <c r="AV1184" s="51"/>
      <c r="AW1184" s="51"/>
      <c r="AX1184" s="51"/>
      <c r="AY1184" s="51"/>
      <c r="AZ1184" s="51"/>
      <c r="BA1184" s="57"/>
      <c r="BB1184" s="51"/>
      <c r="BC1184" s="51"/>
      <c r="BD1184" s="51"/>
      <c r="BE1184" s="51"/>
      <c r="BF1184" s="51"/>
    </row>
    <row r="1185" spans="1:58" x14ac:dyDescent="0.25">
      <c r="A1185" s="30" t="s">
        <v>21</v>
      </c>
      <c r="B1185" s="48">
        <v>46209</v>
      </c>
      <c r="C1185" s="26">
        <f t="shared" si="87"/>
        <v>28</v>
      </c>
      <c r="D1185" s="27">
        <f>901+350</f>
        <v>1251</v>
      </c>
      <c r="E1185" s="24">
        <f>[1]DETAY!$A$2</f>
        <v>0</v>
      </c>
      <c r="F1185" s="23">
        <f t="shared" si="88"/>
        <v>1250</v>
      </c>
      <c r="G1185" s="7">
        <f t="shared" si="89"/>
        <v>1</v>
      </c>
      <c r="H1185" s="62">
        <f t="shared" si="90"/>
        <v>0.99920063948840931</v>
      </c>
      <c r="I1185" s="24"/>
      <c r="J1185" s="24"/>
      <c r="K1185" s="24"/>
      <c r="L1185" s="24">
        <v>1</v>
      </c>
      <c r="M1185" s="31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  <c r="AA1185" s="24"/>
      <c r="AB1185" s="24"/>
      <c r="AC1185" s="24"/>
      <c r="AD1185" s="24"/>
      <c r="AE1185" s="24"/>
      <c r="AF1185" s="24"/>
      <c r="AG1185" s="24"/>
      <c r="AH1185" s="24"/>
      <c r="AI1185" s="24"/>
      <c r="AJ1185" s="24"/>
      <c r="AK1185" s="24"/>
      <c r="AL1185" s="24"/>
      <c r="AM1185" s="24"/>
      <c r="AN1185" s="24"/>
      <c r="AO1185" s="24"/>
      <c r="AP1185" s="24"/>
      <c r="AQ1185" s="24"/>
      <c r="AR1185" s="24"/>
      <c r="AS1185" s="24"/>
      <c r="AT1185" s="24"/>
      <c r="AU1185" s="24"/>
      <c r="AV1185" s="24"/>
      <c r="AW1185" s="24"/>
      <c r="AX1185" s="24"/>
      <c r="AY1185" s="24"/>
      <c r="AZ1185" s="24"/>
      <c r="BA1185" s="57"/>
      <c r="BB1185" s="24"/>
      <c r="BC1185" s="24"/>
      <c r="BD1185" s="24"/>
      <c r="BE1185" s="24"/>
      <c r="BF1185" s="24"/>
    </row>
    <row r="1186" spans="1:58" x14ac:dyDescent="0.25">
      <c r="A1186" s="30" t="s">
        <v>20</v>
      </c>
      <c r="B1186" s="48">
        <v>46209</v>
      </c>
      <c r="C1186" s="26">
        <f t="shared" si="87"/>
        <v>28</v>
      </c>
      <c r="D1186" s="27">
        <f>1074</f>
        <v>1074</v>
      </c>
      <c r="E1186" s="24">
        <f>[1]DETAY!$A$2</f>
        <v>0</v>
      </c>
      <c r="F1186" s="23">
        <f t="shared" si="88"/>
        <v>1050</v>
      </c>
      <c r="G1186" s="7">
        <f t="shared" si="89"/>
        <v>24</v>
      </c>
      <c r="H1186" s="62">
        <f t="shared" si="90"/>
        <v>0.97765363128491622</v>
      </c>
      <c r="I1186" s="24"/>
      <c r="J1186" s="24">
        <v>22</v>
      </c>
      <c r="K1186" s="24"/>
      <c r="L1186" s="24">
        <v>2</v>
      </c>
      <c r="M1186" s="31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  <c r="AA1186" s="24"/>
      <c r="AB1186" s="24"/>
      <c r="AC1186" s="24"/>
      <c r="AD1186" s="24"/>
      <c r="AE1186" s="24"/>
      <c r="AF1186" s="24"/>
      <c r="AG1186" s="24"/>
      <c r="AH1186" s="24"/>
      <c r="AI1186" s="24"/>
      <c r="AJ1186" s="24"/>
      <c r="AK1186" s="24"/>
      <c r="AL1186" s="24"/>
      <c r="AM1186" s="24"/>
      <c r="AN1186" s="24"/>
      <c r="AO1186" s="24"/>
      <c r="AP1186" s="24"/>
      <c r="AQ1186" s="24"/>
      <c r="AR1186" s="24"/>
      <c r="AS1186" s="24"/>
      <c r="AT1186" s="24"/>
      <c r="AU1186" s="24"/>
      <c r="AV1186" s="24"/>
      <c r="AW1186" s="24"/>
      <c r="AX1186" s="24"/>
      <c r="AY1186" s="24"/>
      <c r="AZ1186" s="24"/>
      <c r="BA1186" s="57"/>
      <c r="BB1186" s="24"/>
      <c r="BC1186" s="24"/>
      <c r="BD1186" s="24"/>
      <c r="BE1186" s="24"/>
      <c r="BF1186" s="24"/>
    </row>
    <row r="1187" spans="1:58" x14ac:dyDescent="0.25">
      <c r="A1187" s="30" t="s">
        <v>19</v>
      </c>
      <c r="B1187" s="48">
        <v>46209</v>
      </c>
      <c r="C1187" s="26">
        <f t="shared" si="87"/>
        <v>28</v>
      </c>
      <c r="D1187" s="27">
        <f>1686+1673</f>
        <v>3359</v>
      </c>
      <c r="E1187" s="24">
        <f>[1]DETAY!$A$2</f>
        <v>0</v>
      </c>
      <c r="F1187" s="23">
        <f t="shared" si="88"/>
        <v>3254</v>
      </c>
      <c r="G1187" s="7">
        <f t="shared" si="89"/>
        <v>105</v>
      </c>
      <c r="H1187" s="62">
        <f t="shared" si="90"/>
        <v>0.96874069663590356</v>
      </c>
      <c r="I1187" s="24"/>
      <c r="J1187" s="24">
        <v>102</v>
      </c>
      <c r="K1187" s="24">
        <v>3</v>
      </c>
      <c r="L1187" s="24"/>
      <c r="M1187" s="31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  <c r="AA1187" s="24"/>
      <c r="AB1187" s="24"/>
      <c r="AC1187" s="24"/>
      <c r="AD1187" s="24"/>
      <c r="AE1187" s="24"/>
      <c r="AF1187" s="24"/>
      <c r="AG1187" s="24"/>
      <c r="AH1187" s="24"/>
      <c r="AI1187" s="24"/>
      <c r="AJ1187" s="24"/>
      <c r="AK1187" s="24"/>
      <c r="AL1187" s="24"/>
      <c r="AM1187" s="24"/>
      <c r="AN1187" s="24"/>
      <c r="AO1187" s="24"/>
      <c r="AP1187" s="24"/>
      <c r="AQ1187" s="24"/>
      <c r="AR1187" s="24"/>
      <c r="AS1187" s="24"/>
      <c r="AT1187" s="24"/>
      <c r="AU1187" s="24"/>
      <c r="AV1187" s="24"/>
      <c r="AW1187" s="24"/>
      <c r="AX1187" s="24"/>
      <c r="AY1187" s="24"/>
      <c r="AZ1187" s="24"/>
      <c r="BA1187" s="57"/>
      <c r="BB1187" s="24"/>
      <c r="BC1187" s="24"/>
      <c r="BD1187" s="24"/>
      <c r="BE1187" s="24"/>
      <c r="BF1187" s="24"/>
    </row>
    <row r="1188" spans="1:58" x14ac:dyDescent="0.25">
      <c r="A1188" s="30" t="s">
        <v>18</v>
      </c>
      <c r="B1188" s="48">
        <v>46209</v>
      </c>
      <c r="C1188" s="26">
        <f t="shared" si="87"/>
        <v>28</v>
      </c>
      <c r="D1188" s="27">
        <f>360+944+243</f>
        <v>1547</v>
      </c>
      <c r="E1188" s="24">
        <f>[1]DETAY!$A$2</f>
        <v>0</v>
      </c>
      <c r="F1188" s="23">
        <f t="shared" si="88"/>
        <v>1502</v>
      </c>
      <c r="G1188" s="7">
        <f t="shared" si="89"/>
        <v>45</v>
      </c>
      <c r="H1188" s="62">
        <f t="shared" si="90"/>
        <v>0.97091144149967679</v>
      </c>
      <c r="I1188" s="24"/>
      <c r="J1188" s="24">
        <v>45</v>
      </c>
      <c r="K1188" s="24"/>
      <c r="L1188" s="24"/>
      <c r="M1188" s="31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  <c r="AA1188" s="24"/>
      <c r="AB1188" s="24"/>
      <c r="AC1188" s="24"/>
      <c r="AD1188" s="24"/>
      <c r="AE1188" s="24"/>
      <c r="AF1188" s="24"/>
      <c r="AG1188" s="24"/>
      <c r="AH1188" s="24"/>
      <c r="AI1188" s="24"/>
      <c r="AJ1188" s="24"/>
      <c r="AK1188" s="24"/>
      <c r="AL1188" s="24"/>
      <c r="AM1188" s="24"/>
      <c r="AN1188" s="24"/>
      <c r="AO1188" s="24"/>
      <c r="AP1188" s="24"/>
      <c r="AQ1188" s="24"/>
      <c r="AR1188" s="24"/>
      <c r="AS1188" s="24"/>
      <c r="AT1188" s="24"/>
      <c r="AU1188" s="24"/>
      <c r="AV1188" s="24"/>
      <c r="AW1188" s="24"/>
      <c r="AX1188" s="24"/>
      <c r="AY1188" s="24"/>
      <c r="AZ1188" s="24"/>
      <c r="BA1188" s="57"/>
      <c r="BB1188" s="24"/>
      <c r="BC1188" s="24"/>
      <c r="BD1188" s="24"/>
      <c r="BE1188" s="24"/>
      <c r="BF1188" s="24"/>
    </row>
    <row r="1189" spans="1:58" x14ac:dyDescent="0.25">
      <c r="A1189" s="30" t="s">
        <v>17</v>
      </c>
      <c r="B1189" s="48">
        <v>46209</v>
      </c>
      <c r="C1189" s="26">
        <f t="shared" si="87"/>
        <v>28</v>
      </c>
      <c r="D1189" s="27">
        <f>727</f>
        <v>727</v>
      </c>
      <c r="E1189" s="24">
        <f>[1]DETAY!$A$2</f>
        <v>0</v>
      </c>
      <c r="F1189" s="23">
        <f t="shared" si="88"/>
        <v>700</v>
      </c>
      <c r="G1189" s="7">
        <f t="shared" si="89"/>
        <v>27</v>
      </c>
      <c r="H1189" s="62">
        <f t="shared" si="90"/>
        <v>0.96286107290233836</v>
      </c>
      <c r="I1189" s="24"/>
      <c r="J1189" s="24">
        <v>27</v>
      </c>
      <c r="K1189" s="24"/>
      <c r="L1189" s="24"/>
      <c r="M1189" s="31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  <c r="AA1189" s="24"/>
      <c r="AB1189" s="24"/>
      <c r="AC1189" s="24"/>
      <c r="AD1189" s="24"/>
      <c r="AE1189" s="24"/>
      <c r="AF1189" s="24"/>
      <c r="AG1189" s="24"/>
      <c r="AH1189" s="24"/>
      <c r="AI1189" s="24"/>
      <c r="AJ1189" s="24"/>
      <c r="AK1189" s="24"/>
      <c r="AL1189" s="24"/>
      <c r="AM1189" s="24"/>
      <c r="AN1189" s="24"/>
      <c r="AO1189" s="24"/>
      <c r="AP1189" s="24"/>
      <c r="AQ1189" s="24"/>
      <c r="AR1189" s="24"/>
      <c r="AS1189" s="24"/>
      <c r="AT1189" s="24"/>
      <c r="AU1189" s="24"/>
      <c r="AV1189" s="24"/>
      <c r="AW1189" s="24"/>
      <c r="AX1189" s="24"/>
      <c r="AY1189" s="24"/>
      <c r="AZ1189" s="24"/>
      <c r="BA1189" s="57"/>
      <c r="BB1189" s="24"/>
      <c r="BC1189" s="24"/>
      <c r="BD1189" s="24"/>
      <c r="BE1189" s="24"/>
      <c r="BF1189" s="24"/>
    </row>
    <row r="1190" spans="1:58" x14ac:dyDescent="0.25">
      <c r="A1190" s="30" t="s">
        <v>16</v>
      </c>
      <c r="B1190" s="48">
        <v>46209</v>
      </c>
      <c r="C1190" s="26">
        <f t="shared" si="87"/>
        <v>28</v>
      </c>
      <c r="D1190" s="27">
        <f>1579</f>
        <v>1579</v>
      </c>
      <c r="E1190" s="24">
        <f>[1]DETAY!$A$2</f>
        <v>0</v>
      </c>
      <c r="F1190" s="23">
        <f t="shared" si="88"/>
        <v>1435</v>
      </c>
      <c r="G1190" s="7">
        <f t="shared" si="89"/>
        <v>144</v>
      </c>
      <c r="H1190" s="62">
        <f t="shared" si="90"/>
        <v>0.90880303989867006</v>
      </c>
      <c r="I1190" s="24"/>
      <c r="J1190" s="24"/>
      <c r="K1190" s="24">
        <v>4</v>
      </c>
      <c r="L1190" s="24"/>
      <c r="M1190" s="31">
        <v>58</v>
      </c>
      <c r="N1190" s="24"/>
      <c r="O1190" s="24"/>
      <c r="P1190" s="24">
        <v>5</v>
      </c>
      <c r="Q1190" s="24">
        <v>13</v>
      </c>
      <c r="R1190" s="24"/>
      <c r="S1190" s="24"/>
      <c r="T1190" s="24">
        <v>20</v>
      </c>
      <c r="U1190" s="24"/>
      <c r="V1190" s="24"/>
      <c r="W1190" s="24"/>
      <c r="X1190" s="24"/>
      <c r="Y1190" s="24"/>
      <c r="Z1190" s="24"/>
      <c r="AA1190" s="24"/>
      <c r="AB1190" s="24"/>
      <c r="AC1190" s="24"/>
      <c r="AD1190" s="24"/>
      <c r="AE1190" s="24"/>
      <c r="AF1190" s="24"/>
      <c r="AG1190" s="24">
        <v>2</v>
      </c>
      <c r="AH1190" s="24"/>
      <c r="AI1190" s="24">
        <v>42</v>
      </c>
      <c r="AJ1190" s="24"/>
      <c r="AK1190" s="24"/>
      <c r="AL1190" s="24"/>
      <c r="AM1190" s="24"/>
      <c r="AN1190" s="24"/>
      <c r="AO1190" s="24"/>
      <c r="AP1190" s="24"/>
      <c r="AQ1190" s="24"/>
      <c r="AR1190" s="24"/>
      <c r="AS1190" s="24"/>
      <c r="AT1190" s="24"/>
      <c r="AU1190" s="24"/>
      <c r="AV1190" s="24"/>
      <c r="AW1190" s="24"/>
      <c r="AX1190" s="24"/>
      <c r="AY1190" s="24"/>
      <c r="AZ1190" s="24"/>
      <c r="BA1190" s="57"/>
      <c r="BB1190" s="24"/>
      <c r="BC1190" s="24"/>
      <c r="BD1190" s="24"/>
      <c r="BE1190" s="24"/>
      <c r="BF1190" s="24"/>
    </row>
    <row r="1191" spans="1:58" x14ac:dyDescent="0.25">
      <c r="A1191" s="30" t="s">
        <v>8</v>
      </c>
      <c r="B1191" s="48">
        <v>46209</v>
      </c>
      <c r="C1191" s="26">
        <f t="shared" si="87"/>
        <v>28</v>
      </c>
      <c r="D1191" s="27">
        <f>366+300</f>
        <v>666</v>
      </c>
      <c r="E1191" s="24">
        <f>[1]DETAY!$A$2</f>
        <v>0</v>
      </c>
      <c r="F1191" s="23">
        <f t="shared" si="88"/>
        <v>666</v>
      </c>
      <c r="G1191" s="7">
        <f t="shared" si="89"/>
        <v>0</v>
      </c>
      <c r="H1191" s="62">
        <f t="shared" si="90"/>
        <v>1</v>
      </c>
      <c r="I1191" s="24"/>
      <c r="J1191" s="24"/>
      <c r="K1191" s="24"/>
      <c r="L1191" s="24"/>
      <c r="M1191" s="31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  <c r="AA1191" s="24"/>
      <c r="AB1191" s="24"/>
      <c r="AC1191" s="24"/>
      <c r="AD1191" s="24"/>
      <c r="AE1191" s="24"/>
      <c r="AF1191" s="24"/>
      <c r="AG1191" s="24"/>
      <c r="AH1191" s="24"/>
      <c r="AI1191" s="24"/>
      <c r="AJ1191" s="24"/>
      <c r="AK1191" s="24"/>
      <c r="AL1191" s="24"/>
      <c r="AM1191" s="24"/>
      <c r="AN1191" s="24"/>
      <c r="AO1191" s="24"/>
      <c r="AP1191" s="24"/>
      <c r="AQ1191" s="24"/>
      <c r="AR1191" s="24"/>
      <c r="AS1191" s="24"/>
      <c r="AT1191" s="24"/>
      <c r="AU1191" s="24"/>
      <c r="AV1191" s="24"/>
      <c r="AW1191" s="24"/>
      <c r="AX1191" s="24"/>
      <c r="AY1191" s="24"/>
      <c r="AZ1191" s="24"/>
      <c r="BA1191" s="57"/>
      <c r="BB1191" s="24"/>
      <c r="BC1191" s="24"/>
      <c r="BD1191" s="24"/>
      <c r="BE1191" s="24"/>
      <c r="BF1191" s="24"/>
    </row>
    <row r="1192" spans="1:58" x14ac:dyDescent="0.25">
      <c r="A1192" s="30" t="s">
        <v>15</v>
      </c>
      <c r="B1192" s="48">
        <v>46209</v>
      </c>
      <c r="C1192" s="26">
        <f t="shared" si="87"/>
        <v>28</v>
      </c>
      <c r="D1192" s="27">
        <f>660</f>
        <v>660</v>
      </c>
      <c r="E1192" s="24">
        <f>[1]DETAY!$A$2</f>
        <v>0</v>
      </c>
      <c r="F1192" s="23">
        <f t="shared" si="88"/>
        <v>660</v>
      </c>
      <c r="G1192" s="7">
        <f t="shared" si="89"/>
        <v>0</v>
      </c>
      <c r="H1192" s="62">
        <f t="shared" si="90"/>
        <v>1</v>
      </c>
      <c r="I1192" s="24"/>
      <c r="J1192" s="24"/>
      <c r="K1192" s="24"/>
      <c r="L1192" s="24"/>
      <c r="M1192" s="31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  <c r="AA1192" s="24"/>
      <c r="AB1192" s="24"/>
      <c r="AC1192" s="24"/>
      <c r="AD1192" s="24"/>
      <c r="AE1192" s="24"/>
      <c r="AF1192" s="24"/>
      <c r="AG1192" s="24"/>
      <c r="AH1192" s="24"/>
      <c r="AI1192" s="24"/>
      <c r="AJ1192" s="24"/>
      <c r="AK1192" s="24"/>
      <c r="AL1192" s="24"/>
      <c r="AM1192" s="24"/>
      <c r="AN1192" s="24"/>
      <c r="AO1192" s="24"/>
      <c r="AP1192" s="24"/>
      <c r="AQ1192" s="24"/>
      <c r="AR1192" s="24"/>
      <c r="AS1192" s="24"/>
      <c r="AT1192" s="24"/>
      <c r="AU1192" s="24"/>
      <c r="AV1192" s="24"/>
      <c r="AW1192" s="24"/>
      <c r="AX1192" s="24"/>
      <c r="AY1192" s="24"/>
      <c r="AZ1192" s="24"/>
      <c r="BA1192" s="57"/>
      <c r="BB1192" s="24"/>
      <c r="BC1192" s="24"/>
      <c r="BD1192" s="24"/>
      <c r="BE1192" s="24"/>
      <c r="BF1192" s="24"/>
    </row>
    <row r="1193" spans="1:58" x14ac:dyDescent="0.25">
      <c r="A1193" s="30" t="s">
        <v>81</v>
      </c>
      <c r="B1193" s="48">
        <v>46209</v>
      </c>
      <c r="C1193" s="26">
        <f t="shared" si="87"/>
        <v>28</v>
      </c>
      <c r="D1193" s="27">
        <f>82</f>
        <v>82</v>
      </c>
      <c r="E1193" s="24">
        <f>[1]DETAY!$A$2</f>
        <v>0</v>
      </c>
      <c r="F1193" s="23">
        <f t="shared" si="88"/>
        <v>82</v>
      </c>
      <c r="G1193" s="7">
        <f t="shared" si="89"/>
        <v>0</v>
      </c>
      <c r="H1193" s="62">
        <f t="shared" si="90"/>
        <v>1</v>
      </c>
      <c r="I1193" s="24"/>
      <c r="J1193" s="24"/>
      <c r="K1193" s="24"/>
      <c r="L1193" s="24"/>
      <c r="M1193" s="31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  <c r="AA1193" s="24"/>
      <c r="AB1193" s="24"/>
      <c r="AC1193" s="24"/>
      <c r="AD1193" s="24"/>
      <c r="AE1193" s="24"/>
      <c r="AF1193" s="24"/>
      <c r="AG1193" s="24"/>
      <c r="AH1193" s="24"/>
      <c r="AI1193" s="24"/>
      <c r="AJ1193" s="24"/>
      <c r="AK1193" s="24"/>
      <c r="AL1193" s="24"/>
      <c r="AM1193" s="24"/>
      <c r="AN1193" s="24"/>
      <c r="AO1193" s="24"/>
      <c r="AP1193" s="24"/>
      <c r="AQ1193" s="24"/>
      <c r="AR1193" s="24"/>
      <c r="AS1193" s="24"/>
      <c r="AT1193" s="24"/>
      <c r="AU1193" s="24"/>
      <c r="AV1193" s="24"/>
      <c r="AW1193" s="24"/>
      <c r="AX1193" s="24"/>
      <c r="AY1193" s="24"/>
      <c r="AZ1193" s="24"/>
      <c r="BA1193" s="57"/>
      <c r="BB1193" s="24"/>
      <c r="BC1193" s="24"/>
      <c r="BD1193" s="24"/>
      <c r="BE1193" s="24"/>
      <c r="BF1193" s="24"/>
    </row>
    <row r="1194" spans="1:58" x14ac:dyDescent="0.25">
      <c r="A1194" s="30" t="s">
        <v>14</v>
      </c>
      <c r="B1194" s="48">
        <v>46209</v>
      </c>
      <c r="C1194" s="26">
        <f t="shared" si="87"/>
        <v>28</v>
      </c>
      <c r="D1194" s="27">
        <f>577</f>
        <v>577</v>
      </c>
      <c r="E1194" s="24">
        <f>[1]DETAY!$A$2</f>
        <v>0</v>
      </c>
      <c r="F1194" s="23">
        <f t="shared" si="88"/>
        <v>576</v>
      </c>
      <c r="G1194" s="7">
        <f t="shared" si="89"/>
        <v>1</v>
      </c>
      <c r="H1194" s="62">
        <f t="shared" si="90"/>
        <v>0.99826689774696709</v>
      </c>
      <c r="I1194" s="24"/>
      <c r="J1194" s="24"/>
      <c r="K1194" s="24"/>
      <c r="L1194" s="24"/>
      <c r="M1194" s="31">
        <v>1</v>
      </c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  <c r="AA1194" s="24"/>
      <c r="AB1194" s="24"/>
      <c r="AC1194" s="24"/>
      <c r="AD1194" s="24"/>
      <c r="AE1194" s="24"/>
      <c r="AF1194" s="24"/>
      <c r="AG1194" s="24"/>
      <c r="AH1194" s="24"/>
      <c r="AI1194" s="24"/>
      <c r="AJ1194" s="24"/>
      <c r="AK1194" s="24"/>
      <c r="AL1194" s="24"/>
      <c r="AM1194" s="24"/>
      <c r="AN1194" s="24"/>
      <c r="AO1194" s="24"/>
      <c r="AP1194" s="24"/>
      <c r="AQ1194" s="24"/>
      <c r="AR1194" s="24"/>
      <c r="AS1194" s="24"/>
      <c r="AT1194" s="24"/>
      <c r="AU1194" s="24"/>
      <c r="AV1194" s="24"/>
      <c r="AW1194" s="24"/>
      <c r="AX1194" s="24"/>
      <c r="AY1194" s="24"/>
      <c r="AZ1194" s="24"/>
      <c r="BA1194" s="57"/>
      <c r="BB1194" s="24"/>
      <c r="BC1194" s="24"/>
      <c r="BD1194" s="24"/>
      <c r="BE1194" s="24"/>
      <c r="BF1194" s="24"/>
    </row>
    <row r="1195" spans="1:58" x14ac:dyDescent="0.25">
      <c r="A1195" s="30" t="s">
        <v>13</v>
      </c>
      <c r="B1195" s="48">
        <v>46209</v>
      </c>
      <c r="C1195" s="26">
        <f t="shared" si="87"/>
        <v>28</v>
      </c>
      <c r="D1195" s="27">
        <f>1440+660+840</f>
        <v>2940</v>
      </c>
      <c r="E1195" s="24">
        <f>[1]DETAY!$A$2</f>
        <v>0</v>
      </c>
      <c r="F1195" s="23">
        <f t="shared" si="88"/>
        <v>2940</v>
      </c>
      <c r="G1195" s="7">
        <f t="shared" si="89"/>
        <v>0</v>
      </c>
      <c r="H1195" s="62">
        <f t="shared" si="90"/>
        <v>1</v>
      </c>
      <c r="I1195" s="24"/>
      <c r="J1195" s="24"/>
      <c r="K1195" s="24"/>
      <c r="L1195" s="24"/>
      <c r="M1195" s="31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  <c r="AA1195" s="24"/>
      <c r="AB1195" s="24"/>
      <c r="AC1195" s="24"/>
      <c r="AD1195" s="24"/>
      <c r="AE1195" s="24"/>
      <c r="AF1195" s="24"/>
      <c r="AG1195" s="24"/>
      <c r="AH1195" s="24"/>
      <c r="AI1195" s="24"/>
      <c r="AJ1195" s="24"/>
      <c r="AK1195" s="24"/>
      <c r="AL1195" s="24"/>
      <c r="AM1195" s="24"/>
      <c r="AN1195" s="24"/>
      <c r="AO1195" s="24"/>
      <c r="AP1195" s="24"/>
      <c r="AQ1195" s="24"/>
      <c r="AR1195" s="24"/>
      <c r="AS1195" s="24"/>
      <c r="AT1195" s="24"/>
      <c r="AU1195" s="24"/>
      <c r="AV1195" s="24"/>
      <c r="AW1195" s="24"/>
      <c r="AX1195" s="24"/>
      <c r="AY1195" s="24"/>
      <c r="AZ1195" s="24"/>
      <c r="BA1195" s="57"/>
      <c r="BB1195" s="24"/>
      <c r="BC1195" s="24"/>
      <c r="BD1195" s="24"/>
      <c r="BE1195" s="24"/>
      <c r="BF1195" s="24"/>
    </row>
    <row r="1196" spans="1:58" x14ac:dyDescent="0.25">
      <c r="A1196" s="30" t="s">
        <v>12</v>
      </c>
      <c r="B1196" s="48">
        <v>46209</v>
      </c>
      <c r="C1196" s="26">
        <f t="shared" si="87"/>
        <v>28</v>
      </c>
      <c r="D1196" s="27">
        <f>200+200</f>
        <v>400</v>
      </c>
      <c r="E1196" s="24">
        <f>[1]DETAY!$A$2</f>
        <v>0</v>
      </c>
      <c r="F1196" s="23">
        <f t="shared" si="88"/>
        <v>400</v>
      </c>
      <c r="G1196" s="7">
        <f t="shared" si="89"/>
        <v>0</v>
      </c>
      <c r="H1196" s="62">
        <f t="shared" si="90"/>
        <v>1</v>
      </c>
      <c r="I1196" s="24"/>
      <c r="J1196" s="24"/>
      <c r="K1196" s="24"/>
      <c r="L1196" s="24"/>
      <c r="M1196" s="31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  <c r="AA1196" s="24"/>
      <c r="AB1196" s="24"/>
      <c r="AC1196" s="24"/>
      <c r="AD1196" s="24"/>
      <c r="AE1196" s="24"/>
      <c r="AF1196" s="24"/>
      <c r="AG1196" s="24"/>
      <c r="AH1196" s="24"/>
      <c r="AI1196" s="24"/>
      <c r="AJ1196" s="24"/>
      <c r="AK1196" s="24"/>
      <c r="AL1196" s="24"/>
      <c r="AM1196" s="24"/>
      <c r="AN1196" s="24"/>
      <c r="AO1196" s="24"/>
      <c r="AP1196" s="24"/>
      <c r="AQ1196" s="24"/>
      <c r="AR1196" s="24"/>
      <c r="AS1196" s="24"/>
      <c r="AT1196" s="24"/>
      <c r="AU1196" s="24"/>
      <c r="AV1196" s="24"/>
      <c r="AW1196" s="24"/>
      <c r="AX1196" s="24"/>
      <c r="AY1196" s="24"/>
      <c r="AZ1196" s="24"/>
      <c r="BA1196" s="57"/>
      <c r="BB1196" s="24"/>
      <c r="BC1196" s="24"/>
      <c r="BD1196" s="24"/>
      <c r="BE1196" s="24"/>
      <c r="BF1196" s="24"/>
    </row>
    <row r="1197" spans="1:58" x14ac:dyDescent="0.25">
      <c r="A1197" s="30" t="s">
        <v>11</v>
      </c>
      <c r="B1197" s="48">
        <v>46209</v>
      </c>
      <c r="C1197" s="26">
        <f t="shared" si="87"/>
        <v>28</v>
      </c>
      <c r="D1197" s="27">
        <f>1934</f>
        <v>1934</v>
      </c>
      <c r="E1197" s="24">
        <f>[1]DETAY!$A$2</f>
        <v>0</v>
      </c>
      <c r="F1197" s="23">
        <f t="shared" si="88"/>
        <v>1930</v>
      </c>
      <c r="G1197" s="7">
        <f t="shared" si="89"/>
        <v>4</v>
      </c>
      <c r="H1197" s="62">
        <f t="shared" si="90"/>
        <v>0.99793174767321613</v>
      </c>
      <c r="I1197" s="24"/>
      <c r="J1197" s="24"/>
      <c r="K1197" s="24"/>
      <c r="L1197" s="24">
        <v>4</v>
      </c>
      <c r="M1197" s="31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  <c r="AA1197" s="24"/>
      <c r="AB1197" s="24"/>
      <c r="AC1197" s="24"/>
      <c r="AD1197" s="24"/>
      <c r="AE1197" s="24"/>
      <c r="AF1197" s="24"/>
      <c r="AG1197" s="24"/>
      <c r="AH1197" s="24"/>
      <c r="AI1197" s="24"/>
      <c r="AJ1197" s="24"/>
      <c r="AK1197" s="24"/>
      <c r="AL1197" s="24"/>
      <c r="AM1197" s="24"/>
      <c r="AN1197" s="24"/>
      <c r="AO1197" s="24"/>
      <c r="AP1197" s="24"/>
      <c r="AQ1197" s="24"/>
      <c r="AR1197" s="24"/>
      <c r="AS1197" s="24"/>
      <c r="AT1197" s="24"/>
      <c r="AU1197" s="24"/>
      <c r="AV1197" s="24"/>
      <c r="AW1197" s="24"/>
      <c r="AX1197" s="24"/>
      <c r="AY1197" s="24"/>
      <c r="AZ1197" s="24"/>
      <c r="BA1197" s="57"/>
      <c r="BB1197" s="24"/>
      <c r="BC1197" s="24"/>
      <c r="BD1197" s="24"/>
      <c r="BE1197" s="24"/>
      <c r="BF1197" s="24"/>
    </row>
    <row r="1198" spans="1:58" x14ac:dyDescent="0.25">
      <c r="A1198" s="30" t="s">
        <v>10</v>
      </c>
      <c r="B1198" s="48">
        <v>46209</v>
      </c>
      <c r="C1198" s="26">
        <f t="shared" si="87"/>
        <v>28</v>
      </c>
      <c r="D1198" s="27">
        <f>602+552+456</f>
        <v>1610</v>
      </c>
      <c r="E1198" s="24">
        <f>[1]DETAY!$A$2</f>
        <v>0</v>
      </c>
      <c r="F1198" s="23">
        <f t="shared" si="88"/>
        <v>1595</v>
      </c>
      <c r="G1198" s="7">
        <f t="shared" si="89"/>
        <v>15</v>
      </c>
      <c r="H1198" s="62">
        <f t="shared" si="90"/>
        <v>0.99068322981366463</v>
      </c>
      <c r="I1198" s="24"/>
      <c r="J1198" s="24"/>
      <c r="K1198" s="24"/>
      <c r="L1198" s="24"/>
      <c r="M1198" s="31">
        <v>15</v>
      </c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  <c r="AA1198" s="24"/>
      <c r="AB1198" s="24"/>
      <c r="AC1198" s="24"/>
      <c r="AD1198" s="24"/>
      <c r="AE1198" s="24"/>
      <c r="AF1198" s="24"/>
      <c r="AG1198" s="24"/>
      <c r="AH1198" s="24"/>
      <c r="AI1198" s="24"/>
      <c r="AJ1198" s="24"/>
      <c r="AK1198" s="24"/>
      <c r="AL1198" s="24"/>
      <c r="AM1198" s="24"/>
      <c r="AN1198" s="24"/>
      <c r="AO1198" s="24"/>
      <c r="AP1198" s="24"/>
      <c r="AQ1198" s="24"/>
      <c r="AR1198" s="24"/>
      <c r="AS1198" s="24"/>
      <c r="AT1198" s="24"/>
      <c r="AU1198" s="24"/>
      <c r="AV1198" s="24"/>
      <c r="AW1198" s="24"/>
      <c r="AX1198" s="24"/>
      <c r="AY1198" s="24"/>
      <c r="AZ1198" s="24"/>
      <c r="BA1198" s="57"/>
      <c r="BB1198" s="24"/>
      <c r="BC1198" s="24"/>
      <c r="BD1198" s="24"/>
      <c r="BE1198" s="24"/>
      <c r="BF1198" s="24"/>
    </row>
    <row r="1199" spans="1:58" x14ac:dyDescent="0.25">
      <c r="A1199" s="30" t="s">
        <v>9</v>
      </c>
      <c r="B1199" s="48">
        <v>46209</v>
      </c>
      <c r="C1199" s="26">
        <f t="shared" si="87"/>
        <v>28</v>
      </c>
      <c r="D1199" s="27">
        <f>691+489+324</f>
        <v>1504</v>
      </c>
      <c r="E1199" s="24">
        <f>[1]DETAY!$A$2</f>
        <v>0</v>
      </c>
      <c r="F1199" s="23">
        <f t="shared" si="88"/>
        <v>1494</v>
      </c>
      <c r="G1199" s="7">
        <f t="shared" si="89"/>
        <v>10</v>
      </c>
      <c r="H1199" s="62">
        <f t="shared" si="90"/>
        <v>0.99335106382978722</v>
      </c>
      <c r="I1199" s="24"/>
      <c r="J1199" s="24"/>
      <c r="K1199" s="24"/>
      <c r="L1199" s="24"/>
      <c r="M1199" s="31">
        <v>10</v>
      </c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  <c r="AA1199" s="24"/>
      <c r="AB1199" s="24"/>
      <c r="AC1199" s="24"/>
      <c r="AD1199" s="24"/>
      <c r="AE1199" s="24"/>
      <c r="AF1199" s="24"/>
      <c r="AG1199" s="24"/>
      <c r="AH1199" s="24"/>
      <c r="AI1199" s="24"/>
      <c r="AJ1199" s="24"/>
      <c r="AK1199" s="24"/>
      <c r="AL1199" s="24"/>
      <c r="AM1199" s="24"/>
      <c r="AN1199" s="24"/>
      <c r="AO1199" s="24"/>
      <c r="AP1199" s="24"/>
      <c r="AQ1199" s="24"/>
      <c r="AR1199" s="24"/>
      <c r="AS1199" s="24"/>
      <c r="AT1199" s="24"/>
      <c r="AU1199" s="24"/>
      <c r="AV1199" s="24"/>
      <c r="AW1199" s="24"/>
      <c r="AX1199" s="24"/>
      <c r="AY1199" s="24"/>
      <c r="AZ1199" s="24"/>
      <c r="BA1199" s="57"/>
      <c r="BB1199" s="24"/>
      <c r="BC1199" s="24"/>
      <c r="BD1199" s="24"/>
      <c r="BE1199" s="24"/>
      <c r="BF1199" s="24"/>
    </row>
    <row r="1200" spans="1:58" x14ac:dyDescent="0.25">
      <c r="A1200" s="30" t="s">
        <v>7</v>
      </c>
      <c r="B1200" s="48">
        <v>46209</v>
      </c>
      <c r="C1200" s="26">
        <f t="shared" si="87"/>
        <v>28</v>
      </c>
      <c r="D1200" s="27">
        <f>384+480</f>
        <v>864</v>
      </c>
      <c r="E1200" s="24">
        <f>[1]DETAY!$A$2</f>
        <v>0</v>
      </c>
      <c r="F1200" s="23">
        <f t="shared" si="88"/>
        <v>864</v>
      </c>
      <c r="G1200" s="7">
        <f t="shared" si="89"/>
        <v>0</v>
      </c>
      <c r="H1200" s="62">
        <f t="shared" si="90"/>
        <v>1</v>
      </c>
      <c r="I1200" s="24"/>
      <c r="J1200" s="24"/>
      <c r="K1200" s="24"/>
      <c r="L1200" s="24"/>
      <c r="M1200" s="31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  <c r="AA1200" s="24"/>
      <c r="AB1200" s="24"/>
      <c r="AC1200" s="24"/>
      <c r="AD1200" s="24"/>
      <c r="AE1200" s="24"/>
      <c r="AF1200" s="24"/>
      <c r="AG1200" s="24"/>
      <c r="AH1200" s="24"/>
      <c r="AI1200" s="24"/>
      <c r="AJ1200" s="24"/>
      <c r="AK1200" s="24"/>
      <c r="AL1200" s="24"/>
      <c r="AM1200" s="24"/>
      <c r="AN1200" s="24"/>
      <c r="AO1200" s="24"/>
      <c r="AP1200" s="24"/>
      <c r="AQ1200" s="24"/>
      <c r="AR1200" s="24"/>
      <c r="AS1200" s="24"/>
      <c r="AT1200" s="24"/>
      <c r="AU1200" s="24"/>
      <c r="AV1200" s="24"/>
      <c r="AW1200" s="24"/>
      <c r="AX1200" s="24"/>
      <c r="AY1200" s="24"/>
      <c r="AZ1200" s="24"/>
      <c r="BA1200" s="57"/>
      <c r="BB1200" s="24"/>
      <c r="BC1200" s="24"/>
      <c r="BD1200" s="24"/>
      <c r="BE1200" s="24"/>
      <c r="BF1200" s="24"/>
    </row>
    <row r="1201" spans="1:58" x14ac:dyDescent="0.25">
      <c r="A1201" s="30" t="s">
        <v>4</v>
      </c>
      <c r="B1201" s="48">
        <v>46209</v>
      </c>
      <c r="C1201" s="26">
        <f t="shared" si="87"/>
        <v>28</v>
      </c>
      <c r="D1201" s="27">
        <f>154</f>
        <v>154</v>
      </c>
      <c r="E1201" s="24">
        <f>[1]DETAY!$A$2</f>
        <v>0</v>
      </c>
      <c r="F1201" s="23">
        <f t="shared" si="88"/>
        <v>154</v>
      </c>
      <c r="G1201" s="7">
        <f t="shared" si="89"/>
        <v>0</v>
      </c>
      <c r="H1201" s="62">
        <f t="shared" si="90"/>
        <v>1</v>
      </c>
      <c r="I1201" s="24"/>
      <c r="J1201" s="24"/>
      <c r="K1201" s="24"/>
      <c r="L1201" s="24"/>
      <c r="M1201" s="31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  <c r="AA1201" s="24"/>
      <c r="AB1201" s="24"/>
      <c r="AC1201" s="24"/>
      <c r="AD1201" s="24"/>
      <c r="AE1201" s="24"/>
      <c r="AF1201" s="24"/>
      <c r="AG1201" s="24"/>
      <c r="AH1201" s="24"/>
      <c r="AI1201" s="24"/>
      <c r="AJ1201" s="24"/>
      <c r="AK1201" s="24"/>
      <c r="AL1201" s="24"/>
      <c r="AM1201" s="24"/>
      <c r="AN1201" s="24"/>
      <c r="AO1201" s="24"/>
      <c r="AP1201" s="24"/>
      <c r="AQ1201" s="24"/>
      <c r="AR1201" s="24"/>
      <c r="AS1201" s="24"/>
      <c r="AT1201" s="24"/>
      <c r="AU1201" s="24"/>
      <c r="AV1201" s="24"/>
      <c r="AW1201" s="24"/>
      <c r="AX1201" s="24"/>
      <c r="AY1201" s="24"/>
      <c r="AZ1201" s="24"/>
      <c r="BA1201" s="57"/>
      <c r="BB1201" s="24"/>
      <c r="BC1201" s="24"/>
      <c r="BD1201" s="24"/>
      <c r="BE1201" s="24"/>
      <c r="BF1201" s="24"/>
    </row>
    <row r="1202" spans="1:58" x14ac:dyDescent="0.25">
      <c r="A1202" s="95" t="s">
        <v>95</v>
      </c>
      <c r="B1202" s="48">
        <v>46209</v>
      </c>
      <c r="C1202" s="26">
        <f>WEEKNUM(B1202)</f>
        <v>28</v>
      </c>
      <c r="D1202" s="27">
        <f>167</f>
        <v>167</v>
      </c>
      <c r="E1202" s="24">
        <f>[1]DETAY!$A$2</f>
        <v>0</v>
      </c>
      <c r="F1202" s="97">
        <f>D1202-G1202</f>
        <v>167</v>
      </c>
      <c r="G1202" s="7">
        <f>SUBTOTAL(9,I1202:BD1202)</f>
        <v>0</v>
      </c>
      <c r="H1202" s="96">
        <f>F1202/D1202</f>
        <v>1</v>
      </c>
      <c r="I1202" s="24"/>
      <c r="J1202" s="24"/>
      <c r="K1202" s="24"/>
      <c r="L1202" s="24"/>
      <c r="M1202" s="31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  <c r="AA1202" s="24"/>
      <c r="AB1202" s="24"/>
      <c r="AC1202" s="24"/>
      <c r="AD1202" s="24"/>
      <c r="AE1202" s="24"/>
      <c r="AF1202" s="24"/>
      <c r="AG1202" s="24"/>
      <c r="AH1202" s="24"/>
      <c r="AI1202" s="24"/>
      <c r="AJ1202" s="24"/>
      <c r="AK1202" s="24"/>
      <c r="AL1202" s="24"/>
      <c r="AM1202" s="24"/>
      <c r="AN1202" s="24"/>
      <c r="AO1202" s="24"/>
      <c r="AP1202" s="24"/>
      <c r="AQ1202" s="24"/>
      <c r="AR1202" s="24"/>
      <c r="AS1202" s="24"/>
      <c r="AT1202" s="24"/>
      <c r="AU1202" s="24"/>
      <c r="AV1202" s="24"/>
      <c r="AW1202" s="24"/>
      <c r="AX1202" s="24"/>
      <c r="AY1202" s="24"/>
      <c r="AZ1202" s="24"/>
      <c r="BA1202" s="22"/>
      <c r="BB1202" s="24"/>
      <c r="BC1202" s="24"/>
      <c r="BD1202" s="24"/>
      <c r="BE1202" s="24"/>
      <c r="BF1202" s="24"/>
    </row>
    <row r="1203" spans="1:58" x14ac:dyDescent="0.25">
      <c r="A1203" s="30" t="s">
        <v>1</v>
      </c>
      <c r="B1203" s="48">
        <v>46209</v>
      </c>
      <c r="C1203" s="26">
        <f t="shared" si="87"/>
        <v>28</v>
      </c>
      <c r="D1203" s="27">
        <f>99+60+295</f>
        <v>454</v>
      </c>
      <c r="E1203" s="24">
        <f>[1]DETAY!$A$2</f>
        <v>0</v>
      </c>
      <c r="F1203" s="23">
        <f t="shared" si="88"/>
        <v>385</v>
      </c>
      <c r="G1203" s="7">
        <f t="shared" si="89"/>
        <v>69</v>
      </c>
      <c r="H1203" s="62">
        <f t="shared" si="90"/>
        <v>0.84801762114537449</v>
      </c>
      <c r="I1203" s="24"/>
      <c r="J1203" s="24"/>
      <c r="K1203" s="24"/>
      <c r="L1203" s="24"/>
      <c r="M1203" s="31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  <c r="AA1203" s="24"/>
      <c r="AB1203" s="24"/>
      <c r="AC1203" s="24"/>
      <c r="AD1203" s="24"/>
      <c r="AE1203" s="24"/>
      <c r="AF1203" s="24"/>
      <c r="AG1203" s="24"/>
      <c r="AH1203" s="24"/>
      <c r="AI1203" s="24"/>
      <c r="AJ1203" s="24"/>
      <c r="AK1203" s="24"/>
      <c r="AL1203" s="24"/>
      <c r="AM1203" s="24"/>
      <c r="AN1203" s="24"/>
      <c r="AO1203" s="24"/>
      <c r="AP1203" s="24"/>
      <c r="AQ1203" s="24"/>
      <c r="AR1203" s="24"/>
      <c r="AS1203" s="24"/>
      <c r="AT1203" s="24">
        <v>69</v>
      </c>
      <c r="AU1203" s="24"/>
      <c r="AV1203" s="24"/>
      <c r="AW1203" s="24"/>
      <c r="AX1203" s="24"/>
      <c r="AY1203" s="24"/>
      <c r="AZ1203" s="24"/>
      <c r="BA1203" s="57"/>
      <c r="BB1203" s="24"/>
      <c r="BC1203" s="24"/>
      <c r="BD1203" s="24"/>
      <c r="BE1203" s="24"/>
      <c r="BF1203" s="24"/>
    </row>
    <row r="1204" spans="1:58" ht="15.75" thickBot="1" x14ac:dyDescent="0.3">
      <c r="A1204" s="63" t="s">
        <v>0</v>
      </c>
      <c r="B1204" s="64">
        <v>46209</v>
      </c>
      <c r="C1204" s="65">
        <f t="shared" si="87"/>
        <v>28</v>
      </c>
      <c r="D1204" s="66">
        <f>76</f>
        <v>76</v>
      </c>
      <c r="E1204" s="67">
        <f>[1]DETAY!$A$2</f>
        <v>0</v>
      </c>
      <c r="F1204" s="45">
        <f t="shared" si="88"/>
        <v>70</v>
      </c>
      <c r="G1204" s="46">
        <f t="shared" si="89"/>
        <v>6</v>
      </c>
      <c r="H1204" s="62">
        <f t="shared" si="90"/>
        <v>0.92105263157894735</v>
      </c>
      <c r="I1204" s="67"/>
      <c r="J1204" s="67"/>
      <c r="K1204" s="67"/>
      <c r="L1204" s="67"/>
      <c r="M1204" s="68"/>
      <c r="N1204" s="67"/>
      <c r="O1204" s="67"/>
      <c r="P1204" s="67"/>
      <c r="Q1204" s="67"/>
      <c r="R1204" s="67"/>
      <c r="S1204" s="67"/>
      <c r="T1204" s="67"/>
      <c r="U1204" s="67"/>
      <c r="V1204" s="67"/>
      <c r="W1204" s="67"/>
      <c r="X1204" s="67"/>
      <c r="Y1204" s="67"/>
      <c r="Z1204" s="67"/>
      <c r="AA1204" s="67"/>
      <c r="AB1204" s="67"/>
      <c r="AC1204" s="67"/>
      <c r="AD1204" s="67"/>
      <c r="AE1204" s="67"/>
      <c r="AF1204" s="67"/>
      <c r="AG1204" s="67"/>
      <c r="AH1204" s="67"/>
      <c r="AI1204" s="67"/>
      <c r="AJ1204" s="67"/>
      <c r="AK1204" s="67"/>
      <c r="AL1204" s="67"/>
      <c r="AM1204" s="67"/>
      <c r="AN1204" s="67"/>
      <c r="AO1204" s="67"/>
      <c r="AP1204" s="67"/>
      <c r="AQ1204" s="67"/>
      <c r="AR1204" s="67"/>
      <c r="AS1204" s="67"/>
      <c r="AT1204" s="67">
        <v>6</v>
      </c>
      <c r="AU1204" s="67"/>
      <c r="AV1204" s="67"/>
      <c r="AW1204" s="67"/>
      <c r="AX1204" s="67"/>
      <c r="AY1204" s="67"/>
      <c r="AZ1204" s="67"/>
      <c r="BA1204" s="57"/>
      <c r="BB1204" s="67"/>
      <c r="BC1204" s="67"/>
      <c r="BD1204" s="67"/>
      <c r="BE1204" s="67"/>
      <c r="BF1204" s="67"/>
    </row>
    <row r="1205" spans="1:58" x14ac:dyDescent="0.25">
      <c r="A1205" s="98" t="s">
        <v>22</v>
      </c>
      <c r="B1205" s="106">
        <v>46210</v>
      </c>
      <c r="C1205" s="100">
        <f t="shared" si="87"/>
        <v>28</v>
      </c>
      <c r="D1205" s="101">
        <f>256+1214+696</f>
        <v>2166</v>
      </c>
      <c r="E1205" s="102">
        <f>[1]DETAY!$A$2</f>
        <v>0</v>
      </c>
      <c r="F1205" s="103">
        <f t="shared" si="88"/>
        <v>2135</v>
      </c>
      <c r="G1205" s="7">
        <f t="shared" si="89"/>
        <v>31</v>
      </c>
      <c r="H1205" s="6">
        <f t="shared" si="90"/>
        <v>0.98568790397045247</v>
      </c>
      <c r="I1205" s="102"/>
      <c r="J1205" s="102"/>
      <c r="K1205" s="102">
        <v>2</v>
      </c>
      <c r="L1205" s="102">
        <v>29</v>
      </c>
      <c r="M1205" s="102"/>
      <c r="N1205" s="102"/>
      <c r="O1205" s="102"/>
      <c r="P1205" s="102"/>
      <c r="Q1205" s="102"/>
      <c r="R1205" s="102"/>
      <c r="S1205" s="102"/>
      <c r="T1205" s="102"/>
      <c r="U1205" s="102"/>
      <c r="V1205" s="102"/>
      <c r="W1205" s="102"/>
      <c r="X1205" s="102"/>
      <c r="Y1205" s="102"/>
      <c r="Z1205" s="102"/>
      <c r="AA1205" s="102"/>
      <c r="AB1205" s="102"/>
      <c r="AC1205" s="102"/>
      <c r="AD1205" s="102"/>
      <c r="AE1205" s="102"/>
      <c r="AF1205" s="102"/>
      <c r="AG1205" s="102"/>
      <c r="AH1205" s="102"/>
      <c r="AI1205" s="102"/>
      <c r="AJ1205" s="102"/>
      <c r="AK1205" s="102"/>
      <c r="AL1205" s="102"/>
      <c r="AM1205" s="102"/>
      <c r="AN1205" s="102"/>
      <c r="AO1205" s="102"/>
      <c r="AP1205" s="102"/>
      <c r="AQ1205" s="102"/>
      <c r="AR1205" s="102"/>
      <c r="AS1205" s="102"/>
      <c r="AT1205" s="102"/>
      <c r="AU1205" s="102"/>
      <c r="AV1205" s="102"/>
      <c r="AW1205" s="102"/>
      <c r="AX1205" s="102"/>
      <c r="AY1205" s="102"/>
      <c r="AZ1205" s="102"/>
      <c r="BA1205" s="102"/>
      <c r="BB1205" s="102"/>
      <c r="BC1205" s="102"/>
      <c r="BD1205" s="102"/>
      <c r="BE1205" s="102"/>
      <c r="BF1205" s="102"/>
    </row>
    <row r="1206" spans="1:58" x14ac:dyDescent="0.25">
      <c r="A1206" s="98" t="s">
        <v>20</v>
      </c>
      <c r="B1206" s="99">
        <v>46210</v>
      </c>
      <c r="C1206" s="100">
        <f t="shared" si="87"/>
        <v>28</v>
      </c>
      <c r="D1206" s="101">
        <f>203</f>
        <v>203</v>
      </c>
      <c r="E1206" s="102">
        <f>[1]DETAY!$A$2</f>
        <v>0</v>
      </c>
      <c r="F1206" s="103">
        <f t="shared" si="88"/>
        <v>187</v>
      </c>
      <c r="G1206" s="7">
        <f t="shared" si="89"/>
        <v>16</v>
      </c>
      <c r="H1206" s="6">
        <f t="shared" si="90"/>
        <v>0.9211822660098522</v>
      </c>
      <c r="I1206" s="102"/>
      <c r="J1206" s="102">
        <v>16</v>
      </c>
      <c r="K1206" s="102"/>
      <c r="L1206" s="102"/>
      <c r="M1206" s="102"/>
      <c r="N1206" s="102"/>
      <c r="O1206" s="102"/>
      <c r="P1206" s="102"/>
      <c r="Q1206" s="102"/>
      <c r="R1206" s="102"/>
      <c r="S1206" s="102"/>
      <c r="T1206" s="102"/>
      <c r="U1206" s="102"/>
      <c r="V1206" s="102"/>
      <c r="W1206" s="102"/>
      <c r="X1206" s="102"/>
      <c r="Y1206" s="102"/>
      <c r="Z1206" s="102"/>
      <c r="AA1206" s="102"/>
      <c r="AB1206" s="102"/>
      <c r="AC1206" s="102"/>
      <c r="AD1206" s="102"/>
      <c r="AE1206" s="102"/>
      <c r="AF1206" s="102"/>
      <c r="AG1206" s="102"/>
      <c r="AH1206" s="102"/>
      <c r="AI1206" s="102"/>
      <c r="AJ1206" s="102"/>
      <c r="AK1206" s="102"/>
      <c r="AL1206" s="102"/>
      <c r="AM1206" s="102"/>
      <c r="AN1206" s="102"/>
      <c r="AO1206" s="102"/>
      <c r="AP1206" s="102"/>
      <c r="AQ1206" s="102"/>
      <c r="AR1206" s="102"/>
      <c r="AS1206" s="102"/>
      <c r="AT1206" s="102"/>
      <c r="AU1206" s="102"/>
      <c r="AV1206" s="102"/>
      <c r="AW1206" s="102"/>
      <c r="AX1206" s="102"/>
      <c r="AY1206" s="102"/>
      <c r="AZ1206" s="102"/>
      <c r="BA1206" s="102"/>
      <c r="BB1206" s="102"/>
      <c r="BC1206" s="102"/>
      <c r="BD1206" s="102"/>
      <c r="BE1206" s="102"/>
      <c r="BF1206" s="102"/>
    </row>
    <row r="1207" spans="1:58" x14ac:dyDescent="0.25">
      <c r="A1207" s="104" t="s">
        <v>19</v>
      </c>
      <c r="B1207" s="99">
        <v>46210</v>
      </c>
      <c r="C1207" s="26">
        <f t="shared" si="87"/>
        <v>28</v>
      </c>
      <c r="D1207" s="27">
        <f>350</f>
        <v>350</v>
      </c>
      <c r="E1207" s="24">
        <f>[1]DETAY!$A$2</f>
        <v>0</v>
      </c>
      <c r="F1207" s="103">
        <f t="shared" si="88"/>
        <v>350</v>
      </c>
      <c r="G1207" s="7">
        <f t="shared" si="89"/>
        <v>0</v>
      </c>
      <c r="H1207" s="6">
        <f t="shared" si="90"/>
        <v>1</v>
      </c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  <c r="AA1207" s="24"/>
      <c r="AB1207" s="24"/>
      <c r="AC1207" s="24"/>
      <c r="AD1207" s="24"/>
      <c r="AE1207" s="24"/>
      <c r="AF1207" s="24"/>
      <c r="AG1207" s="24"/>
      <c r="AH1207" s="24"/>
      <c r="AI1207" s="24"/>
      <c r="AJ1207" s="24"/>
      <c r="AK1207" s="24"/>
      <c r="AL1207" s="24"/>
      <c r="AM1207" s="24"/>
      <c r="AN1207" s="24"/>
      <c r="AO1207" s="24"/>
      <c r="AP1207" s="24"/>
      <c r="AQ1207" s="24"/>
      <c r="AR1207" s="24"/>
      <c r="AS1207" s="24"/>
      <c r="AT1207" s="24"/>
      <c r="AU1207" s="24"/>
      <c r="AV1207" s="24"/>
      <c r="AW1207" s="24"/>
      <c r="AX1207" s="24"/>
      <c r="AY1207" s="24"/>
      <c r="AZ1207" s="24"/>
      <c r="BA1207" s="24"/>
      <c r="BB1207" s="24"/>
      <c r="BC1207" s="24"/>
      <c r="BD1207" s="24"/>
      <c r="BE1207" s="24"/>
      <c r="BF1207" s="24"/>
    </row>
    <row r="1208" spans="1:58" x14ac:dyDescent="0.25">
      <c r="A1208" s="98" t="s">
        <v>18</v>
      </c>
      <c r="B1208" s="99">
        <v>46210</v>
      </c>
      <c r="C1208" s="100">
        <f t="shared" si="87"/>
        <v>28</v>
      </c>
      <c r="D1208" s="101">
        <f>243+525+700</f>
        <v>1468</v>
      </c>
      <c r="E1208" s="102">
        <f>[1]DETAY!$A$2</f>
        <v>0</v>
      </c>
      <c r="F1208" s="103">
        <f t="shared" si="88"/>
        <v>1440</v>
      </c>
      <c r="G1208" s="7">
        <f t="shared" si="89"/>
        <v>28</v>
      </c>
      <c r="H1208" s="6">
        <f t="shared" si="90"/>
        <v>0.98092643051771122</v>
      </c>
      <c r="I1208" s="102"/>
      <c r="J1208" s="102">
        <v>28</v>
      </c>
      <c r="K1208" s="102"/>
      <c r="L1208" s="102"/>
      <c r="M1208" s="102"/>
      <c r="N1208" s="102"/>
      <c r="O1208" s="102"/>
      <c r="P1208" s="102"/>
      <c r="Q1208" s="102"/>
      <c r="R1208" s="102"/>
      <c r="S1208" s="102"/>
      <c r="T1208" s="102"/>
      <c r="U1208" s="102"/>
      <c r="V1208" s="102"/>
      <c r="W1208" s="102"/>
      <c r="X1208" s="102"/>
      <c r="Y1208" s="102"/>
      <c r="Z1208" s="102"/>
      <c r="AA1208" s="102"/>
      <c r="AB1208" s="102"/>
      <c r="AC1208" s="102"/>
      <c r="AD1208" s="102"/>
      <c r="AE1208" s="102"/>
      <c r="AF1208" s="102"/>
      <c r="AG1208" s="102"/>
      <c r="AH1208" s="102"/>
      <c r="AI1208" s="102"/>
      <c r="AJ1208" s="102"/>
      <c r="AK1208" s="102"/>
      <c r="AL1208" s="102"/>
      <c r="AM1208" s="102"/>
      <c r="AN1208" s="102"/>
      <c r="AO1208" s="102"/>
      <c r="AP1208" s="102"/>
      <c r="AQ1208" s="102"/>
      <c r="AR1208" s="102"/>
      <c r="AS1208" s="102"/>
      <c r="AT1208" s="102"/>
      <c r="AU1208" s="102"/>
      <c r="AV1208" s="102"/>
      <c r="AW1208" s="102"/>
      <c r="AX1208" s="102"/>
      <c r="AY1208" s="102"/>
      <c r="AZ1208" s="102"/>
      <c r="BA1208" s="102"/>
      <c r="BB1208" s="102"/>
      <c r="BC1208" s="102"/>
      <c r="BD1208" s="102"/>
      <c r="BE1208" s="102"/>
      <c r="BF1208" s="102"/>
    </row>
    <row r="1209" spans="1:58" x14ac:dyDescent="0.25">
      <c r="A1209" s="104" t="s">
        <v>17</v>
      </c>
      <c r="B1209" s="99">
        <v>46210</v>
      </c>
      <c r="C1209" s="26">
        <f>WEEKNUM(B1209)</f>
        <v>28</v>
      </c>
      <c r="D1209" s="27">
        <f>1526+854</f>
        <v>2380</v>
      </c>
      <c r="E1209" s="24">
        <f>[1]DETAY!$A$2</f>
        <v>0</v>
      </c>
      <c r="F1209" s="103">
        <f>D1209-G1209</f>
        <v>2335</v>
      </c>
      <c r="G1209" s="7">
        <f t="shared" si="89"/>
        <v>45</v>
      </c>
      <c r="H1209" s="6">
        <f>F1209/D1209</f>
        <v>0.98109243697478987</v>
      </c>
      <c r="I1209" s="24"/>
      <c r="J1209" s="24">
        <v>37</v>
      </c>
      <c r="K1209" s="24"/>
      <c r="L1209" s="24">
        <v>8</v>
      </c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  <c r="AA1209" s="24"/>
      <c r="AB1209" s="24"/>
      <c r="AC1209" s="24"/>
      <c r="AD1209" s="24"/>
      <c r="AE1209" s="24"/>
      <c r="AF1209" s="24"/>
      <c r="AG1209" s="24"/>
      <c r="AH1209" s="24"/>
      <c r="AI1209" s="24"/>
      <c r="AJ1209" s="24"/>
      <c r="AK1209" s="24"/>
      <c r="AL1209" s="24"/>
      <c r="AM1209" s="24"/>
      <c r="AN1209" s="24"/>
      <c r="AO1209" s="24"/>
      <c r="AP1209" s="24"/>
      <c r="AQ1209" s="24"/>
      <c r="AR1209" s="24"/>
      <c r="AS1209" s="24"/>
      <c r="AT1209" s="24"/>
      <c r="AU1209" s="24"/>
      <c r="AV1209" s="24"/>
      <c r="AW1209" s="24"/>
      <c r="AX1209" s="24"/>
      <c r="AY1209" s="24"/>
      <c r="AZ1209" s="24"/>
      <c r="BA1209" s="24"/>
      <c r="BB1209" s="24"/>
      <c r="BC1209" s="24"/>
      <c r="BD1209" s="24"/>
      <c r="BE1209" s="24"/>
      <c r="BF1209" s="24"/>
    </row>
    <row r="1210" spans="1:58" x14ac:dyDescent="0.25">
      <c r="A1210" s="98" t="s">
        <v>16</v>
      </c>
      <c r="B1210" s="99">
        <v>46210</v>
      </c>
      <c r="C1210" s="100">
        <f t="shared" ref="C1210:C1211" si="91">WEEKNUM(B1210)</f>
        <v>28</v>
      </c>
      <c r="D1210" s="101">
        <f>1116+179</f>
        <v>1295</v>
      </c>
      <c r="E1210" s="102">
        <f>[1]DETAY!$A$2</f>
        <v>0</v>
      </c>
      <c r="F1210" s="103">
        <f t="shared" ref="F1210:F1211" si="92">D1210-G1210</f>
        <v>1155</v>
      </c>
      <c r="G1210" s="7">
        <f t="shared" si="89"/>
        <v>140</v>
      </c>
      <c r="H1210" s="6">
        <f t="shared" ref="H1210:H1211" si="93">F1210/D1210</f>
        <v>0.89189189189189189</v>
      </c>
      <c r="I1210" s="102"/>
      <c r="J1210" s="102"/>
      <c r="K1210" s="102">
        <v>1</v>
      </c>
      <c r="L1210" s="102">
        <v>33</v>
      </c>
      <c r="M1210" s="102">
        <v>38</v>
      </c>
      <c r="N1210" s="102"/>
      <c r="O1210" s="102"/>
      <c r="P1210" s="102"/>
      <c r="Q1210" s="102">
        <v>2</v>
      </c>
      <c r="R1210" s="102"/>
      <c r="S1210" s="102"/>
      <c r="T1210" s="102">
        <v>36</v>
      </c>
      <c r="U1210" s="102"/>
      <c r="V1210" s="102"/>
      <c r="W1210" s="102"/>
      <c r="X1210" s="102"/>
      <c r="Y1210" s="102"/>
      <c r="Z1210" s="102"/>
      <c r="AA1210" s="102"/>
      <c r="AB1210" s="102"/>
      <c r="AC1210" s="102"/>
      <c r="AD1210" s="102"/>
      <c r="AE1210" s="102"/>
      <c r="AF1210" s="102"/>
      <c r="AG1210" s="102">
        <v>2</v>
      </c>
      <c r="AH1210" s="102"/>
      <c r="AI1210" s="102">
        <v>28</v>
      </c>
      <c r="AJ1210" s="102"/>
      <c r="AK1210" s="102"/>
      <c r="AL1210" s="102"/>
      <c r="AM1210" s="102"/>
      <c r="AN1210" s="102"/>
      <c r="AO1210" s="102"/>
      <c r="AP1210" s="102"/>
      <c r="AQ1210" s="102"/>
      <c r="AR1210" s="102"/>
      <c r="AS1210" s="102"/>
      <c r="AT1210" s="102"/>
      <c r="AU1210" s="102"/>
      <c r="AV1210" s="102"/>
      <c r="AW1210" s="102"/>
      <c r="AX1210" s="102"/>
      <c r="AY1210" s="102"/>
      <c r="AZ1210" s="102"/>
      <c r="BA1210" s="102"/>
      <c r="BB1210" s="102"/>
      <c r="BC1210" s="102"/>
      <c r="BD1210" s="102"/>
      <c r="BE1210" s="102"/>
      <c r="BF1210" s="102"/>
    </row>
    <row r="1211" spans="1:58" x14ac:dyDescent="0.25">
      <c r="A1211" s="104" t="s">
        <v>8</v>
      </c>
      <c r="B1211" s="99">
        <v>46210</v>
      </c>
      <c r="C1211" s="26">
        <f t="shared" si="91"/>
        <v>28</v>
      </c>
      <c r="D1211" s="27">
        <f>300+400+200</f>
        <v>900</v>
      </c>
      <c r="E1211" s="24">
        <f>[1]DETAY!$A$2</f>
        <v>0</v>
      </c>
      <c r="F1211" s="103">
        <f t="shared" si="92"/>
        <v>899</v>
      </c>
      <c r="G1211" s="7">
        <f t="shared" si="89"/>
        <v>1</v>
      </c>
      <c r="H1211" s="6">
        <f t="shared" si="93"/>
        <v>0.99888888888888894</v>
      </c>
      <c r="I1211" s="24"/>
      <c r="J1211" s="24"/>
      <c r="K1211" s="24"/>
      <c r="L1211" s="24"/>
      <c r="M1211" s="24">
        <v>1</v>
      </c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  <c r="AA1211" s="24"/>
      <c r="AB1211" s="24"/>
      <c r="AC1211" s="24"/>
      <c r="AD1211" s="24"/>
      <c r="AE1211" s="24"/>
      <c r="AF1211" s="24"/>
      <c r="AG1211" s="24"/>
      <c r="AH1211" s="24"/>
      <c r="AI1211" s="24"/>
      <c r="AJ1211" s="24"/>
      <c r="AK1211" s="24"/>
      <c r="AL1211" s="24"/>
      <c r="AM1211" s="24"/>
      <c r="AN1211" s="24"/>
      <c r="AO1211" s="24"/>
      <c r="AP1211" s="24"/>
      <c r="AQ1211" s="24"/>
      <c r="AR1211" s="24"/>
      <c r="AS1211" s="24"/>
      <c r="AT1211" s="24"/>
      <c r="AU1211" s="24"/>
      <c r="AV1211" s="24"/>
      <c r="AW1211" s="24"/>
      <c r="AX1211" s="24"/>
      <c r="AY1211" s="24"/>
      <c r="AZ1211" s="24"/>
      <c r="BA1211" s="24"/>
      <c r="BB1211" s="24"/>
      <c r="BC1211" s="24"/>
      <c r="BD1211" s="24"/>
      <c r="BE1211" s="24"/>
      <c r="BF1211" s="24"/>
    </row>
    <row r="1212" spans="1:58" x14ac:dyDescent="0.25">
      <c r="A1212" s="98" t="s">
        <v>15</v>
      </c>
      <c r="B1212" s="99">
        <v>46210</v>
      </c>
      <c r="C1212" s="100">
        <f>WEEKNUM(B1212)</f>
        <v>28</v>
      </c>
      <c r="D1212" s="101">
        <f>660+150+880</f>
        <v>1690</v>
      </c>
      <c r="E1212" s="102">
        <f>[1]DETAY!$A$2</f>
        <v>0</v>
      </c>
      <c r="F1212" s="103">
        <f>D1212-G1212</f>
        <v>1690</v>
      </c>
      <c r="G1212" s="7">
        <f t="shared" si="89"/>
        <v>0</v>
      </c>
      <c r="H1212" s="6">
        <f>F1212/D1212</f>
        <v>1</v>
      </c>
      <c r="I1212" s="102"/>
      <c r="J1212" s="102"/>
      <c r="K1212" s="102"/>
      <c r="L1212" s="102"/>
      <c r="M1212" s="102"/>
      <c r="N1212" s="102"/>
      <c r="O1212" s="102"/>
      <c r="P1212" s="102"/>
      <c r="Q1212" s="102"/>
      <c r="R1212" s="102"/>
      <c r="S1212" s="102"/>
      <c r="T1212" s="102"/>
      <c r="U1212" s="102"/>
      <c r="V1212" s="102"/>
      <c r="W1212" s="102"/>
      <c r="X1212" s="102"/>
      <c r="Y1212" s="102"/>
      <c r="Z1212" s="102"/>
      <c r="AA1212" s="102"/>
      <c r="AB1212" s="102"/>
      <c r="AC1212" s="102"/>
      <c r="AD1212" s="102"/>
      <c r="AE1212" s="102"/>
      <c r="AF1212" s="102"/>
      <c r="AG1212" s="102"/>
      <c r="AH1212" s="102"/>
      <c r="AI1212" s="102"/>
      <c r="AJ1212" s="102"/>
      <c r="AK1212" s="102"/>
      <c r="AL1212" s="102"/>
      <c r="AM1212" s="102"/>
      <c r="AN1212" s="102"/>
      <c r="AO1212" s="102"/>
      <c r="AP1212" s="102"/>
      <c r="AQ1212" s="102"/>
      <c r="AR1212" s="102"/>
      <c r="AS1212" s="102"/>
      <c r="AT1212" s="102"/>
      <c r="AU1212" s="102"/>
      <c r="AV1212" s="102"/>
      <c r="AW1212" s="102"/>
      <c r="AX1212" s="102"/>
      <c r="AY1212" s="102"/>
      <c r="AZ1212" s="102"/>
      <c r="BA1212" s="102"/>
      <c r="BB1212" s="102"/>
      <c r="BC1212" s="102"/>
      <c r="BD1212" s="102"/>
      <c r="BE1212" s="102"/>
      <c r="BF1212" s="102"/>
    </row>
    <row r="1213" spans="1:58" x14ac:dyDescent="0.25">
      <c r="A1213" s="98" t="s">
        <v>13</v>
      </c>
      <c r="B1213" s="99">
        <v>46210</v>
      </c>
      <c r="C1213" s="100">
        <f t="shared" ref="C1213:C1219" si="94">WEEKNUM(B1213)</f>
        <v>28</v>
      </c>
      <c r="D1213" s="101">
        <f>1200+120+666</f>
        <v>1986</v>
      </c>
      <c r="E1213" s="102">
        <f>[1]DETAY!$A$2</f>
        <v>0</v>
      </c>
      <c r="F1213" s="103">
        <f t="shared" ref="F1213:F1219" si="95">D1213-G1213</f>
        <v>1986</v>
      </c>
      <c r="G1213" s="7">
        <f t="shared" si="89"/>
        <v>0</v>
      </c>
      <c r="H1213" s="6">
        <f t="shared" ref="H1213:H1219" si="96">F1213/D1213</f>
        <v>1</v>
      </c>
      <c r="I1213" s="102"/>
      <c r="J1213" s="102"/>
      <c r="K1213" s="102"/>
      <c r="L1213" s="102"/>
      <c r="M1213" s="102"/>
      <c r="N1213" s="102"/>
      <c r="O1213" s="102"/>
      <c r="P1213" s="102"/>
      <c r="Q1213" s="102"/>
      <c r="R1213" s="102"/>
      <c r="S1213" s="102"/>
      <c r="T1213" s="102"/>
      <c r="U1213" s="102"/>
      <c r="V1213" s="102"/>
      <c r="W1213" s="102"/>
      <c r="X1213" s="102"/>
      <c r="Y1213" s="102"/>
      <c r="Z1213" s="102"/>
      <c r="AA1213" s="102"/>
      <c r="AB1213" s="102"/>
      <c r="AC1213" s="102"/>
      <c r="AD1213" s="102"/>
      <c r="AE1213" s="102"/>
      <c r="AF1213" s="102"/>
      <c r="AG1213" s="102"/>
      <c r="AH1213" s="102"/>
      <c r="AI1213" s="102"/>
      <c r="AJ1213" s="102"/>
      <c r="AK1213" s="102"/>
      <c r="AL1213" s="102"/>
      <c r="AM1213" s="102"/>
      <c r="AN1213" s="102"/>
      <c r="AO1213" s="102"/>
      <c r="AP1213" s="102"/>
      <c r="AQ1213" s="102"/>
      <c r="AR1213" s="102"/>
      <c r="AS1213" s="102"/>
      <c r="AT1213" s="102"/>
      <c r="AU1213" s="102"/>
      <c r="AV1213" s="102"/>
      <c r="AW1213" s="102"/>
      <c r="AX1213" s="102"/>
      <c r="AY1213" s="102"/>
      <c r="AZ1213" s="102"/>
      <c r="BA1213" s="102"/>
      <c r="BB1213" s="102"/>
      <c r="BC1213" s="102"/>
      <c r="BD1213" s="102"/>
      <c r="BE1213" s="102"/>
      <c r="BF1213" s="102"/>
    </row>
    <row r="1214" spans="1:58" x14ac:dyDescent="0.25">
      <c r="A1214" s="104" t="s">
        <v>12</v>
      </c>
      <c r="B1214" s="99">
        <v>46210</v>
      </c>
      <c r="C1214" s="26">
        <f t="shared" si="94"/>
        <v>28</v>
      </c>
      <c r="D1214" s="27">
        <f>275+567+1235</f>
        <v>2077</v>
      </c>
      <c r="E1214" s="24">
        <f>[1]DETAY!$A$2</f>
        <v>0</v>
      </c>
      <c r="F1214" s="103">
        <f t="shared" si="95"/>
        <v>2075</v>
      </c>
      <c r="G1214" s="7">
        <f t="shared" si="89"/>
        <v>2</v>
      </c>
      <c r="H1214" s="6">
        <f t="shared" si="96"/>
        <v>0.99903707270101105</v>
      </c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  <c r="AA1214" s="24"/>
      <c r="AB1214" s="24"/>
      <c r="AC1214" s="24"/>
      <c r="AD1214" s="24"/>
      <c r="AE1214" s="24"/>
      <c r="AF1214" s="24"/>
      <c r="AG1214" s="24"/>
      <c r="AH1214" s="24"/>
      <c r="AI1214" s="24"/>
      <c r="AJ1214" s="24"/>
      <c r="AK1214" s="24"/>
      <c r="AL1214" s="24"/>
      <c r="AM1214" s="24"/>
      <c r="AN1214" s="24"/>
      <c r="AO1214" s="24"/>
      <c r="AP1214" s="24"/>
      <c r="AQ1214" s="24"/>
      <c r="AR1214" s="24"/>
      <c r="AS1214" s="24"/>
      <c r="AT1214" s="24">
        <v>2</v>
      </c>
      <c r="AU1214" s="24"/>
      <c r="AV1214" s="24"/>
      <c r="AW1214" s="24"/>
      <c r="AX1214" s="24"/>
      <c r="AY1214" s="24"/>
      <c r="AZ1214" s="24"/>
      <c r="BA1214" s="24"/>
      <c r="BB1214" s="24"/>
      <c r="BC1214" s="24"/>
      <c r="BD1214" s="24"/>
      <c r="BE1214" s="24"/>
      <c r="BF1214" s="24"/>
    </row>
    <row r="1215" spans="1:58" x14ac:dyDescent="0.25">
      <c r="A1215" s="98" t="s">
        <v>11</v>
      </c>
      <c r="B1215" s="99">
        <v>46210</v>
      </c>
      <c r="C1215" s="100">
        <f t="shared" si="94"/>
        <v>28</v>
      </c>
      <c r="D1215" s="101">
        <f>795</f>
        <v>795</v>
      </c>
      <c r="E1215" s="102">
        <f>[1]DETAY!$A$2</f>
        <v>0</v>
      </c>
      <c r="F1215" s="103">
        <f t="shared" si="95"/>
        <v>742</v>
      </c>
      <c r="G1215" s="7">
        <f t="shared" si="89"/>
        <v>53</v>
      </c>
      <c r="H1215" s="6">
        <f t="shared" si="96"/>
        <v>0.93333333333333335</v>
      </c>
      <c r="I1215" s="102"/>
      <c r="J1215" s="102"/>
      <c r="K1215" s="102">
        <v>49</v>
      </c>
      <c r="L1215" s="102"/>
      <c r="M1215" s="102"/>
      <c r="N1215" s="102"/>
      <c r="O1215" s="102"/>
      <c r="P1215" s="102"/>
      <c r="Q1215" s="102"/>
      <c r="R1215" s="102"/>
      <c r="S1215" s="102"/>
      <c r="T1215" s="102"/>
      <c r="U1215" s="102">
        <v>4</v>
      </c>
      <c r="V1215" s="102"/>
      <c r="W1215" s="102"/>
      <c r="X1215" s="102"/>
      <c r="Y1215" s="102"/>
      <c r="Z1215" s="102"/>
      <c r="AA1215" s="102"/>
      <c r="AB1215" s="102"/>
      <c r="AC1215" s="102"/>
      <c r="AD1215" s="102"/>
      <c r="AE1215" s="102"/>
      <c r="AF1215" s="102"/>
      <c r="AG1215" s="102"/>
      <c r="AH1215" s="102"/>
      <c r="AI1215" s="102"/>
      <c r="AJ1215" s="102"/>
      <c r="AK1215" s="102"/>
      <c r="AL1215" s="102"/>
      <c r="AM1215" s="102"/>
      <c r="AN1215" s="102"/>
      <c r="AO1215" s="102"/>
      <c r="AP1215" s="102"/>
      <c r="AQ1215" s="102"/>
      <c r="AR1215" s="102"/>
      <c r="AS1215" s="102"/>
      <c r="AT1215" s="102"/>
      <c r="AU1215" s="102"/>
      <c r="AV1215" s="102"/>
      <c r="AW1215" s="102"/>
      <c r="AX1215" s="102"/>
      <c r="AY1215" s="102"/>
      <c r="AZ1215" s="102"/>
      <c r="BA1215" s="102"/>
      <c r="BB1215" s="102"/>
      <c r="BC1215" s="102"/>
      <c r="BD1215" s="102"/>
      <c r="BE1215" s="102"/>
      <c r="BF1215" s="102"/>
    </row>
    <row r="1216" spans="1:58" x14ac:dyDescent="0.25">
      <c r="A1216" s="95" t="s">
        <v>10</v>
      </c>
      <c r="B1216" s="99">
        <v>46210</v>
      </c>
      <c r="C1216" s="26">
        <f t="shared" si="94"/>
        <v>28</v>
      </c>
      <c r="D1216" s="27">
        <f>456+542+423+62</f>
        <v>1483</v>
      </c>
      <c r="E1216" s="24">
        <f>[1]DETAY!$A$2</f>
        <v>0</v>
      </c>
      <c r="F1216" s="103">
        <f t="shared" si="95"/>
        <v>1475</v>
      </c>
      <c r="G1216" s="7">
        <f t="shared" si="89"/>
        <v>8</v>
      </c>
      <c r="H1216" s="6">
        <f t="shared" si="96"/>
        <v>0.99460552933243429</v>
      </c>
      <c r="I1216" s="24"/>
      <c r="J1216" s="24"/>
      <c r="K1216" s="24"/>
      <c r="L1216" s="24"/>
      <c r="M1216" s="24">
        <v>8</v>
      </c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  <c r="AA1216" s="24"/>
      <c r="AB1216" s="24"/>
      <c r="AC1216" s="24"/>
      <c r="AD1216" s="24"/>
      <c r="AE1216" s="24"/>
      <c r="AF1216" s="24"/>
      <c r="AG1216" s="24"/>
      <c r="AH1216" s="24"/>
      <c r="AI1216" s="24"/>
      <c r="AJ1216" s="24"/>
      <c r="AK1216" s="24"/>
      <c r="AL1216" s="24"/>
      <c r="AM1216" s="24"/>
      <c r="AN1216" s="24"/>
      <c r="AO1216" s="24"/>
      <c r="AP1216" s="24"/>
      <c r="AQ1216" s="24"/>
      <c r="AR1216" s="24"/>
      <c r="AS1216" s="24"/>
      <c r="AT1216" s="24"/>
      <c r="AU1216" s="24"/>
      <c r="AV1216" s="24"/>
      <c r="AW1216" s="24"/>
      <c r="AX1216" s="24"/>
      <c r="AY1216" s="24"/>
      <c r="AZ1216" s="24"/>
      <c r="BA1216" s="24"/>
      <c r="BB1216" s="24"/>
      <c r="BC1216" s="24"/>
      <c r="BD1216" s="24"/>
      <c r="BE1216" s="24"/>
      <c r="BF1216" s="24"/>
    </row>
    <row r="1217" spans="1:58" x14ac:dyDescent="0.25">
      <c r="A1217" s="105" t="s">
        <v>9</v>
      </c>
      <c r="B1217" s="99">
        <v>46210</v>
      </c>
      <c r="C1217" s="100">
        <f t="shared" si="94"/>
        <v>28</v>
      </c>
      <c r="D1217" s="101">
        <f>324+586+286+120</f>
        <v>1316</v>
      </c>
      <c r="E1217" s="102">
        <f>[1]DETAY!$A$2</f>
        <v>0</v>
      </c>
      <c r="F1217" s="103">
        <f t="shared" si="95"/>
        <v>1301</v>
      </c>
      <c r="G1217" s="7">
        <f t="shared" si="89"/>
        <v>15</v>
      </c>
      <c r="H1217" s="6">
        <f t="shared" si="96"/>
        <v>0.98860182370820671</v>
      </c>
      <c r="I1217" s="102"/>
      <c r="J1217" s="102"/>
      <c r="K1217" s="102"/>
      <c r="L1217" s="102"/>
      <c r="M1217" s="102">
        <v>15</v>
      </c>
      <c r="N1217" s="102"/>
      <c r="O1217" s="102"/>
      <c r="P1217" s="102"/>
      <c r="Q1217" s="102"/>
      <c r="R1217" s="102"/>
      <c r="S1217" s="102"/>
      <c r="T1217" s="102"/>
      <c r="U1217" s="102"/>
      <c r="V1217" s="102"/>
      <c r="W1217" s="102"/>
      <c r="X1217" s="102"/>
      <c r="Y1217" s="102"/>
      <c r="Z1217" s="102"/>
      <c r="AA1217" s="102"/>
      <c r="AB1217" s="102"/>
      <c r="AC1217" s="102"/>
      <c r="AD1217" s="102"/>
      <c r="AE1217" s="102"/>
      <c r="AF1217" s="102"/>
      <c r="AG1217" s="102"/>
      <c r="AH1217" s="102"/>
      <c r="AI1217" s="102"/>
      <c r="AJ1217" s="102"/>
      <c r="AK1217" s="102"/>
      <c r="AL1217" s="102"/>
      <c r="AM1217" s="102"/>
      <c r="AN1217" s="102"/>
      <c r="AO1217" s="102"/>
      <c r="AP1217" s="102"/>
      <c r="AQ1217" s="102"/>
      <c r="AR1217" s="102"/>
      <c r="AS1217" s="102"/>
      <c r="AT1217" s="102"/>
      <c r="AU1217" s="102"/>
      <c r="AV1217" s="102"/>
      <c r="AW1217" s="102"/>
      <c r="AX1217" s="102"/>
      <c r="AY1217" s="102"/>
      <c r="AZ1217" s="102"/>
      <c r="BA1217" s="102"/>
      <c r="BB1217" s="102"/>
      <c r="BC1217" s="102"/>
      <c r="BD1217" s="102"/>
      <c r="BE1217" s="102"/>
      <c r="BF1217" s="102"/>
    </row>
    <row r="1218" spans="1:58" x14ac:dyDescent="0.25">
      <c r="A1218" s="104" t="s">
        <v>7</v>
      </c>
      <c r="B1218" s="99">
        <v>46210</v>
      </c>
      <c r="C1218" s="26">
        <f t="shared" si="94"/>
        <v>28</v>
      </c>
      <c r="D1218" s="27">
        <f>960+640+384</f>
        <v>1984</v>
      </c>
      <c r="E1218" s="24">
        <f>[1]DETAY!$A$2</f>
        <v>0</v>
      </c>
      <c r="F1218" s="103">
        <f t="shared" si="95"/>
        <v>1984</v>
      </c>
      <c r="G1218" s="7">
        <f t="shared" si="89"/>
        <v>0</v>
      </c>
      <c r="H1218" s="6">
        <f t="shared" si="96"/>
        <v>1</v>
      </c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  <c r="AA1218" s="24"/>
      <c r="AB1218" s="24"/>
      <c r="AC1218" s="24"/>
      <c r="AD1218" s="24"/>
      <c r="AE1218" s="24"/>
      <c r="AF1218" s="24"/>
      <c r="AG1218" s="24"/>
      <c r="AH1218" s="24"/>
      <c r="AI1218" s="24"/>
      <c r="AJ1218" s="24"/>
      <c r="AK1218" s="24"/>
      <c r="AL1218" s="24"/>
      <c r="AM1218" s="24"/>
      <c r="AN1218" s="24"/>
      <c r="AO1218" s="24"/>
      <c r="AP1218" s="24"/>
      <c r="AQ1218" s="24"/>
      <c r="AR1218" s="24"/>
      <c r="AS1218" s="24"/>
      <c r="AT1218" s="24"/>
      <c r="AU1218" s="24"/>
      <c r="AV1218" s="24"/>
      <c r="AW1218" s="24"/>
      <c r="AX1218" s="24"/>
      <c r="AY1218" s="24"/>
      <c r="AZ1218" s="24"/>
      <c r="BA1218" s="24"/>
      <c r="BB1218" s="24"/>
      <c r="BC1218" s="24"/>
      <c r="BD1218" s="24"/>
      <c r="BE1218" s="24"/>
      <c r="BF1218" s="24"/>
    </row>
    <row r="1219" spans="1:58" x14ac:dyDescent="0.25">
      <c r="A1219" s="98" t="s">
        <v>6</v>
      </c>
      <c r="B1219" s="99">
        <v>46210</v>
      </c>
      <c r="C1219" s="100">
        <f t="shared" si="94"/>
        <v>28</v>
      </c>
      <c r="D1219" s="101">
        <f>77+385</f>
        <v>462</v>
      </c>
      <c r="E1219" s="102">
        <f>[1]DETAY!$A$2</f>
        <v>0</v>
      </c>
      <c r="F1219" s="103">
        <f t="shared" si="95"/>
        <v>462</v>
      </c>
      <c r="G1219" s="7">
        <f t="shared" si="89"/>
        <v>0</v>
      </c>
      <c r="H1219" s="6">
        <f t="shared" si="96"/>
        <v>1</v>
      </c>
      <c r="I1219" s="102"/>
      <c r="J1219" s="102"/>
      <c r="K1219" s="102"/>
      <c r="L1219" s="102"/>
      <c r="M1219" s="102"/>
      <c r="N1219" s="102"/>
      <c r="O1219" s="102"/>
      <c r="P1219" s="102"/>
      <c r="Q1219" s="102"/>
      <c r="R1219" s="102"/>
      <c r="S1219" s="102"/>
      <c r="T1219" s="102"/>
      <c r="U1219" s="102"/>
      <c r="V1219" s="102"/>
      <c r="W1219" s="102"/>
      <c r="X1219" s="102"/>
      <c r="Y1219" s="102"/>
      <c r="Z1219" s="102"/>
      <c r="AA1219" s="102"/>
      <c r="AB1219" s="102"/>
      <c r="AC1219" s="102"/>
      <c r="AD1219" s="102"/>
      <c r="AE1219" s="102"/>
      <c r="AF1219" s="102"/>
      <c r="AG1219" s="102"/>
      <c r="AH1219" s="102"/>
      <c r="AI1219" s="102"/>
      <c r="AJ1219" s="102"/>
      <c r="AK1219" s="102"/>
      <c r="AL1219" s="102"/>
      <c r="AM1219" s="102"/>
      <c r="AN1219" s="102"/>
      <c r="AO1219" s="102"/>
      <c r="AP1219" s="102"/>
      <c r="AQ1219" s="102"/>
      <c r="AR1219" s="102"/>
      <c r="AS1219" s="102"/>
      <c r="AT1219" s="102"/>
      <c r="AU1219" s="102"/>
      <c r="AV1219" s="102"/>
      <c r="AW1219" s="102"/>
      <c r="AX1219" s="102"/>
      <c r="AY1219" s="102"/>
      <c r="AZ1219" s="102"/>
      <c r="BA1219" s="102"/>
      <c r="BB1219" s="102"/>
      <c r="BC1219" s="102"/>
      <c r="BD1219" s="102"/>
      <c r="BE1219" s="102"/>
      <c r="BF1219" s="102"/>
    </row>
    <row r="1220" spans="1:58" x14ac:dyDescent="0.25">
      <c r="A1220" s="104" t="s">
        <v>5</v>
      </c>
      <c r="B1220" s="99">
        <v>46210</v>
      </c>
      <c r="C1220" s="26">
        <f>WEEKNUM(B1220)</f>
        <v>28</v>
      </c>
      <c r="D1220" s="27">
        <f>154</f>
        <v>154</v>
      </c>
      <c r="E1220" s="24">
        <f>[1]DETAY!$A$2</f>
        <v>0</v>
      </c>
      <c r="F1220" s="103">
        <f>D1220-G1220</f>
        <v>154</v>
      </c>
      <c r="G1220" s="7">
        <f t="shared" si="89"/>
        <v>0</v>
      </c>
      <c r="H1220" s="6">
        <f>F1220/D1220</f>
        <v>1</v>
      </c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  <c r="AA1220" s="24"/>
      <c r="AB1220" s="24"/>
      <c r="AC1220" s="24"/>
      <c r="AD1220" s="24"/>
      <c r="AE1220" s="24"/>
      <c r="AF1220" s="24"/>
      <c r="AG1220" s="24"/>
      <c r="AH1220" s="24"/>
      <c r="AI1220" s="24"/>
      <c r="AJ1220" s="24"/>
      <c r="AK1220" s="24"/>
      <c r="AL1220" s="24"/>
      <c r="AM1220" s="24"/>
      <c r="AN1220" s="24"/>
      <c r="AO1220" s="24"/>
      <c r="AP1220" s="24"/>
      <c r="AQ1220" s="24"/>
      <c r="AR1220" s="24"/>
      <c r="AS1220" s="24"/>
      <c r="AT1220" s="24"/>
      <c r="AU1220" s="24"/>
      <c r="AV1220" s="24"/>
      <c r="AW1220" s="24"/>
      <c r="AX1220" s="24"/>
      <c r="AY1220" s="24"/>
      <c r="AZ1220" s="24"/>
      <c r="BA1220" s="24"/>
      <c r="BB1220" s="24"/>
      <c r="BC1220" s="24"/>
      <c r="BD1220" s="24"/>
      <c r="BE1220" s="24"/>
      <c r="BF1220" s="24"/>
    </row>
    <row r="1221" spans="1:58" x14ac:dyDescent="0.25">
      <c r="A1221" s="98" t="s">
        <v>4</v>
      </c>
      <c r="B1221" s="99">
        <v>46210</v>
      </c>
      <c r="C1221" s="100">
        <f>WEEKNUM(B1221)</f>
        <v>28</v>
      </c>
      <c r="D1221" s="101">
        <f>231+308</f>
        <v>539</v>
      </c>
      <c r="E1221" s="102">
        <f>[1]DETAY!$A$2</f>
        <v>0</v>
      </c>
      <c r="F1221" s="103">
        <f>D1221-G1221</f>
        <v>539</v>
      </c>
      <c r="G1221" s="7">
        <f t="shared" si="89"/>
        <v>0</v>
      </c>
      <c r="H1221" s="6">
        <f>F1221/D1221</f>
        <v>1</v>
      </c>
      <c r="I1221" s="102"/>
      <c r="J1221" s="102"/>
      <c r="K1221" s="102"/>
      <c r="L1221" s="102"/>
      <c r="M1221" s="102"/>
      <c r="N1221" s="102"/>
      <c r="O1221" s="102"/>
      <c r="P1221" s="102"/>
      <c r="Q1221" s="102"/>
      <c r="R1221" s="102"/>
      <c r="S1221" s="102"/>
      <c r="T1221" s="102"/>
      <c r="U1221" s="102"/>
      <c r="V1221" s="102"/>
      <c r="W1221" s="102"/>
      <c r="X1221" s="102"/>
      <c r="Y1221" s="102"/>
      <c r="Z1221" s="102"/>
      <c r="AA1221" s="102"/>
      <c r="AB1221" s="102"/>
      <c r="AC1221" s="102"/>
      <c r="AD1221" s="102"/>
      <c r="AE1221" s="102"/>
      <c r="AF1221" s="102"/>
      <c r="AG1221" s="102"/>
      <c r="AH1221" s="102"/>
      <c r="AI1221" s="102"/>
      <c r="AJ1221" s="102"/>
      <c r="AK1221" s="102"/>
      <c r="AL1221" s="102"/>
      <c r="AM1221" s="102"/>
      <c r="AN1221" s="102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</row>
    <row r="1222" spans="1:58" x14ac:dyDescent="0.25">
      <c r="A1222" s="104" t="s">
        <v>1</v>
      </c>
      <c r="B1222" s="99">
        <v>46210</v>
      </c>
      <c r="C1222" s="26">
        <f t="shared" ref="C1222" si="97">WEEKNUM(B1222)</f>
        <v>28</v>
      </c>
      <c r="D1222" s="27">
        <f>256</f>
        <v>256</v>
      </c>
      <c r="E1222" s="24">
        <f>[1]DETAY!$A$2</f>
        <v>0</v>
      </c>
      <c r="F1222" s="103">
        <f t="shared" ref="F1222" si="98">D1222-G1222</f>
        <v>130</v>
      </c>
      <c r="G1222" s="7">
        <f t="shared" si="89"/>
        <v>126</v>
      </c>
      <c r="H1222" s="6">
        <f t="shared" ref="H1222" si="99">F1222/D1222</f>
        <v>0.5078125</v>
      </c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  <c r="AA1222" s="24"/>
      <c r="AB1222" s="24"/>
      <c r="AC1222" s="24"/>
      <c r="AD1222" s="24"/>
      <c r="AE1222" s="24"/>
      <c r="AF1222" s="24"/>
      <c r="AG1222" s="24"/>
      <c r="AH1222" s="24"/>
      <c r="AI1222" s="24"/>
      <c r="AJ1222" s="24"/>
      <c r="AK1222" s="24"/>
      <c r="AL1222" s="24"/>
      <c r="AM1222" s="24"/>
      <c r="AN1222" s="24"/>
      <c r="AO1222" s="24"/>
      <c r="AP1222" s="24"/>
      <c r="AQ1222" s="24"/>
      <c r="AR1222" s="24"/>
      <c r="AS1222" s="24"/>
      <c r="AT1222" s="24">
        <v>126</v>
      </c>
      <c r="AU1222" s="24"/>
      <c r="AV1222" s="24"/>
      <c r="AW1222" s="24"/>
      <c r="AX1222" s="24"/>
      <c r="AY1222" s="24"/>
      <c r="AZ1222" s="24"/>
      <c r="BA1222" s="24"/>
      <c r="BB1222" s="24"/>
      <c r="BC1222" s="24"/>
      <c r="BD1222" s="24"/>
      <c r="BE1222" s="24"/>
      <c r="BF1222" s="24"/>
    </row>
    <row r="1223" spans="1:58" x14ac:dyDescent="0.25">
      <c r="A1223" s="98" t="s">
        <v>0</v>
      </c>
      <c r="B1223" s="99">
        <v>46210</v>
      </c>
      <c r="C1223" s="100">
        <f>WEEKNUM(B1223)</f>
        <v>28</v>
      </c>
      <c r="D1223" s="101">
        <f>361</f>
        <v>361</v>
      </c>
      <c r="E1223" s="102">
        <f>[1]DETAY!$A$2</f>
        <v>0</v>
      </c>
      <c r="F1223" s="103">
        <f>D1223-G1223</f>
        <v>315</v>
      </c>
      <c r="G1223" s="7">
        <f t="shared" si="89"/>
        <v>46</v>
      </c>
      <c r="H1223" s="6">
        <f>F1223/D1223</f>
        <v>0.87257617728531855</v>
      </c>
      <c r="I1223" s="102"/>
      <c r="J1223" s="102"/>
      <c r="K1223" s="102"/>
      <c r="L1223" s="102"/>
      <c r="M1223" s="102"/>
      <c r="N1223" s="102"/>
      <c r="O1223" s="102"/>
      <c r="P1223" s="102"/>
      <c r="Q1223" s="102"/>
      <c r="R1223" s="102"/>
      <c r="S1223" s="102"/>
      <c r="T1223" s="102"/>
      <c r="U1223" s="102"/>
      <c r="V1223" s="102"/>
      <c r="W1223" s="102"/>
      <c r="X1223" s="102"/>
      <c r="Y1223" s="102"/>
      <c r="Z1223" s="102"/>
      <c r="AA1223" s="102"/>
      <c r="AB1223" s="102"/>
      <c r="AC1223" s="102"/>
      <c r="AD1223" s="102"/>
      <c r="AE1223" s="102"/>
      <c r="AF1223" s="102"/>
      <c r="AG1223" s="102"/>
      <c r="AH1223" s="102"/>
      <c r="AI1223" s="102"/>
      <c r="AJ1223" s="102"/>
      <c r="AK1223" s="102"/>
      <c r="AL1223" s="102"/>
      <c r="AM1223" s="102"/>
      <c r="AN1223" s="102"/>
      <c r="AO1223" s="102"/>
      <c r="AP1223" s="102"/>
      <c r="AQ1223" s="102"/>
      <c r="AR1223" s="102"/>
      <c r="AS1223" s="102"/>
      <c r="AT1223" s="102">
        <v>46</v>
      </c>
      <c r="AU1223" s="102"/>
      <c r="AV1223" s="102"/>
      <c r="AW1223" s="102"/>
      <c r="AX1223" s="102"/>
      <c r="AY1223" s="102"/>
      <c r="AZ1223" s="102"/>
      <c r="BA1223" s="102"/>
      <c r="BB1223" s="102"/>
      <c r="BC1223" s="102"/>
      <c r="BD1223" s="102"/>
      <c r="BE1223" s="102"/>
      <c r="BF1223" s="102"/>
    </row>
    <row r="1224" spans="1:58" s="59" customFormat="1" x14ac:dyDescent="0.25">
      <c r="A1224" s="53"/>
      <c r="B1224" s="54"/>
      <c r="C1224" s="55">
        <f t="shared" ref="C1224:C1287" si="100">WEEKNUM(B1224)</f>
        <v>0</v>
      </c>
      <c r="D1224" s="56"/>
      <c r="E1224" s="57">
        <f>[1]DETAY!$A$2</f>
        <v>0</v>
      </c>
      <c r="F1224" s="89">
        <f t="shared" ref="F1224:F1287" si="101">D1224-G1224</f>
        <v>0</v>
      </c>
      <c r="G1224" s="91">
        <f t="shared" ref="G1224:G1287" si="102">SUBTOTAL(9,I1224:BD1224)</f>
        <v>0</v>
      </c>
      <c r="H1224" s="62" t="e">
        <f t="shared" ref="H1224:H1287" si="103">F1224/D1224</f>
        <v>#DIV/0!</v>
      </c>
      <c r="I1224" s="57"/>
      <c r="J1224" s="57"/>
      <c r="K1224" s="57"/>
      <c r="L1224" s="57"/>
      <c r="M1224" s="58"/>
      <c r="N1224" s="57"/>
      <c r="O1224" s="57"/>
      <c r="P1224" s="57"/>
      <c r="Q1224" s="57"/>
      <c r="R1224" s="57"/>
      <c r="S1224" s="57"/>
      <c r="T1224" s="57"/>
      <c r="U1224" s="57"/>
      <c r="V1224" s="57"/>
      <c r="W1224" s="57"/>
      <c r="X1224" s="57"/>
      <c r="Y1224" s="57"/>
      <c r="Z1224" s="57"/>
      <c r="AA1224" s="57"/>
      <c r="AB1224" s="57"/>
      <c r="AC1224" s="57"/>
      <c r="AD1224" s="57"/>
      <c r="AE1224" s="57"/>
      <c r="AF1224" s="57"/>
      <c r="AG1224" s="57"/>
      <c r="AH1224" s="57"/>
      <c r="AI1224" s="57"/>
      <c r="AJ1224" s="57"/>
      <c r="AK1224" s="57"/>
      <c r="AL1224" s="57"/>
      <c r="AM1224" s="57"/>
      <c r="AN1224" s="57"/>
      <c r="AO1224" s="57"/>
      <c r="AP1224" s="57"/>
      <c r="AQ1224" s="57"/>
      <c r="AR1224" s="57"/>
      <c r="AS1224" s="57"/>
      <c r="AT1224" s="57"/>
      <c r="AU1224" s="57"/>
      <c r="AV1224" s="57"/>
      <c r="AW1224" s="57"/>
      <c r="AX1224" s="57"/>
      <c r="AY1224" s="57"/>
      <c r="AZ1224" s="57"/>
      <c r="BA1224" s="57"/>
      <c r="BB1224" s="57"/>
      <c r="BC1224" s="57"/>
      <c r="BD1224" s="57"/>
      <c r="BE1224" s="57"/>
      <c r="BF1224" s="57"/>
    </row>
    <row r="1225" spans="1:58" s="59" customFormat="1" x14ac:dyDescent="0.25">
      <c r="A1225" s="53"/>
      <c r="B1225" s="54"/>
      <c r="C1225" s="55">
        <f t="shared" si="100"/>
        <v>0</v>
      </c>
      <c r="D1225" s="56"/>
      <c r="E1225" s="57">
        <f>[1]DETAY!$A$2</f>
        <v>0</v>
      </c>
      <c r="F1225" s="89">
        <f t="shared" si="101"/>
        <v>0</v>
      </c>
      <c r="G1225" s="91">
        <f t="shared" si="102"/>
        <v>0</v>
      </c>
      <c r="H1225" s="62" t="e">
        <f t="shared" si="103"/>
        <v>#DIV/0!</v>
      </c>
      <c r="I1225" s="57"/>
      <c r="J1225" s="57"/>
      <c r="K1225" s="57"/>
      <c r="L1225" s="57"/>
      <c r="M1225" s="58"/>
      <c r="N1225" s="57"/>
      <c r="O1225" s="57"/>
      <c r="P1225" s="57"/>
      <c r="Q1225" s="57"/>
      <c r="R1225" s="57"/>
      <c r="S1225" s="57"/>
      <c r="T1225" s="57"/>
      <c r="U1225" s="57"/>
      <c r="V1225" s="57"/>
      <c r="W1225" s="57"/>
      <c r="X1225" s="57"/>
      <c r="Y1225" s="57"/>
      <c r="Z1225" s="57"/>
      <c r="AA1225" s="57"/>
      <c r="AB1225" s="57"/>
      <c r="AC1225" s="57"/>
      <c r="AD1225" s="57"/>
      <c r="AE1225" s="57"/>
      <c r="AF1225" s="57"/>
      <c r="AG1225" s="57"/>
      <c r="AH1225" s="57"/>
      <c r="AI1225" s="57"/>
      <c r="AJ1225" s="57"/>
      <c r="AK1225" s="57"/>
      <c r="AL1225" s="57"/>
      <c r="AM1225" s="57"/>
      <c r="AN1225" s="57"/>
      <c r="AO1225" s="57"/>
      <c r="AP1225" s="57"/>
      <c r="AQ1225" s="57"/>
      <c r="AR1225" s="57"/>
      <c r="AS1225" s="57"/>
      <c r="AT1225" s="57"/>
      <c r="AU1225" s="57"/>
      <c r="AV1225" s="57"/>
      <c r="AW1225" s="57"/>
      <c r="AX1225" s="57"/>
      <c r="AY1225" s="57"/>
      <c r="AZ1225" s="57"/>
      <c r="BA1225" s="57"/>
      <c r="BB1225" s="57"/>
      <c r="BC1225" s="57"/>
      <c r="BD1225" s="57"/>
      <c r="BE1225" s="57"/>
      <c r="BF1225" s="57"/>
    </row>
    <row r="1226" spans="1:58" s="59" customFormat="1" x14ac:dyDescent="0.25">
      <c r="A1226" s="53"/>
      <c r="B1226" s="54"/>
      <c r="C1226" s="55">
        <f t="shared" si="100"/>
        <v>0</v>
      </c>
      <c r="D1226" s="56"/>
      <c r="E1226" s="57">
        <f>[1]DETAY!$A$2</f>
        <v>0</v>
      </c>
      <c r="F1226" s="89">
        <f t="shared" si="101"/>
        <v>0</v>
      </c>
      <c r="G1226" s="91">
        <f t="shared" si="102"/>
        <v>0</v>
      </c>
      <c r="H1226" s="62" t="e">
        <f t="shared" si="103"/>
        <v>#DIV/0!</v>
      </c>
      <c r="I1226" s="57"/>
      <c r="J1226" s="57"/>
      <c r="K1226" s="57"/>
      <c r="L1226" s="57"/>
      <c r="M1226" s="58"/>
      <c r="N1226" s="57"/>
      <c r="O1226" s="57"/>
      <c r="P1226" s="57"/>
      <c r="Q1226" s="57"/>
      <c r="R1226" s="57"/>
      <c r="S1226" s="57"/>
      <c r="T1226" s="57"/>
      <c r="U1226" s="57"/>
      <c r="V1226" s="57"/>
      <c r="W1226" s="57"/>
      <c r="X1226" s="57"/>
      <c r="Y1226" s="57"/>
      <c r="Z1226" s="57"/>
      <c r="AA1226" s="57"/>
      <c r="AB1226" s="57"/>
      <c r="AC1226" s="57"/>
      <c r="AD1226" s="57"/>
      <c r="AE1226" s="57"/>
      <c r="AF1226" s="57"/>
      <c r="AG1226" s="57"/>
      <c r="AH1226" s="57"/>
      <c r="AI1226" s="57"/>
      <c r="AJ1226" s="57"/>
      <c r="AK1226" s="57"/>
      <c r="AL1226" s="57"/>
      <c r="AM1226" s="57"/>
      <c r="AN1226" s="57"/>
      <c r="AO1226" s="57"/>
      <c r="AP1226" s="57"/>
      <c r="AQ1226" s="57"/>
      <c r="AR1226" s="57"/>
      <c r="AS1226" s="57"/>
      <c r="AT1226" s="57"/>
      <c r="AU1226" s="57"/>
      <c r="AV1226" s="57"/>
      <c r="AW1226" s="57"/>
      <c r="AX1226" s="57"/>
      <c r="AY1226" s="57"/>
      <c r="AZ1226" s="57"/>
      <c r="BA1226" s="57"/>
      <c r="BB1226" s="57"/>
      <c r="BC1226" s="57"/>
      <c r="BD1226" s="57"/>
      <c r="BE1226" s="57"/>
      <c r="BF1226" s="57"/>
    </row>
    <row r="1227" spans="1:58" s="59" customFormat="1" x14ac:dyDescent="0.25">
      <c r="A1227" s="53"/>
      <c r="B1227" s="54"/>
      <c r="C1227" s="55">
        <f t="shared" si="100"/>
        <v>0</v>
      </c>
      <c r="D1227" s="56"/>
      <c r="E1227" s="57">
        <f>[1]DETAY!$A$2</f>
        <v>0</v>
      </c>
      <c r="F1227" s="89">
        <f t="shared" si="101"/>
        <v>0</v>
      </c>
      <c r="G1227" s="91">
        <f t="shared" si="102"/>
        <v>0</v>
      </c>
      <c r="H1227" s="62" t="e">
        <f t="shared" si="103"/>
        <v>#DIV/0!</v>
      </c>
      <c r="I1227" s="57"/>
      <c r="J1227" s="57"/>
      <c r="K1227" s="57"/>
      <c r="L1227" s="57"/>
      <c r="M1227" s="58"/>
      <c r="N1227" s="57"/>
      <c r="O1227" s="57"/>
      <c r="P1227" s="57"/>
      <c r="Q1227" s="57"/>
      <c r="R1227" s="57"/>
      <c r="S1227" s="57"/>
      <c r="T1227" s="57"/>
      <c r="U1227" s="57"/>
      <c r="V1227" s="57"/>
      <c r="W1227" s="57"/>
      <c r="X1227" s="57"/>
      <c r="Y1227" s="57"/>
      <c r="Z1227" s="57"/>
      <c r="AA1227" s="57"/>
      <c r="AB1227" s="57"/>
      <c r="AC1227" s="57"/>
      <c r="AD1227" s="57"/>
      <c r="AE1227" s="57"/>
      <c r="AF1227" s="57"/>
      <c r="AG1227" s="57"/>
      <c r="AH1227" s="57"/>
      <c r="AI1227" s="57"/>
      <c r="AJ1227" s="57"/>
      <c r="AK1227" s="57"/>
      <c r="AL1227" s="57"/>
      <c r="AM1227" s="57"/>
      <c r="AN1227" s="57"/>
      <c r="AO1227" s="57"/>
      <c r="AP1227" s="57"/>
      <c r="AQ1227" s="57"/>
      <c r="AR1227" s="57"/>
      <c r="AS1227" s="57"/>
      <c r="AT1227" s="57"/>
      <c r="AU1227" s="57"/>
      <c r="AV1227" s="57"/>
      <c r="AW1227" s="57"/>
      <c r="AX1227" s="57"/>
      <c r="AY1227" s="57"/>
      <c r="AZ1227" s="57"/>
      <c r="BA1227" s="57"/>
      <c r="BB1227" s="57"/>
      <c r="BC1227" s="57"/>
      <c r="BD1227" s="57"/>
      <c r="BE1227" s="57"/>
      <c r="BF1227" s="57"/>
    </row>
    <row r="1228" spans="1:58" s="59" customFormat="1" x14ac:dyDescent="0.25">
      <c r="A1228" s="53"/>
      <c r="B1228" s="54"/>
      <c r="C1228" s="55">
        <f t="shared" si="100"/>
        <v>0</v>
      </c>
      <c r="D1228" s="56"/>
      <c r="E1228" s="57">
        <f>[1]DETAY!$A$2</f>
        <v>0</v>
      </c>
      <c r="F1228" s="89">
        <f t="shared" si="101"/>
        <v>0</v>
      </c>
      <c r="G1228" s="91">
        <f t="shared" si="102"/>
        <v>0</v>
      </c>
      <c r="H1228" s="62" t="e">
        <f t="shared" si="103"/>
        <v>#DIV/0!</v>
      </c>
      <c r="I1228" s="57"/>
      <c r="J1228" s="57"/>
      <c r="K1228" s="57"/>
      <c r="L1228" s="57"/>
      <c r="M1228" s="58"/>
      <c r="N1228" s="57"/>
      <c r="O1228" s="57"/>
      <c r="P1228" s="57"/>
      <c r="Q1228" s="57"/>
      <c r="R1228" s="57"/>
      <c r="S1228" s="57"/>
      <c r="T1228" s="57"/>
      <c r="U1228" s="57"/>
      <c r="V1228" s="57"/>
      <c r="W1228" s="57"/>
      <c r="X1228" s="57"/>
      <c r="Y1228" s="57"/>
      <c r="Z1228" s="57"/>
      <c r="AA1228" s="57"/>
      <c r="AB1228" s="57"/>
      <c r="AC1228" s="57"/>
      <c r="AD1228" s="57"/>
      <c r="AE1228" s="57"/>
      <c r="AF1228" s="57"/>
      <c r="AG1228" s="57"/>
      <c r="AH1228" s="57"/>
      <c r="AI1228" s="57"/>
      <c r="AJ1228" s="57"/>
      <c r="AK1228" s="57"/>
      <c r="AL1228" s="57"/>
      <c r="AM1228" s="57"/>
      <c r="AN1228" s="57"/>
      <c r="AO1228" s="57"/>
      <c r="AP1228" s="57"/>
      <c r="AQ1228" s="57"/>
      <c r="AR1228" s="57"/>
      <c r="AS1228" s="57"/>
      <c r="AT1228" s="57"/>
      <c r="AU1228" s="57"/>
      <c r="AV1228" s="57"/>
      <c r="AW1228" s="57"/>
      <c r="AX1228" s="57"/>
      <c r="AY1228" s="57"/>
      <c r="AZ1228" s="57"/>
      <c r="BA1228" s="57"/>
      <c r="BB1228" s="57"/>
      <c r="BC1228" s="57"/>
      <c r="BD1228" s="57"/>
      <c r="BE1228" s="57"/>
      <c r="BF1228" s="57"/>
    </row>
    <row r="1229" spans="1:58" s="59" customFormat="1" x14ac:dyDescent="0.25">
      <c r="A1229" s="53"/>
      <c r="B1229" s="54"/>
      <c r="C1229" s="55">
        <f t="shared" si="100"/>
        <v>0</v>
      </c>
      <c r="D1229" s="56"/>
      <c r="E1229" s="57">
        <f>[1]DETAY!$A$2</f>
        <v>0</v>
      </c>
      <c r="F1229" s="89">
        <f t="shared" si="101"/>
        <v>0</v>
      </c>
      <c r="G1229" s="91">
        <f t="shared" si="102"/>
        <v>0</v>
      </c>
      <c r="H1229" s="62" t="e">
        <f t="shared" si="103"/>
        <v>#DIV/0!</v>
      </c>
      <c r="I1229" s="57"/>
      <c r="J1229" s="57"/>
      <c r="K1229" s="57"/>
      <c r="L1229" s="57"/>
      <c r="M1229" s="58"/>
      <c r="N1229" s="57"/>
      <c r="O1229" s="57"/>
      <c r="P1229" s="57"/>
      <c r="Q1229" s="57"/>
      <c r="R1229" s="57"/>
      <c r="S1229" s="57"/>
      <c r="T1229" s="57"/>
      <c r="U1229" s="57"/>
      <c r="V1229" s="57"/>
      <c r="W1229" s="57"/>
      <c r="X1229" s="57"/>
      <c r="Y1229" s="57"/>
      <c r="Z1229" s="57"/>
      <c r="AA1229" s="57"/>
      <c r="AB1229" s="57"/>
      <c r="AC1229" s="57"/>
      <c r="AD1229" s="57"/>
      <c r="AE1229" s="57"/>
      <c r="AF1229" s="57"/>
      <c r="AG1229" s="57"/>
      <c r="AH1229" s="57"/>
      <c r="AI1229" s="57"/>
      <c r="AJ1229" s="57"/>
      <c r="AK1229" s="57"/>
      <c r="AL1229" s="57"/>
      <c r="AM1229" s="57"/>
      <c r="AN1229" s="57"/>
      <c r="AO1229" s="57"/>
      <c r="AP1229" s="57"/>
      <c r="AQ1229" s="57"/>
      <c r="AR1229" s="57"/>
      <c r="AS1229" s="57"/>
      <c r="AT1229" s="57"/>
      <c r="AU1229" s="57"/>
      <c r="AV1229" s="57"/>
      <c r="AW1229" s="57"/>
      <c r="AX1229" s="57"/>
      <c r="AY1229" s="57"/>
      <c r="AZ1229" s="57"/>
      <c r="BA1229" s="57"/>
      <c r="BB1229" s="57"/>
      <c r="BC1229" s="57"/>
      <c r="BD1229" s="57"/>
      <c r="BE1229" s="57"/>
      <c r="BF1229" s="57"/>
    </row>
    <row r="1230" spans="1:58" s="59" customFormat="1" x14ac:dyDescent="0.25">
      <c r="A1230" s="53"/>
      <c r="B1230" s="54"/>
      <c r="C1230" s="55">
        <f t="shared" si="100"/>
        <v>0</v>
      </c>
      <c r="D1230" s="56"/>
      <c r="E1230" s="57">
        <f>[1]DETAY!$A$2</f>
        <v>0</v>
      </c>
      <c r="F1230" s="89">
        <f t="shared" si="101"/>
        <v>0</v>
      </c>
      <c r="G1230" s="91">
        <f t="shared" si="102"/>
        <v>0</v>
      </c>
      <c r="H1230" s="62" t="e">
        <f t="shared" si="103"/>
        <v>#DIV/0!</v>
      </c>
      <c r="I1230" s="57"/>
      <c r="J1230" s="57"/>
      <c r="K1230" s="57"/>
      <c r="L1230" s="57"/>
      <c r="M1230" s="58"/>
      <c r="N1230" s="57"/>
      <c r="O1230" s="57"/>
      <c r="P1230" s="57"/>
      <c r="Q1230" s="57"/>
      <c r="R1230" s="57"/>
      <c r="S1230" s="57"/>
      <c r="T1230" s="57"/>
      <c r="U1230" s="57"/>
      <c r="V1230" s="57"/>
      <c r="W1230" s="57"/>
      <c r="X1230" s="57"/>
      <c r="Y1230" s="57"/>
      <c r="Z1230" s="57"/>
      <c r="AA1230" s="57"/>
      <c r="AB1230" s="57"/>
      <c r="AC1230" s="57"/>
      <c r="AD1230" s="57"/>
      <c r="AE1230" s="57"/>
      <c r="AF1230" s="57"/>
      <c r="AG1230" s="57"/>
      <c r="AH1230" s="57"/>
      <c r="AI1230" s="57"/>
      <c r="AJ1230" s="57"/>
      <c r="AK1230" s="57"/>
      <c r="AL1230" s="57"/>
      <c r="AM1230" s="57"/>
      <c r="AN1230" s="57"/>
      <c r="AO1230" s="57"/>
      <c r="AP1230" s="57"/>
      <c r="AQ1230" s="57"/>
      <c r="AR1230" s="57"/>
      <c r="AS1230" s="57"/>
      <c r="AT1230" s="57"/>
      <c r="AU1230" s="57"/>
      <c r="AV1230" s="57"/>
      <c r="AW1230" s="57"/>
      <c r="AX1230" s="57"/>
      <c r="AY1230" s="57"/>
      <c r="AZ1230" s="57"/>
      <c r="BA1230" s="57"/>
      <c r="BB1230" s="57"/>
      <c r="BC1230" s="57"/>
      <c r="BD1230" s="57"/>
      <c r="BE1230" s="57"/>
      <c r="BF1230" s="57"/>
    </row>
    <row r="1231" spans="1:58" s="59" customFormat="1" x14ac:dyDescent="0.25">
      <c r="A1231" s="53"/>
      <c r="B1231" s="54"/>
      <c r="C1231" s="55">
        <f t="shared" si="100"/>
        <v>0</v>
      </c>
      <c r="D1231" s="56"/>
      <c r="E1231" s="57">
        <f>[1]DETAY!$A$2</f>
        <v>0</v>
      </c>
      <c r="F1231" s="89">
        <f t="shared" si="101"/>
        <v>0</v>
      </c>
      <c r="G1231" s="91">
        <f t="shared" si="102"/>
        <v>0</v>
      </c>
      <c r="H1231" s="62" t="e">
        <f t="shared" si="103"/>
        <v>#DIV/0!</v>
      </c>
      <c r="I1231" s="57"/>
      <c r="J1231" s="57"/>
      <c r="K1231" s="57"/>
      <c r="L1231" s="57"/>
      <c r="M1231" s="58"/>
      <c r="N1231" s="57"/>
      <c r="O1231" s="57"/>
      <c r="P1231" s="57"/>
      <c r="Q1231" s="57"/>
      <c r="R1231" s="57"/>
      <c r="S1231" s="57"/>
      <c r="T1231" s="57"/>
      <c r="U1231" s="57"/>
      <c r="V1231" s="57"/>
      <c r="W1231" s="57"/>
      <c r="X1231" s="57"/>
      <c r="Y1231" s="57"/>
      <c r="Z1231" s="57"/>
      <c r="AA1231" s="57"/>
      <c r="AB1231" s="57"/>
      <c r="AC1231" s="57"/>
      <c r="AD1231" s="57"/>
      <c r="AE1231" s="57"/>
      <c r="AF1231" s="57"/>
      <c r="AG1231" s="57"/>
      <c r="AH1231" s="57"/>
      <c r="AI1231" s="57"/>
      <c r="AJ1231" s="57"/>
      <c r="AK1231" s="57"/>
      <c r="AL1231" s="57"/>
      <c r="AM1231" s="57"/>
      <c r="AN1231" s="57"/>
      <c r="AO1231" s="57"/>
      <c r="AP1231" s="57"/>
      <c r="AQ1231" s="57"/>
      <c r="AR1231" s="57"/>
      <c r="AS1231" s="57"/>
      <c r="AT1231" s="57"/>
      <c r="AU1231" s="57"/>
      <c r="AV1231" s="57"/>
      <c r="AW1231" s="57"/>
      <c r="AX1231" s="57"/>
      <c r="AY1231" s="57"/>
      <c r="AZ1231" s="57"/>
      <c r="BA1231" s="57"/>
      <c r="BB1231" s="57"/>
      <c r="BC1231" s="57"/>
      <c r="BD1231" s="57"/>
      <c r="BE1231" s="57"/>
      <c r="BF1231" s="57"/>
    </row>
    <row r="1232" spans="1:58" s="59" customFormat="1" x14ac:dyDescent="0.25">
      <c r="A1232" s="53"/>
      <c r="B1232" s="54"/>
      <c r="C1232" s="55">
        <f t="shared" si="100"/>
        <v>0</v>
      </c>
      <c r="D1232" s="56"/>
      <c r="E1232" s="57">
        <f>[1]DETAY!$A$2</f>
        <v>0</v>
      </c>
      <c r="F1232" s="89">
        <f t="shared" si="101"/>
        <v>0</v>
      </c>
      <c r="G1232" s="91">
        <f t="shared" si="102"/>
        <v>0</v>
      </c>
      <c r="H1232" s="62" t="e">
        <f t="shared" si="103"/>
        <v>#DIV/0!</v>
      </c>
      <c r="I1232" s="57"/>
      <c r="J1232" s="57"/>
      <c r="K1232" s="57"/>
      <c r="L1232" s="57"/>
      <c r="M1232" s="58"/>
      <c r="N1232" s="57"/>
      <c r="O1232" s="57"/>
      <c r="P1232" s="57"/>
      <c r="Q1232" s="57"/>
      <c r="R1232" s="57"/>
      <c r="S1232" s="57"/>
      <c r="T1232" s="57"/>
      <c r="U1232" s="57"/>
      <c r="V1232" s="57"/>
      <c r="W1232" s="57"/>
      <c r="X1232" s="57"/>
      <c r="Y1232" s="57"/>
      <c r="Z1232" s="57"/>
      <c r="AA1232" s="57"/>
      <c r="AB1232" s="57"/>
      <c r="AC1232" s="57"/>
      <c r="AD1232" s="57"/>
      <c r="AE1232" s="57"/>
      <c r="AF1232" s="57"/>
      <c r="AG1232" s="57"/>
      <c r="AH1232" s="57"/>
      <c r="AI1232" s="57"/>
      <c r="AJ1232" s="57"/>
      <c r="AK1232" s="57"/>
      <c r="AL1232" s="57"/>
      <c r="AM1232" s="57"/>
      <c r="AN1232" s="57"/>
      <c r="AO1232" s="57"/>
      <c r="AP1232" s="57"/>
      <c r="AQ1232" s="57"/>
      <c r="AR1232" s="57"/>
      <c r="AS1232" s="57"/>
      <c r="AT1232" s="57"/>
      <c r="AU1232" s="57"/>
      <c r="AV1232" s="57"/>
      <c r="AW1232" s="57"/>
      <c r="AX1232" s="57"/>
      <c r="AY1232" s="57"/>
      <c r="AZ1232" s="57"/>
      <c r="BA1232" s="57"/>
      <c r="BB1232" s="57"/>
      <c r="BC1232" s="57"/>
      <c r="BD1232" s="57"/>
      <c r="BE1232" s="57"/>
      <c r="BF1232" s="57"/>
    </row>
    <row r="1233" spans="1:58" s="59" customFormat="1" x14ac:dyDescent="0.25">
      <c r="A1233" s="53"/>
      <c r="B1233" s="54"/>
      <c r="C1233" s="55">
        <f t="shared" si="100"/>
        <v>0</v>
      </c>
      <c r="D1233" s="56"/>
      <c r="E1233" s="57">
        <f>[1]DETAY!$A$2</f>
        <v>0</v>
      </c>
      <c r="F1233" s="89">
        <f t="shared" si="101"/>
        <v>0</v>
      </c>
      <c r="G1233" s="91">
        <f t="shared" si="102"/>
        <v>0</v>
      </c>
      <c r="H1233" s="62" t="e">
        <f t="shared" si="103"/>
        <v>#DIV/0!</v>
      </c>
      <c r="I1233" s="57"/>
      <c r="J1233" s="57"/>
      <c r="K1233" s="57"/>
      <c r="L1233" s="57"/>
      <c r="M1233" s="58"/>
      <c r="N1233" s="57"/>
      <c r="O1233" s="57"/>
      <c r="P1233" s="57"/>
      <c r="Q1233" s="57"/>
      <c r="R1233" s="57"/>
      <c r="S1233" s="57"/>
      <c r="T1233" s="57"/>
      <c r="U1233" s="57"/>
      <c r="V1233" s="57"/>
      <c r="W1233" s="57"/>
      <c r="X1233" s="57"/>
      <c r="Y1233" s="57"/>
      <c r="Z1233" s="57"/>
      <c r="AA1233" s="57"/>
      <c r="AB1233" s="57"/>
      <c r="AC1233" s="57"/>
      <c r="AD1233" s="57"/>
      <c r="AE1233" s="57"/>
      <c r="AF1233" s="57"/>
      <c r="AG1233" s="57"/>
      <c r="AH1233" s="57"/>
      <c r="AI1233" s="57"/>
      <c r="AJ1233" s="57"/>
      <c r="AK1233" s="57"/>
      <c r="AL1233" s="57"/>
      <c r="AM1233" s="57"/>
      <c r="AN1233" s="57"/>
      <c r="AO1233" s="57"/>
      <c r="AP1233" s="57"/>
      <c r="AQ1233" s="57"/>
      <c r="AR1233" s="57"/>
      <c r="AS1233" s="57"/>
      <c r="AT1233" s="57"/>
      <c r="AU1233" s="57"/>
      <c r="AV1233" s="57"/>
      <c r="AW1233" s="57"/>
      <c r="AX1233" s="57"/>
      <c r="AY1233" s="57"/>
      <c r="AZ1233" s="57"/>
      <c r="BA1233" s="57"/>
      <c r="BB1233" s="57"/>
      <c r="BC1233" s="57"/>
      <c r="BD1233" s="57"/>
      <c r="BE1233" s="57"/>
      <c r="BF1233" s="57"/>
    </row>
    <row r="1234" spans="1:58" s="59" customFormat="1" x14ac:dyDescent="0.25">
      <c r="A1234" s="53"/>
      <c r="B1234" s="54"/>
      <c r="C1234" s="55">
        <f t="shared" si="100"/>
        <v>0</v>
      </c>
      <c r="D1234" s="56"/>
      <c r="E1234" s="57">
        <f>[1]DETAY!$A$2</f>
        <v>0</v>
      </c>
      <c r="F1234" s="89">
        <f t="shared" si="101"/>
        <v>0</v>
      </c>
      <c r="G1234" s="91">
        <f t="shared" si="102"/>
        <v>0</v>
      </c>
      <c r="H1234" s="62" t="e">
        <f t="shared" si="103"/>
        <v>#DIV/0!</v>
      </c>
      <c r="I1234" s="57"/>
      <c r="J1234" s="57"/>
      <c r="K1234" s="57"/>
      <c r="L1234" s="57"/>
      <c r="M1234" s="58"/>
      <c r="N1234" s="57"/>
      <c r="O1234" s="57"/>
      <c r="P1234" s="57"/>
      <c r="Q1234" s="57"/>
      <c r="R1234" s="57"/>
      <c r="S1234" s="57"/>
      <c r="T1234" s="57"/>
      <c r="U1234" s="57"/>
      <c r="V1234" s="57"/>
      <c r="W1234" s="57"/>
      <c r="X1234" s="57"/>
      <c r="Y1234" s="57"/>
      <c r="Z1234" s="57"/>
      <c r="AA1234" s="57"/>
      <c r="AB1234" s="57"/>
      <c r="AC1234" s="57"/>
      <c r="AD1234" s="57"/>
      <c r="AE1234" s="57"/>
      <c r="AF1234" s="57"/>
      <c r="AG1234" s="57"/>
      <c r="AH1234" s="57"/>
      <c r="AI1234" s="57"/>
      <c r="AJ1234" s="57"/>
      <c r="AK1234" s="57"/>
      <c r="AL1234" s="57"/>
      <c r="AM1234" s="57"/>
      <c r="AN1234" s="57"/>
      <c r="AO1234" s="57"/>
      <c r="AP1234" s="57"/>
      <c r="AQ1234" s="57"/>
      <c r="AR1234" s="57"/>
      <c r="AS1234" s="57"/>
      <c r="AT1234" s="57"/>
      <c r="AU1234" s="57"/>
      <c r="AV1234" s="57"/>
      <c r="AW1234" s="57"/>
      <c r="AX1234" s="57"/>
      <c r="AY1234" s="57"/>
      <c r="AZ1234" s="57"/>
      <c r="BA1234" s="57"/>
      <c r="BB1234" s="57"/>
      <c r="BC1234" s="57"/>
      <c r="BD1234" s="57"/>
      <c r="BE1234" s="57"/>
      <c r="BF1234" s="57"/>
    </row>
    <row r="1235" spans="1:58" s="59" customFormat="1" x14ac:dyDescent="0.25">
      <c r="A1235" s="53"/>
      <c r="B1235" s="54"/>
      <c r="C1235" s="55">
        <f t="shared" si="100"/>
        <v>0</v>
      </c>
      <c r="D1235" s="56"/>
      <c r="E1235" s="57">
        <f>[1]DETAY!$A$2</f>
        <v>0</v>
      </c>
      <c r="F1235" s="89">
        <f t="shared" si="101"/>
        <v>0</v>
      </c>
      <c r="G1235" s="91">
        <f t="shared" si="102"/>
        <v>0</v>
      </c>
      <c r="H1235" s="62" t="e">
        <f t="shared" si="103"/>
        <v>#DIV/0!</v>
      </c>
      <c r="I1235" s="57"/>
      <c r="J1235" s="57"/>
      <c r="K1235" s="57"/>
      <c r="L1235" s="57"/>
      <c r="M1235" s="58"/>
      <c r="N1235" s="57"/>
      <c r="O1235" s="57"/>
      <c r="P1235" s="57"/>
      <c r="Q1235" s="57"/>
      <c r="R1235" s="57"/>
      <c r="S1235" s="57"/>
      <c r="T1235" s="57"/>
      <c r="U1235" s="57"/>
      <c r="V1235" s="57"/>
      <c r="W1235" s="57"/>
      <c r="X1235" s="57"/>
      <c r="Y1235" s="57"/>
      <c r="Z1235" s="57"/>
      <c r="AA1235" s="57"/>
      <c r="AB1235" s="57"/>
      <c r="AC1235" s="57"/>
      <c r="AD1235" s="57"/>
      <c r="AE1235" s="57"/>
      <c r="AF1235" s="57"/>
      <c r="AG1235" s="57"/>
      <c r="AH1235" s="57"/>
      <c r="AI1235" s="57"/>
      <c r="AJ1235" s="57"/>
      <c r="AK1235" s="57"/>
      <c r="AL1235" s="57"/>
      <c r="AM1235" s="57"/>
      <c r="AN1235" s="57"/>
      <c r="AO1235" s="57"/>
      <c r="AP1235" s="57"/>
      <c r="AQ1235" s="57"/>
      <c r="AR1235" s="57"/>
      <c r="AS1235" s="57"/>
      <c r="AT1235" s="57"/>
      <c r="AU1235" s="57"/>
      <c r="AV1235" s="57"/>
      <c r="AW1235" s="57"/>
      <c r="AX1235" s="57"/>
      <c r="AY1235" s="57"/>
      <c r="AZ1235" s="57"/>
      <c r="BA1235" s="57"/>
      <c r="BB1235" s="57"/>
      <c r="BC1235" s="57"/>
      <c r="BD1235" s="57"/>
      <c r="BE1235" s="57"/>
      <c r="BF1235" s="57"/>
    </row>
    <row r="1236" spans="1:58" s="59" customFormat="1" x14ac:dyDescent="0.25">
      <c r="A1236" s="53"/>
      <c r="B1236" s="54"/>
      <c r="C1236" s="55">
        <f t="shared" si="100"/>
        <v>0</v>
      </c>
      <c r="D1236" s="56"/>
      <c r="E1236" s="57">
        <f>[1]DETAY!$A$2</f>
        <v>0</v>
      </c>
      <c r="F1236" s="89">
        <f t="shared" si="101"/>
        <v>0</v>
      </c>
      <c r="G1236" s="91">
        <f t="shared" si="102"/>
        <v>0</v>
      </c>
      <c r="H1236" s="62" t="e">
        <f t="shared" si="103"/>
        <v>#DIV/0!</v>
      </c>
      <c r="I1236" s="57"/>
      <c r="J1236" s="57"/>
      <c r="K1236" s="57"/>
      <c r="L1236" s="57"/>
      <c r="M1236" s="58"/>
      <c r="N1236" s="57"/>
      <c r="O1236" s="57"/>
      <c r="P1236" s="57"/>
      <c r="Q1236" s="57"/>
      <c r="R1236" s="57"/>
      <c r="S1236" s="57"/>
      <c r="T1236" s="57"/>
      <c r="U1236" s="57"/>
      <c r="V1236" s="57"/>
      <c r="W1236" s="57"/>
      <c r="X1236" s="57"/>
      <c r="Y1236" s="57"/>
      <c r="Z1236" s="57"/>
      <c r="AA1236" s="57"/>
      <c r="AB1236" s="57"/>
      <c r="AC1236" s="57"/>
      <c r="AD1236" s="57"/>
      <c r="AE1236" s="57"/>
      <c r="AF1236" s="57"/>
      <c r="AG1236" s="57"/>
      <c r="AH1236" s="57"/>
      <c r="AI1236" s="57"/>
      <c r="AJ1236" s="57"/>
      <c r="AK1236" s="57"/>
      <c r="AL1236" s="57"/>
      <c r="AM1236" s="57"/>
      <c r="AN1236" s="57"/>
      <c r="AO1236" s="57"/>
      <c r="AP1236" s="57"/>
      <c r="AQ1236" s="57"/>
      <c r="AR1236" s="57"/>
      <c r="AS1236" s="57"/>
      <c r="AT1236" s="57"/>
      <c r="AU1236" s="57"/>
      <c r="AV1236" s="57"/>
      <c r="AW1236" s="57"/>
      <c r="AX1236" s="57"/>
      <c r="AY1236" s="57"/>
      <c r="AZ1236" s="57"/>
      <c r="BA1236" s="57"/>
      <c r="BB1236" s="57"/>
      <c r="BC1236" s="57"/>
      <c r="BD1236" s="57"/>
      <c r="BE1236" s="57"/>
      <c r="BF1236" s="57"/>
    </row>
    <row r="1237" spans="1:58" s="59" customFormat="1" x14ac:dyDescent="0.25">
      <c r="A1237" s="53"/>
      <c r="B1237" s="54"/>
      <c r="C1237" s="55">
        <f t="shared" si="100"/>
        <v>0</v>
      </c>
      <c r="D1237" s="56"/>
      <c r="E1237" s="57">
        <f>[1]DETAY!$A$2</f>
        <v>0</v>
      </c>
      <c r="F1237" s="89">
        <f t="shared" si="101"/>
        <v>0</v>
      </c>
      <c r="G1237" s="91">
        <f t="shared" si="102"/>
        <v>0</v>
      </c>
      <c r="H1237" s="62" t="e">
        <f t="shared" si="103"/>
        <v>#DIV/0!</v>
      </c>
      <c r="I1237" s="57"/>
      <c r="J1237" s="57"/>
      <c r="K1237" s="57"/>
      <c r="L1237" s="57"/>
      <c r="M1237" s="58"/>
      <c r="N1237" s="57"/>
      <c r="O1237" s="57"/>
      <c r="P1237" s="57"/>
      <c r="Q1237" s="57"/>
      <c r="R1237" s="57"/>
      <c r="S1237" s="57"/>
      <c r="T1237" s="57"/>
      <c r="U1237" s="57"/>
      <c r="V1237" s="57"/>
      <c r="W1237" s="57"/>
      <c r="X1237" s="57"/>
      <c r="Y1237" s="57"/>
      <c r="Z1237" s="57"/>
      <c r="AA1237" s="57"/>
      <c r="AB1237" s="57"/>
      <c r="AC1237" s="57"/>
      <c r="AD1237" s="57"/>
      <c r="AE1237" s="57"/>
      <c r="AF1237" s="57"/>
      <c r="AG1237" s="57"/>
      <c r="AH1237" s="57"/>
      <c r="AI1237" s="57"/>
      <c r="AJ1237" s="57"/>
      <c r="AK1237" s="57"/>
      <c r="AL1237" s="57"/>
      <c r="AM1237" s="57"/>
      <c r="AN1237" s="57"/>
      <c r="AO1237" s="57"/>
      <c r="AP1237" s="57"/>
      <c r="AQ1237" s="57"/>
      <c r="AR1237" s="57"/>
      <c r="AS1237" s="57"/>
      <c r="AT1237" s="57"/>
      <c r="AU1237" s="57"/>
      <c r="AV1237" s="57"/>
      <c r="AW1237" s="57"/>
      <c r="AX1237" s="57"/>
      <c r="AY1237" s="57"/>
      <c r="AZ1237" s="57"/>
      <c r="BA1237" s="57"/>
      <c r="BB1237" s="57"/>
      <c r="BC1237" s="57"/>
      <c r="BD1237" s="57"/>
      <c r="BE1237" s="57"/>
      <c r="BF1237" s="57"/>
    </row>
    <row r="1238" spans="1:58" s="59" customFormat="1" x14ac:dyDescent="0.25">
      <c r="A1238" s="53"/>
      <c r="B1238" s="54"/>
      <c r="C1238" s="55">
        <f t="shared" si="100"/>
        <v>0</v>
      </c>
      <c r="D1238" s="56"/>
      <c r="E1238" s="57">
        <f>[1]DETAY!$A$2</f>
        <v>0</v>
      </c>
      <c r="F1238" s="89">
        <f t="shared" si="101"/>
        <v>0</v>
      </c>
      <c r="G1238" s="91">
        <f t="shared" si="102"/>
        <v>0</v>
      </c>
      <c r="H1238" s="62" t="e">
        <f t="shared" si="103"/>
        <v>#DIV/0!</v>
      </c>
      <c r="I1238" s="57"/>
      <c r="J1238" s="57"/>
      <c r="K1238" s="57"/>
      <c r="L1238" s="57"/>
      <c r="M1238" s="58"/>
      <c r="N1238" s="57"/>
      <c r="O1238" s="57"/>
      <c r="P1238" s="57"/>
      <c r="Q1238" s="57"/>
      <c r="R1238" s="57"/>
      <c r="S1238" s="57"/>
      <c r="T1238" s="57"/>
      <c r="U1238" s="57"/>
      <c r="V1238" s="57"/>
      <c r="W1238" s="57"/>
      <c r="X1238" s="57"/>
      <c r="Y1238" s="57"/>
      <c r="Z1238" s="57"/>
      <c r="AA1238" s="57"/>
      <c r="AB1238" s="57"/>
      <c r="AC1238" s="57"/>
      <c r="AD1238" s="57"/>
      <c r="AE1238" s="57"/>
      <c r="AF1238" s="57"/>
      <c r="AG1238" s="57"/>
      <c r="AH1238" s="57"/>
      <c r="AI1238" s="57"/>
      <c r="AJ1238" s="57"/>
      <c r="AK1238" s="57"/>
      <c r="AL1238" s="57"/>
      <c r="AM1238" s="57"/>
      <c r="AN1238" s="57"/>
      <c r="AO1238" s="57"/>
      <c r="AP1238" s="57"/>
      <c r="AQ1238" s="57"/>
      <c r="AR1238" s="57"/>
      <c r="AS1238" s="57"/>
      <c r="AT1238" s="57"/>
      <c r="AU1238" s="57"/>
      <c r="AV1238" s="57"/>
      <c r="AW1238" s="57"/>
      <c r="AX1238" s="57"/>
      <c r="AY1238" s="57"/>
      <c r="AZ1238" s="57"/>
      <c r="BA1238" s="57"/>
      <c r="BB1238" s="57"/>
      <c r="BC1238" s="57"/>
      <c r="BD1238" s="57"/>
      <c r="BE1238" s="57"/>
      <c r="BF1238" s="57"/>
    </row>
    <row r="1239" spans="1:58" s="59" customFormat="1" x14ac:dyDescent="0.25">
      <c r="A1239" s="53"/>
      <c r="B1239" s="54"/>
      <c r="C1239" s="55">
        <f t="shared" si="100"/>
        <v>0</v>
      </c>
      <c r="D1239" s="56"/>
      <c r="E1239" s="57">
        <f>[1]DETAY!$A$2</f>
        <v>0</v>
      </c>
      <c r="F1239" s="89">
        <f t="shared" si="101"/>
        <v>0</v>
      </c>
      <c r="G1239" s="91">
        <f t="shared" si="102"/>
        <v>0</v>
      </c>
      <c r="H1239" s="62" t="e">
        <f t="shared" si="103"/>
        <v>#DIV/0!</v>
      </c>
      <c r="I1239" s="57"/>
      <c r="J1239" s="57"/>
      <c r="K1239" s="57"/>
      <c r="L1239" s="57"/>
      <c r="M1239" s="58"/>
      <c r="N1239" s="57"/>
      <c r="O1239" s="57"/>
      <c r="P1239" s="57"/>
      <c r="Q1239" s="57"/>
      <c r="R1239" s="57"/>
      <c r="S1239" s="57"/>
      <c r="T1239" s="57"/>
      <c r="U1239" s="57"/>
      <c r="V1239" s="57"/>
      <c r="W1239" s="57"/>
      <c r="X1239" s="57"/>
      <c r="Y1239" s="57"/>
      <c r="Z1239" s="57"/>
      <c r="AA1239" s="57"/>
      <c r="AB1239" s="57"/>
      <c r="AC1239" s="57"/>
      <c r="AD1239" s="57"/>
      <c r="AE1239" s="57"/>
      <c r="AF1239" s="57"/>
      <c r="AG1239" s="57"/>
      <c r="AH1239" s="57"/>
      <c r="AI1239" s="57"/>
      <c r="AJ1239" s="57"/>
      <c r="AK1239" s="57"/>
      <c r="AL1239" s="57"/>
      <c r="AM1239" s="57"/>
      <c r="AN1239" s="57"/>
      <c r="AO1239" s="57"/>
      <c r="AP1239" s="57"/>
      <c r="AQ1239" s="57"/>
      <c r="AR1239" s="57"/>
      <c r="AS1239" s="57"/>
      <c r="AT1239" s="57"/>
      <c r="AU1239" s="57"/>
      <c r="AV1239" s="57"/>
      <c r="AW1239" s="57"/>
      <c r="AX1239" s="57"/>
      <c r="AY1239" s="57"/>
      <c r="AZ1239" s="57"/>
      <c r="BA1239" s="57"/>
      <c r="BB1239" s="57"/>
      <c r="BC1239" s="57"/>
      <c r="BD1239" s="57"/>
      <c r="BE1239" s="57"/>
      <c r="BF1239" s="57"/>
    </row>
    <row r="1240" spans="1:58" s="59" customFormat="1" x14ac:dyDescent="0.25">
      <c r="A1240" s="53"/>
      <c r="B1240" s="54"/>
      <c r="C1240" s="55">
        <f t="shared" si="100"/>
        <v>0</v>
      </c>
      <c r="D1240" s="56"/>
      <c r="E1240" s="57">
        <f>[1]DETAY!$A$2</f>
        <v>0</v>
      </c>
      <c r="F1240" s="89">
        <f t="shared" si="101"/>
        <v>0</v>
      </c>
      <c r="G1240" s="91">
        <f t="shared" si="102"/>
        <v>0</v>
      </c>
      <c r="H1240" s="62" t="e">
        <f t="shared" si="103"/>
        <v>#DIV/0!</v>
      </c>
      <c r="I1240" s="57"/>
      <c r="J1240" s="57"/>
      <c r="K1240" s="57"/>
      <c r="L1240" s="57"/>
      <c r="M1240" s="58"/>
      <c r="N1240" s="57"/>
      <c r="O1240" s="57"/>
      <c r="P1240" s="57"/>
      <c r="Q1240" s="57"/>
      <c r="R1240" s="57"/>
      <c r="S1240" s="57"/>
      <c r="T1240" s="57"/>
      <c r="U1240" s="57"/>
      <c r="V1240" s="57"/>
      <c r="W1240" s="57"/>
      <c r="X1240" s="57"/>
      <c r="Y1240" s="57"/>
      <c r="Z1240" s="57"/>
      <c r="AA1240" s="57"/>
      <c r="AB1240" s="57"/>
      <c r="AC1240" s="57"/>
      <c r="AD1240" s="57"/>
      <c r="AE1240" s="57"/>
      <c r="AF1240" s="57"/>
      <c r="AG1240" s="57"/>
      <c r="AH1240" s="57"/>
      <c r="AI1240" s="57"/>
      <c r="AJ1240" s="57"/>
      <c r="AK1240" s="57"/>
      <c r="AL1240" s="57"/>
      <c r="AM1240" s="57"/>
      <c r="AN1240" s="57"/>
      <c r="AO1240" s="57"/>
      <c r="AP1240" s="57"/>
      <c r="AQ1240" s="57"/>
      <c r="AR1240" s="57"/>
      <c r="AS1240" s="57"/>
      <c r="AT1240" s="57"/>
      <c r="AU1240" s="57"/>
      <c r="AV1240" s="57"/>
      <c r="AW1240" s="57"/>
      <c r="AX1240" s="57"/>
      <c r="AY1240" s="57"/>
      <c r="AZ1240" s="57"/>
      <c r="BA1240" s="57"/>
      <c r="BB1240" s="57"/>
      <c r="BC1240" s="57"/>
      <c r="BD1240" s="57"/>
      <c r="BE1240" s="57"/>
      <c r="BF1240" s="57"/>
    </row>
    <row r="1241" spans="1:58" s="59" customFormat="1" x14ac:dyDescent="0.25">
      <c r="A1241" s="53"/>
      <c r="B1241" s="54"/>
      <c r="C1241" s="55">
        <f t="shared" si="100"/>
        <v>0</v>
      </c>
      <c r="D1241" s="56"/>
      <c r="E1241" s="57">
        <f>[1]DETAY!$A$2</f>
        <v>0</v>
      </c>
      <c r="F1241" s="89">
        <f t="shared" si="101"/>
        <v>0</v>
      </c>
      <c r="G1241" s="91">
        <f t="shared" si="102"/>
        <v>0</v>
      </c>
      <c r="H1241" s="62" t="e">
        <f t="shared" si="103"/>
        <v>#DIV/0!</v>
      </c>
      <c r="I1241" s="57"/>
      <c r="J1241" s="57"/>
      <c r="K1241" s="57"/>
      <c r="L1241" s="57"/>
      <c r="M1241" s="58"/>
      <c r="N1241" s="57"/>
      <c r="O1241" s="57"/>
      <c r="P1241" s="57"/>
      <c r="Q1241" s="57"/>
      <c r="R1241" s="57"/>
      <c r="S1241" s="57"/>
      <c r="T1241" s="57"/>
      <c r="U1241" s="57"/>
      <c r="V1241" s="57"/>
      <c r="W1241" s="57"/>
      <c r="X1241" s="57"/>
      <c r="Y1241" s="57"/>
      <c r="Z1241" s="57"/>
      <c r="AA1241" s="57"/>
      <c r="AB1241" s="57"/>
      <c r="AC1241" s="57"/>
      <c r="AD1241" s="57"/>
      <c r="AE1241" s="57"/>
      <c r="AF1241" s="57"/>
      <c r="AG1241" s="57"/>
      <c r="AH1241" s="57"/>
      <c r="AI1241" s="57"/>
      <c r="AJ1241" s="57"/>
      <c r="AK1241" s="57"/>
      <c r="AL1241" s="57"/>
      <c r="AM1241" s="57"/>
      <c r="AN1241" s="57"/>
      <c r="AO1241" s="57"/>
      <c r="AP1241" s="57"/>
      <c r="AQ1241" s="57"/>
      <c r="AR1241" s="57"/>
      <c r="AS1241" s="57"/>
      <c r="AT1241" s="57"/>
      <c r="AU1241" s="57"/>
      <c r="AV1241" s="57"/>
      <c r="AW1241" s="57"/>
      <c r="AX1241" s="57"/>
      <c r="AY1241" s="57"/>
      <c r="AZ1241" s="57"/>
      <c r="BA1241" s="57"/>
      <c r="BB1241" s="57"/>
      <c r="BC1241" s="57"/>
      <c r="BD1241" s="57"/>
      <c r="BE1241" s="57"/>
      <c r="BF1241" s="57"/>
    </row>
    <row r="1242" spans="1:58" s="59" customFormat="1" x14ac:dyDescent="0.25">
      <c r="A1242" s="53"/>
      <c r="B1242" s="54"/>
      <c r="C1242" s="55">
        <f t="shared" si="100"/>
        <v>0</v>
      </c>
      <c r="D1242" s="56"/>
      <c r="E1242" s="57">
        <f>[1]DETAY!$A$2</f>
        <v>0</v>
      </c>
      <c r="F1242" s="89">
        <f t="shared" si="101"/>
        <v>0</v>
      </c>
      <c r="G1242" s="91">
        <f t="shared" si="102"/>
        <v>0</v>
      </c>
      <c r="H1242" s="62" t="e">
        <f t="shared" si="103"/>
        <v>#DIV/0!</v>
      </c>
      <c r="I1242" s="57"/>
      <c r="J1242" s="57"/>
      <c r="K1242" s="57"/>
      <c r="L1242" s="57"/>
      <c r="M1242" s="58"/>
      <c r="N1242" s="57"/>
      <c r="O1242" s="57"/>
      <c r="P1242" s="57"/>
      <c r="Q1242" s="57"/>
      <c r="R1242" s="57"/>
      <c r="S1242" s="57"/>
      <c r="T1242" s="57"/>
      <c r="U1242" s="57"/>
      <c r="V1242" s="57"/>
      <c r="W1242" s="57"/>
      <c r="X1242" s="57"/>
      <c r="Y1242" s="57"/>
      <c r="Z1242" s="57"/>
      <c r="AA1242" s="57"/>
      <c r="AB1242" s="57"/>
      <c r="AC1242" s="57"/>
      <c r="AD1242" s="57"/>
      <c r="AE1242" s="57"/>
      <c r="AF1242" s="57"/>
      <c r="AG1242" s="57"/>
      <c r="AH1242" s="57"/>
      <c r="AI1242" s="57"/>
      <c r="AJ1242" s="57"/>
      <c r="AK1242" s="57"/>
      <c r="AL1242" s="57"/>
      <c r="AM1242" s="57"/>
      <c r="AN1242" s="57"/>
      <c r="AO1242" s="57"/>
      <c r="AP1242" s="57"/>
      <c r="AQ1242" s="57"/>
      <c r="AR1242" s="57"/>
      <c r="AS1242" s="57"/>
      <c r="AT1242" s="57"/>
      <c r="AU1242" s="57"/>
      <c r="AV1242" s="57"/>
      <c r="AW1242" s="57"/>
      <c r="AX1242" s="57"/>
      <c r="AY1242" s="57"/>
      <c r="AZ1242" s="57"/>
      <c r="BA1242" s="57"/>
      <c r="BB1242" s="57"/>
      <c r="BC1242" s="57"/>
      <c r="BD1242" s="57"/>
      <c r="BE1242" s="57"/>
      <c r="BF1242" s="57"/>
    </row>
    <row r="1243" spans="1:58" s="59" customFormat="1" x14ac:dyDescent="0.25">
      <c r="A1243" s="53"/>
      <c r="B1243" s="54"/>
      <c r="C1243" s="55">
        <f t="shared" si="100"/>
        <v>0</v>
      </c>
      <c r="D1243" s="56"/>
      <c r="E1243" s="57">
        <f>[1]DETAY!$A$2</f>
        <v>0</v>
      </c>
      <c r="F1243" s="89">
        <f t="shared" si="101"/>
        <v>0</v>
      </c>
      <c r="G1243" s="91">
        <f t="shared" si="102"/>
        <v>0</v>
      </c>
      <c r="H1243" s="62" t="e">
        <f t="shared" si="103"/>
        <v>#DIV/0!</v>
      </c>
      <c r="I1243" s="57"/>
      <c r="J1243" s="57"/>
      <c r="K1243" s="57"/>
      <c r="L1243" s="57"/>
      <c r="M1243" s="58"/>
      <c r="N1243" s="57"/>
      <c r="O1243" s="57"/>
      <c r="P1243" s="57"/>
      <c r="Q1243" s="57"/>
      <c r="R1243" s="57"/>
      <c r="S1243" s="57"/>
      <c r="T1243" s="57"/>
      <c r="U1243" s="57"/>
      <c r="V1243" s="57"/>
      <c r="W1243" s="57"/>
      <c r="X1243" s="57"/>
      <c r="Y1243" s="57"/>
      <c r="Z1243" s="57"/>
      <c r="AA1243" s="57"/>
      <c r="AB1243" s="57"/>
      <c r="AC1243" s="57"/>
      <c r="AD1243" s="57"/>
      <c r="AE1243" s="57"/>
      <c r="AF1243" s="57"/>
      <c r="AG1243" s="57"/>
      <c r="AH1243" s="57"/>
      <c r="AI1243" s="57"/>
      <c r="AJ1243" s="57"/>
      <c r="AK1243" s="57"/>
      <c r="AL1243" s="57"/>
      <c r="AM1243" s="57"/>
      <c r="AN1243" s="57"/>
      <c r="AO1243" s="57"/>
      <c r="AP1243" s="57"/>
      <c r="AQ1243" s="57"/>
      <c r="AR1243" s="57"/>
      <c r="AS1243" s="57"/>
      <c r="AT1243" s="57"/>
      <c r="AU1243" s="57"/>
      <c r="AV1243" s="57"/>
      <c r="AW1243" s="57"/>
      <c r="AX1243" s="57"/>
      <c r="AY1243" s="57"/>
      <c r="AZ1243" s="57"/>
      <c r="BA1243" s="57"/>
      <c r="BB1243" s="57"/>
      <c r="BC1243" s="57"/>
      <c r="BD1243" s="57"/>
      <c r="BE1243" s="57"/>
      <c r="BF1243" s="57"/>
    </row>
    <row r="1244" spans="1:58" s="59" customFormat="1" x14ac:dyDescent="0.25">
      <c r="A1244" s="53"/>
      <c r="B1244" s="54"/>
      <c r="C1244" s="55">
        <f t="shared" si="100"/>
        <v>0</v>
      </c>
      <c r="D1244" s="56"/>
      <c r="E1244" s="57">
        <f>[1]DETAY!$A$2</f>
        <v>0</v>
      </c>
      <c r="F1244" s="89">
        <f t="shared" si="101"/>
        <v>0</v>
      </c>
      <c r="G1244" s="91">
        <f t="shared" si="102"/>
        <v>0</v>
      </c>
      <c r="H1244" s="62" t="e">
        <f t="shared" si="103"/>
        <v>#DIV/0!</v>
      </c>
      <c r="I1244" s="57"/>
      <c r="J1244" s="57"/>
      <c r="K1244" s="57"/>
      <c r="L1244" s="57"/>
      <c r="M1244" s="58"/>
      <c r="N1244" s="57"/>
      <c r="O1244" s="57"/>
      <c r="P1244" s="57"/>
      <c r="Q1244" s="57"/>
      <c r="R1244" s="57"/>
      <c r="S1244" s="57"/>
      <c r="T1244" s="57"/>
      <c r="U1244" s="57"/>
      <c r="V1244" s="57"/>
      <c r="W1244" s="57"/>
      <c r="X1244" s="57"/>
      <c r="Y1244" s="57"/>
      <c r="Z1244" s="57"/>
      <c r="AA1244" s="57"/>
      <c r="AB1244" s="57"/>
      <c r="AC1244" s="57"/>
      <c r="AD1244" s="57"/>
      <c r="AE1244" s="57"/>
      <c r="AF1244" s="57"/>
      <c r="AG1244" s="57"/>
      <c r="AH1244" s="57"/>
      <c r="AI1244" s="57"/>
      <c r="AJ1244" s="57"/>
      <c r="AK1244" s="57"/>
      <c r="AL1244" s="57"/>
      <c r="AM1244" s="57"/>
      <c r="AN1244" s="57"/>
      <c r="AO1244" s="57"/>
      <c r="AP1244" s="57"/>
      <c r="AQ1244" s="57"/>
      <c r="AR1244" s="57"/>
      <c r="AS1244" s="57"/>
      <c r="AT1244" s="57"/>
      <c r="AU1244" s="57"/>
      <c r="AV1244" s="57"/>
      <c r="AW1244" s="57"/>
      <c r="AX1244" s="57"/>
      <c r="AY1244" s="57"/>
      <c r="AZ1244" s="57"/>
      <c r="BA1244" s="57"/>
      <c r="BB1244" s="57"/>
      <c r="BC1244" s="57"/>
      <c r="BD1244" s="57"/>
      <c r="BE1244" s="57"/>
      <c r="BF1244" s="57"/>
    </row>
    <row r="1245" spans="1:58" s="59" customFormat="1" x14ac:dyDescent="0.25">
      <c r="A1245" s="53"/>
      <c r="B1245" s="54"/>
      <c r="C1245" s="55">
        <f t="shared" si="100"/>
        <v>0</v>
      </c>
      <c r="D1245" s="56"/>
      <c r="E1245" s="57">
        <f>[1]DETAY!$A$2</f>
        <v>0</v>
      </c>
      <c r="F1245" s="89">
        <f t="shared" si="101"/>
        <v>0</v>
      </c>
      <c r="G1245" s="91">
        <f t="shared" si="102"/>
        <v>0</v>
      </c>
      <c r="H1245" s="62" t="e">
        <f t="shared" si="103"/>
        <v>#DIV/0!</v>
      </c>
      <c r="I1245" s="57"/>
      <c r="J1245" s="57"/>
      <c r="K1245" s="57"/>
      <c r="L1245" s="57"/>
      <c r="M1245" s="58"/>
      <c r="N1245" s="57"/>
      <c r="O1245" s="57"/>
      <c r="P1245" s="57"/>
      <c r="Q1245" s="57"/>
      <c r="R1245" s="57"/>
      <c r="S1245" s="57"/>
      <c r="T1245" s="57"/>
      <c r="U1245" s="57"/>
      <c r="V1245" s="57"/>
      <c r="W1245" s="57"/>
      <c r="X1245" s="57"/>
      <c r="Y1245" s="57"/>
      <c r="Z1245" s="57"/>
      <c r="AA1245" s="57"/>
      <c r="AB1245" s="57"/>
      <c r="AC1245" s="57"/>
      <c r="AD1245" s="57"/>
      <c r="AE1245" s="57"/>
      <c r="AF1245" s="57"/>
      <c r="AG1245" s="57"/>
      <c r="AH1245" s="57"/>
      <c r="AI1245" s="57"/>
      <c r="AJ1245" s="57"/>
      <c r="AK1245" s="57"/>
      <c r="AL1245" s="57"/>
      <c r="AM1245" s="57"/>
      <c r="AN1245" s="57"/>
      <c r="AO1245" s="57"/>
      <c r="AP1245" s="57"/>
      <c r="AQ1245" s="57"/>
      <c r="AR1245" s="57"/>
      <c r="AS1245" s="57"/>
      <c r="AT1245" s="57"/>
      <c r="AU1245" s="57"/>
      <c r="AV1245" s="57"/>
      <c r="AW1245" s="57"/>
      <c r="AX1245" s="57"/>
      <c r="AY1245" s="57"/>
      <c r="AZ1245" s="57"/>
      <c r="BA1245" s="57"/>
      <c r="BB1245" s="57"/>
      <c r="BC1245" s="57"/>
      <c r="BD1245" s="57"/>
      <c r="BE1245" s="57"/>
      <c r="BF1245" s="57"/>
    </row>
    <row r="1246" spans="1:58" s="59" customFormat="1" x14ac:dyDescent="0.25">
      <c r="A1246" s="53"/>
      <c r="B1246" s="54"/>
      <c r="C1246" s="55">
        <f t="shared" si="100"/>
        <v>0</v>
      </c>
      <c r="D1246" s="56"/>
      <c r="E1246" s="57">
        <f>[1]DETAY!$A$2</f>
        <v>0</v>
      </c>
      <c r="F1246" s="89">
        <f t="shared" si="101"/>
        <v>0</v>
      </c>
      <c r="G1246" s="91">
        <f t="shared" si="102"/>
        <v>0</v>
      </c>
      <c r="H1246" s="62" t="e">
        <f t="shared" si="103"/>
        <v>#DIV/0!</v>
      </c>
      <c r="I1246" s="57"/>
      <c r="J1246" s="57"/>
      <c r="K1246" s="57"/>
      <c r="L1246" s="57"/>
      <c r="M1246" s="58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A1246" s="57"/>
      <c r="BB1246" s="57"/>
      <c r="BC1246" s="57"/>
      <c r="BD1246" s="57"/>
      <c r="BE1246" s="57"/>
      <c r="BF1246" s="57"/>
    </row>
    <row r="1247" spans="1:58" s="59" customFormat="1" x14ac:dyDescent="0.25">
      <c r="A1247" s="53"/>
      <c r="B1247" s="54"/>
      <c r="C1247" s="55">
        <f t="shared" si="100"/>
        <v>0</v>
      </c>
      <c r="D1247" s="56"/>
      <c r="E1247" s="57">
        <f>[1]DETAY!$A$2</f>
        <v>0</v>
      </c>
      <c r="F1247" s="89">
        <f t="shared" si="101"/>
        <v>0</v>
      </c>
      <c r="G1247" s="91">
        <f t="shared" si="102"/>
        <v>0</v>
      </c>
      <c r="H1247" s="62" t="e">
        <f t="shared" si="103"/>
        <v>#DIV/0!</v>
      </c>
      <c r="I1247" s="57"/>
      <c r="J1247" s="57"/>
      <c r="K1247" s="57"/>
      <c r="L1247" s="57"/>
      <c r="M1247" s="58"/>
      <c r="N1247" s="57"/>
      <c r="O1247" s="57"/>
      <c r="P1247" s="57"/>
      <c r="Q1247" s="57"/>
      <c r="R1247" s="57"/>
      <c r="S1247" s="57"/>
      <c r="T1247" s="57"/>
      <c r="U1247" s="57"/>
      <c r="V1247" s="57"/>
      <c r="W1247" s="57"/>
      <c r="X1247" s="57"/>
      <c r="Y1247" s="57"/>
      <c r="Z1247" s="57"/>
      <c r="AA1247" s="57"/>
      <c r="AB1247" s="57"/>
      <c r="AC1247" s="57"/>
      <c r="AD1247" s="57"/>
      <c r="AE1247" s="57"/>
      <c r="AF1247" s="57"/>
      <c r="AG1247" s="57"/>
      <c r="AH1247" s="57"/>
      <c r="AI1247" s="57"/>
      <c r="AJ1247" s="57"/>
      <c r="AK1247" s="57"/>
      <c r="AL1247" s="57"/>
      <c r="AM1247" s="57"/>
      <c r="AN1247" s="57"/>
      <c r="AO1247" s="57"/>
      <c r="AP1247" s="57"/>
      <c r="AQ1247" s="57"/>
      <c r="AR1247" s="57"/>
      <c r="AS1247" s="57"/>
      <c r="AT1247" s="57"/>
      <c r="AU1247" s="57"/>
      <c r="AV1247" s="57"/>
      <c r="AW1247" s="57"/>
      <c r="AX1247" s="57"/>
      <c r="AY1247" s="57"/>
      <c r="AZ1247" s="57"/>
      <c r="BA1247" s="57"/>
      <c r="BB1247" s="57"/>
      <c r="BC1247" s="57"/>
      <c r="BD1247" s="57"/>
      <c r="BE1247" s="57"/>
      <c r="BF1247" s="57"/>
    </row>
    <row r="1248" spans="1:58" s="59" customFormat="1" x14ac:dyDescent="0.25">
      <c r="A1248" s="53"/>
      <c r="B1248" s="54"/>
      <c r="C1248" s="55">
        <f t="shared" si="100"/>
        <v>0</v>
      </c>
      <c r="D1248" s="56"/>
      <c r="E1248" s="57">
        <f>[1]DETAY!$A$2</f>
        <v>0</v>
      </c>
      <c r="F1248" s="89">
        <f t="shared" si="101"/>
        <v>0</v>
      </c>
      <c r="G1248" s="91">
        <f t="shared" si="102"/>
        <v>0</v>
      </c>
      <c r="H1248" s="62" t="e">
        <f t="shared" si="103"/>
        <v>#DIV/0!</v>
      </c>
      <c r="I1248" s="57"/>
      <c r="J1248" s="57"/>
      <c r="K1248" s="57"/>
      <c r="L1248" s="57"/>
      <c r="M1248" s="58"/>
      <c r="N1248" s="57"/>
      <c r="O1248" s="57"/>
      <c r="P1248" s="57"/>
      <c r="Q1248" s="57"/>
      <c r="R1248" s="57"/>
      <c r="S1248" s="57"/>
      <c r="T1248" s="57"/>
      <c r="U1248" s="57"/>
      <c r="V1248" s="57"/>
      <c r="W1248" s="57"/>
      <c r="X1248" s="57"/>
      <c r="Y1248" s="57"/>
      <c r="Z1248" s="57"/>
      <c r="AA1248" s="57"/>
      <c r="AB1248" s="57"/>
      <c r="AC1248" s="57"/>
      <c r="AD1248" s="57"/>
      <c r="AE1248" s="57"/>
      <c r="AF1248" s="57"/>
      <c r="AG1248" s="57"/>
      <c r="AH1248" s="57"/>
      <c r="AI1248" s="57"/>
      <c r="AJ1248" s="57"/>
      <c r="AK1248" s="57"/>
      <c r="AL1248" s="57"/>
      <c r="AM1248" s="57"/>
      <c r="AN1248" s="57"/>
      <c r="AO1248" s="57"/>
      <c r="AP1248" s="57"/>
      <c r="AQ1248" s="57"/>
      <c r="AR1248" s="57"/>
      <c r="AS1248" s="57"/>
      <c r="AT1248" s="57"/>
      <c r="AU1248" s="57"/>
      <c r="AV1248" s="57"/>
      <c r="AW1248" s="57"/>
      <c r="AX1248" s="57"/>
      <c r="AY1248" s="57"/>
      <c r="AZ1248" s="57"/>
      <c r="BA1248" s="57"/>
      <c r="BB1248" s="57"/>
      <c r="BC1248" s="57"/>
      <c r="BD1248" s="57"/>
      <c r="BE1248" s="57"/>
      <c r="BF1248" s="57"/>
    </row>
    <row r="1249" spans="1:58" s="59" customFormat="1" x14ac:dyDescent="0.25">
      <c r="A1249" s="53"/>
      <c r="B1249" s="54"/>
      <c r="C1249" s="55">
        <f t="shared" si="100"/>
        <v>0</v>
      </c>
      <c r="D1249" s="56"/>
      <c r="E1249" s="57">
        <f>[1]DETAY!$A$2</f>
        <v>0</v>
      </c>
      <c r="F1249" s="89">
        <f t="shared" si="101"/>
        <v>0</v>
      </c>
      <c r="G1249" s="91">
        <f t="shared" si="102"/>
        <v>0</v>
      </c>
      <c r="H1249" s="62" t="e">
        <f t="shared" si="103"/>
        <v>#DIV/0!</v>
      </c>
      <c r="I1249" s="57"/>
      <c r="J1249" s="57"/>
      <c r="K1249" s="57"/>
      <c r="L1249" s="57"/>
      <c r="M1249" s="58"/>
      <c r="N1249" s="57"/>
      <c r="O1249" s="57"/>
      <c r="P1249" s="57"/>
      <c r="Q1249" s="57"/>
      <c r="R1249" s="57"/>
      <c r="S1249" s="57"/>
      <c r="T1249" s="57"/>
      <c r="U1249" s="57"/>
      <c r="V1249" s="57"/>
      <c r="W1249" s="57"/>
      <c r="X1249" s="57"/>
      <c r="Y1249" s="57"/>
      <c r="Z1249" s="57"/>
      <c r="AA1249" s="57"/>
      <c r="AB1249" s="57"/>
      <c r="AC1249" s="57"/>
      <c r="AD1249" s="57"/>
      <c r="AE1249" s="57"/>
      <c r="AF1249" s="57"/>
      <c r="AG1249" s="57"/>
      <c r="AH1249" s="57"/>
      <c r="AI1249" s="57"/>
      <c r="AJ1249" s="57"/>
      <c r="AK1249" s="57"/>
      <c r="AL1249" s="57"/>
      <c r="AM1249" s="57"/>
      <c r="AN1249" s="57"/>
      <c r="AO1249" s="57"/>
      <c r="AP1249" s="57"/>
      <c r="AQ1249" s="57"/>
      <c r="AR1249" s="57"/>
      <c r="AS1249" s="57"/>
      <c r="AT1249" s="57"/>
      <c r="AU1249" s="57"/>
      <c r="AV1249" s="57"/>
      <c r="AW1249" s="57"/>
      <c r="AX1249" s="57"/>
      <c r="AY1249" s="57"/>
      <c r="AZ1249" s="57"/>
      <c r="BA1249" s="57"/>
      <c r="BB1249" s="57"/>
      <c r="BC1249" s="57"/>
      <c r="BD1249" s="57"/>
      <c r="BE1249" s="57"/>
      <c r="BF1249" s="57"/>
    </row>
    <row r="1250" spans="1:58" s="59" customFormat="1" x14ac:dyDescent="0.25">
      <c r="A1250" s="53"/>
      <c r="B1250" s="54"/>
      <c r="C1250" s="55">
        <f t="shared" si="100"/>
        <v>0</v>
      </c>
      <c r="D1250" s="56"/>
      <c r="E1250" s="57">
        <f>[1]DETAY!$A$2</f>
        <v>0</v>
      </c>
      <c r="F1250" s="89">
        <f t="shared" si="101"/>
        <v>0</v>
      </c>
      <c r="G1250" s="91">
        <f t="shared" si="102"/>
        <v>0</v>
      </c>
      <c r="H1250" s="62" t="e">
        <f t="shared" si="103"/>
        <v>#DIV/0!</v>
      </c>
      <c r="I1250" s="57"/>
      <c r="J1250" s="57"/>
      <c r="K1250" s="57"/>
      <c r="L1250" s="57"/>
      <c r="M1250" s="58"/>
      <c r="N1250" s="57"/>
      <c r="O1250" s="57"/>
      <c r="P1250" s="57"/>
      <c r="Q1250" s="57"/>
      <c r="R1250" s="57"/>
      <c r="S1250" s="57"/>
      <c r="T1250" s="57"/>
      <c r="U1250" s="57"/>
      <c r="V1250" s="57"/>
      <c r="W1250" s="57"/>
      <c r="X1250" s="57"/>
      <c r="Y1250" s="57"/>
      <c r="Z1250" s="57"/>
      <c r="AA1250" s="57"/>
      <c r="AB1250" s="57"/>
      <c r="AC1250" s="57"/>
      <c r="AD1250" s="57"/>
      <c r="AE1250" s="57"/>
      <c r="AF1250" s="57"/>
      <c r="AG1250" s="57"/>
      <c r="AH1250" s="57"/>
      <c r="AI1250" s="57"/>
      <c r="AJ1250" s="57"/>
      <c r="AK1250" s="57"/>
      <c r="AL1250" s="57"/>
      <c r="AM1250" s="57"/>
      <c r="AN1250" s="57"/>
      <c r="AO1250" s="57"/>
      <c r="AP1250" s="57"/>
      <c r="AQ1250" s="57"/>
      <c r="AR1250" s="57"/>
      <c r="AS1250" s="57"/>
      <c r="AT1250" s="57"/>
      <c r="AU1250" s="57"/>
      <c r="AV1250" s="57"/>
      <c r="AW1250" s="57"/>
      <c r="AX1250" s="57"/>
      <c r="AY1250" s="57"/>
      <c r="AZ1250" s="57"/>
      <c r="BA1250" s="57"/>
      <c r="BB1250" s="57"/>
      <c r="BC1250" s="57"/>
      <c r="BD1250" s="57"/>
      <c r="BE1250" s="57"/>
      <c r="BF1250" s="57"/>
    </row>
    <row r="1251" spans="1:58" s="59" customFormat="1" x14ac:dyDescent="0.25">
      <c r="A1251" s="53"/>
      <c r="B1251" s="54"/>
      <c r="C1251" s="55">
        <f t="shared" si="100"/>
        <v>0</v>
      </c>
      <c r="D1251" s="56"/>
      <c r="E1251" s="57">
        <f>[1]DETAY!$A$2</f>
        <v>0</v>
      </c>
      <c r="F1251" s="89">
        <f t="shared" si="101"/>
        <v>0</v>
      </c>
      <c r="G1251" s="91">
        <f t="shared" si="102"/>
        <v>0</v>
      </c>
      <c r="H1251" s="62" t="e">
        <f t="shared" si="103"/>
        <v>#DIV/0!</v>
      </c>
      <c r="I1251" s="57"/>
      <c r="J1251" s="57"/>
      <c r="K1251" s="57"/>
      <c r="L1251" s="57"/>
      <c r="M1251" s="58"/>
      <c r="N1251" s="57"/>
      <c r="O1251" s="57"/>
      <c r="P1251" s="57"/>
      <c r="Q1251" s="57"/>
      <c r="R1251" s="57"/>
      <c r="S1251" s="57"/>
      <c r="T1251" s="57"/>
      <c r="U1251" s="57"/>
      <c r="V1251" s="57"/>
      <c r="W1251" s="57"/>
      <c r="X1251" s="57"/>
      <c r="Y1251" s="57"/>
      <c r="Z1251" s="57"/>
      <c r="AA1251" s="57"/>
      <c r="AB1251" s="57"/>
      <c r="AC1251" s="57"/>
      <c r="AD1251" s="57"/>
      <c r="AE1251" s="57"/>
      <c r="AF1251" s="57"/>
      <c r="AG1251" s="57"/>
      <c r="AH1251" s="57"/>
      <c r="AI1251" s="57"/>
      <c r="AJ1251" s="57"/>
      <c r="AK1251" s="57"/>
      <c r="AL1251" s="57"/>
      <c r="AM1251" s="57"/>
      <c r="AN1251" s="57"/>
      <c r="AO1251" s="57"/>
      <c r="AP1251" s="57"/>
      <c r="AQ1251" s="57"/>
      <c r="AR1251" s="57"/>
      <c r="AS1251" s="57"/>
      <c r="AT1251" s="57"/>
      <c r="AU1251" s="57"/>
      <c r="AV1251" s="57"/>
      <c r="AW1251" s="57"/>
      <c r="AX1251" s="57"/>
      <c r="AY1251" s="57"/>
      <c r="AZ1251" s="57"/>
      <c r="BA1251" s="57"/>
      <c r="BB1251" s="57"/>
      <c r="BC1251" s="57"/>
      <c r="BD1251" s="57"/>
      <c r="BE1251" s="57"/>
      <c r="BF1251" s="57"/>
    </row>
    <row r="1252" spans="1:58" s="59" customFormat="1" x14ac:dyDescent="0.25">
      <c r="A1252" s="53"/>
      <c r="B1252" s="54"/>
      <c r="C1252" s="55">
        <f t="shared" si="100"/>
        <v>0</v>
      </c>
      <c r="D1252" s="56"/>
      <c r="E1252" s="57">
        <f>[1]DETAY!$A$2</f>
        <v>0</v>
      </c>
      <c r="F1252" s="89">
        <f t="shared" si="101"/>
        <v>0</v>
      </c>
      <c r="G1252" s="91">
        <f t="shared" si="102"/>
        <v>0</v>
      </c>
      <c r="H1252" s="62" t="e">
        <f t="shared" si="103"/>
        <v>#DIV/0!</v>
      </c>
      <c r="I1252" s="57"/>
      <c r="J1252" s="57"/>
      <c r="K1252" s="57"/>
      <c r="L1252" s="57"/>
      <c r="M1252" s="58"/>
      <c r="N1252" s="57"/>
      <c r="O1252" s="57"/>
      <c r="P1252" s="57"/>
      <c r="Q1252" s="57"/>
      <c r="R1252" s="57"/>
      <c r="S1252" s="57"/>
      <c r="T1252" s="57"/>
      <c r="U1252" s="57"/>
      <c r="V1252" s="57"/>
      <c r="W1252" s="57"/>
      <c r="X1252" s="57"/>
      <c r="Y1252" s="57"/>
      <c r="Z1252" s="57"/>
      <c r="AA1252" s="57"/>
      <c r="AB1252" s="57"/>
      <c r="AC1252" s="57"/>
      <c r="AD1252" s="57"/>
      <c r="AE1252" s="57"/>
      <c r="AF1252" s="57"/>
      <c r="AG1252" s="57"/>
      <c r="AH1252" s="57"/>
      <c r="AI1252" s="57"/>
      <c r="AJ1252" s="57"/>
      <c r="AK1252" s="57"/>
      <c r="AL1252" s="57"/>
      <c r="AM1252" s="57"/>
      <c r="AN1252" s="57"/>
      <c r="AO1252" s="57"/>
      <c r="AP1252" s="57"/>
      <c r="AQ1252" s="57"/>
      <c r="AR1252" s="57"/>
      <c r="AS1252" s="57"/>
      <c r="AT1252" s="57"/>
      <c r="AU1252" s="57"/>
      <c r="AV1252" s="57"/>
      <c r="AW1252" s="57"/>
      <c r="AX1252" s="57"/>
      <c r="AY1252" s="57"/>
      <c r="AZ1252" s="57"/>
      <c r="BA1252" s="57"/>
      <c r="BB1252" s="57"/>
      <c r="BC1252" s="57"/>
      <c r="BD1252" s="57"/>
      <c r="BE1252" s="57"/>
      <c r="BF1252" s="57"/>
    </row>
    <row r="1253" spans="1:58" s="59" customFormat="1" x14ac:dyDescent="0.25">
      <c r="A1253" s="53"/>
      <c r="B1253" s="54"/>
      <c r="C1253" s="55">
        <f t="shared" si="100"/>
        <v>0</v>
      </c>
      <c r="D1253" s="56"/>
      <c r="E1253" s="57">
        <f>[1]DETAY!$A$2</f>
        <v>0</v>
      </c>
      <c r="F1253" s="89">
        <f t="shared" si="101"/>
        <v>0</v>
      </c>
      <c r="G1253" s="91">
        <f t="shared" si="102"/>
        <v>0</v>
      </c>
      <c r="H1253" s="62" t="e">
        <f t="shared" si="103"/>
        <v>#DIV/0!</v>
      </c>
      <c r="I1253" s="57"/>
      <c r="J1253" s="57"/>
      <c r="K1253" s="57"/>
      <c r="L1253" s="57"/>
      <c r="M1253" s="58"/>
      <c r="N1253" s="57"/>
      <c r="O1253" s="57"/>
      <c r="P1253" s="57"/>
      <c r="Q1253" s="57"/>
      <c r="R1253" s="57"/>
      <c r="S1253" s="57"/>
      <c r="T1253" s="57"/>
      <c r="U1253" s="57"/>
      <c r="V1253" s="57"/>
      <c r="W1253" s="57"/>
      <c r="X1253" s="57"/>
      <c r="Y1253" s="57"/>
      <c r="Z1253" s="57"/>
      <c r="AA1253" s="57"/>
      <c r="AB1253" s="57"/>
      <c r="AC1253" s="57"/>
      <c r="AD1253" s="57"/>
      <c r="AE1253" s="57"/>
      <c r="AF1253" s="57"/>
      <c r="AG1253" s="57"/>
      <c r="AH1253" s="57"/>
      <c r="AI1253" s="57"/>
      <c r="AJ1253" s="57"/>
      <c r="AK1253" s="57"/>
      <c r="AL1253" s="57"/>
      <c r="AM1253" s="57"/>
      <c r="AN1253" s="57"/>
      <c r="AO1253" s="57"/>
      <c r="AP1253" s="57"/>
      <c r="AQ1253" s="57"/>
      <c r="AR1253" s="57"/>
      <c r="AS1253" s="57"/>
      <c r="AT1253" s="57"/>
      <c r="AU1253" s="57"/>
      <c r="AV1253" s="57"/>
      <c r="AW1253" s="57"/>
      <c r="AX1253" s="57"/>
      <c r="AY1253" s="57"/>
      <c r="AZ1253" s="57"/>
      <c r="BA1253" s="57"/>
      <c r="BB1253" s="57"/>
      <c r="BC1253" s="57"/>
      <c r="BD1253" s="57"/>
      <c r="BE1253" s="57"/>
      <c r="BF1253" s="57"/>
    </row>
    <row r="1254" spans="1:58" s="59" customFormat="1" x14ac:dyDescent="0.25">
      <c r="A1254" s="53"/>
      <c r="B1254" s="54"/>
      <c r="C1254" s="55">
        <f t="shared" si="100"/>
        <v>0</v>
      </c>
      <c r="D1254" s="56"/>
      <c r="E1254" s="57">
        <f>[1]DETAY!$A$2</f>
        <v>0</v>
      </c>
      <c r="F1254" s="89">
        <f t="shared" si="101"/>
        <v>0</v>
      </c>
      <c r="G1254" s="91">
        <f t="shared" si="102"/>
        <v>0</v>
      </c>
      <c r="H1254" s="62" t="e">
        <f t="shared" si="103"/>
        <v>#DIV/0!</v>
      </c>
      <c r="I1254" s="57"/>
      <c r="J1254" s="57"/>
      <c r="K1254" s="57"/>
      <c r="L1254" s="57"/>
      <c r="M1254" s="58"/>
      <c r="N1254" s="57"/>
      <c r="O1254" s="57"/>
      <c r="P1254" s="57"/>
      <c r="Q1254" s="57"/>
      <c r="R1254" s="57"/>
      <c r="S1254" s="57"/>
      <c r="T1254" s="57"/>
      <c r="U1254" s="57"/>
      <c r="V1254" s="57"/>
      <c r="W1254" s="57"/>
      <c r="X1254" s="57"/>
      <c r="Y1254" s="57"/>
      <c r="Z1254" s="57"/>
      <c r="AA1254" s="57"/>
      <c r="AB1254" s="57"/>
      <c r="AC1254" s="57"/>
      <c r="AD1254" s="57"/>
      <c r="AE1254" s="57"/>
      <c r="AF1254" s="57"/>
      <c r="AG1254" s="57"/>
      <c r="AH1254" s="57"/>
      <c r="AI1254" s="57"/>
      <c r="AJ1254" s="57"/>
      <c r="AK1254" s="57"/>
      <c r="AL1254" s="57"/>
      <c r="AM1254" s="57"/>
      <c r="AN1254" s="57"/>
      <c r="AO1254" s="57"/>
      <c r="AP1254" s="57"/>
      <c r="AQ1254" s="57"/>
      <c r="AR1254" s="57"/>
      <c r="AS1254" s="57"/>
      <c r="AT1254" s="57"/>
      <c r="AU1254" s="57"/>
      <c r="AV1254" s="57"/>
      <c r="AW1254" s="57"/>
      <c r="AX1254" s="57"/>
      <c r="AY1254" s="57"/>
      <c r="AZ1254" s="57"/>
      <c r="BA1254" s="57"/>
      <c r="BB1254" s="57"/>
      <c r="BC1254" s="57"/>
      <c r="BD1254" s="57"/>
      <c r="BE1254" s="57"/>
      <c r="BF1254" s="57"/>
    </row>
    <row r="1255" spans="1:58" s="59" customFormat="1" x14ac:dyDescent="0.25">
      <c r="A1255" s="53"/>
      <c r="B1255" s="54"/>
      <c r="C1255" s="55">
        <f t="shared" si="100"/>
        <v>0</v>
      </c>
      <c r="D1255" s="56"/>
      <c r="E1255" s="57">
        <f>[1]DETAY!$A$2</f>
        <v>0</v>
      </c>
      <c r="F1255" s="89">
        <f t="shared" si="101"/>
        <v>0</v>
      </c>
      <c r="G1255" s="91">
        <f t="shared" si="102"/>
        <v>0</v>
      </c>
      <c r="H1255" s="62" t="e">
        <f t="shared" si="103"/>
        <v>#DIV/0!</v>
      </c>
      <c r="I1255" s="57"/>
      <c r="J1255" s="57"/>
      <c r="K1255" s="57"/>
      <c r="L1255" s="57"/>
      <c r="M1255" s="58"/>
      <c r="N1255" s="57"/>
      <c r="O1255" s="57"/>
      <c r="P1255" s="57"/>
      <c r="Q1255" s="57"/>
      <c r="R1255" s="57"/>
      <c r="S1255" s="57"/>
      <c r="T1255" s="57"/>
      <c r="U1255" s="57"/>
      <c r="V1255" s="57"/>
      <c r="W1255" s="57"/>
      <c r="X1255" s="57"/>
      <c r="Y1255" s="57"/>
      <c r="Z1255" s="57"/>
      <c r="AA1255" s="57"/>
      <c r="AB1255" s="57"/>
      <c r="AC1255" s="57"/>
      <c r="AD1255" s="57"/>
      <c r="AE1255" s="57"/>
      <c r="AF1255" s="57"/>
      <c r="AG1255" s="57"/>
      <c r="AH1255" s="57"/>
      <c r="AI1255" s="57"/>
      <c r="AJ1255" s="57"/>
      <c r="AK1255" s="57"/>
      <c r="AL1255" s="57"/>
      <c r="AM1255" s="57"/>
      <c r="AN1255" s="57"/>
      <c r="AO1255" s="57"/>
      <c r="AP1255" s="57"/>
      <c r="AQ1255" s="57"/>
      <c r="AR1255" s="57"/>
      <c r="AS1255" s="57"/>
      <c r="AT1255" s="57"/>
      <c r="AU1255" s="57"/>
      <c r="AV1255" s="57"/>
      <c r="AW1255" s="57"/>
      <c r="AX1255" s="57"/>
      <c r="AY1255" s="57"/>
      <c r="AZ1255" s="57"/>
      <c r="BA1255" s="57"/>
      <c r="BB1255" s="57"/>
      <c r="BC1255" s="57"/>
      <c r="BD1255" s="57"/>
      <c r="BE1255" s="57"/>
      <c r="BF1255" s="57"/>
    </row>
    <row r="1256" spans="1:58" s="59" customFormat="1" x14ac:dyDescent="0.25">
      <c r="A1256" s="53"/>
      <c r="B1256" s="54"/>
      <c r="C1256" s="55">
        <f t="shared" si="100"/>
        <v>0</v>
      </c>
      <c r="D1256" s="56"/>
      <c r="E1256" s="57">
        <f>[1]DETAY!$A$2</f>
        <v>0</v>
      </c>
      <c r="F1256" s="89">
        <f t="shared" si="101"/>
        <v>0</v>
      </c>
      <c r="G1256" s="91">
        <f t="shared" si="102"/>
        <v>0</v>
      </c>
      <c r="H1256" s="62" t="e">
        <f t="shared" si="103"/>
        <v>#DIV/0!</v>
      </c>
      <c r="I1256" s="57"/>
      <c r="J1256" s="57"/>
      <c r="K1256" s="57"/>
      <c r="L1256" s="57"/>
      <c r="M1256" s="58"/>
      <c r="N1256" s="57"/>
      <c r="O1256" s="57"/>
      <c r="P1256" s="57"/>
      <c r="Q1256" s="57"/>
      <c r="R1256" s="57"/>
      <c r="S1256" s="57"/>
      <c r="T1256" s="57"/>
      <c r="U1256" s="57"/>
      <c r="V1256" s="57"/>
      <c r="W1256" s="57"/>
      <c r="X1256" s="57"/>
      <c r="Y1256" s="57"/>
      <c r="Z1256" s="57"/>
      <c r="AA1256" s="57"/>
      <c r="AB1256" s="57"/>
      <c r="AC1256" s="57"/>
      <c r="AD1256" s="57"/>
      <c r="AE1256" s="57"/>
      <c r="AF1256" s="57"/>
      <c r="AG1256" s="57"/>
      <c r="AH1256" s="57"/>
      <c r="AI1256" s="57"/>
      <c r="AJ1256" s="57"/>
      <c r="AK1256" s="57"/>
      <c r="AL1256" s="57"/>
      <c r="AM1256" s="57"/>
      <c r="AN1256" s="57"/>
      <c r="AO1256" s="57"/>
      <c r="AP1256" s="57"/>
      <c r="AQ1256" s="57"/>
      <c r="AR1256" s="57"/>
      <c r="AS1256" s="57"/>
      <c r="AT1256" s="57"/>
      <c r="AU1256" s="57"/>
      <c r="AV1256" s="57"/>
      <c r="AW1256" s="57"/>
      <c r="AX1256" s="57"/>
      <c r="AY1256" s="57"/>
      <c r="AZ1256" s="57"/>
      <c r="BA1256" s="57"/>
      <c r="BB1256" s="57"/>
      <c r="BC1256" s="57"/>
      <c r="BD1256" s="57"/>
      <c r="BE1256" s="57"/>
      <c r="BF1256" s="57"/>
    </row>
    <row r="1257" spans="1:58" s="59" customFormat="1" x14ac:dyDescent="0.25">
      <c r="A1257" s="53"/>
      <c r="B1257" s="54"/>
      <c r="C1257" s="55">
        <f t="shared" si="100"/>
        <v>0</v>
      </c>
      <c r="D1257" s="56"/>
      <c r="E1257" s="57">
        <f>[1]DETAY!$A$2</f>
        <v>0</v>
      </c>
      <c r="F1257" s="89">
        <f t="shared" si="101"/>
        <v>0</v>
      </c>
      <c r="G1257" s="91">
        <f t="shared" si="102"/>
        <v>0</v>
      </c>
      <c r="H1257" s="62" t="e">
        <f t="shared" si="103"/>
        <v>#DIV/0!</v>
      </c>
      <c r="I1257" s="57"/>
      <c r="J1257" s="57"/>
      <c r="K1257" s="57"/>
      <c r="L1257" s="57"/>
      <c r="M1257" s="58"/>
      <c r="N1257" s="57"/>
      <c r="O1257" s="57"/>
      <c r="P1257" s="57"/>
      <c r="Q1257" s="57"/>
      <c r="R1257" s="57"/>
      <c r="S1257" s="57"/>
      <c r="T1257" s="57"/>
      <c r="U1257" s="57"/>
      <c r="V1257" s="57"/>
      <c r="W1257" s="57"/>
      <c r="X1257" s="57"/>
      <c r="Y1257" s="57"/>
      <c r="Z1257" s="57"/>
      <c r="AA1257" s="57"/>
      <c r="AB1257" s="57"/>
      <c r="AC1257" s="57"/>
      <c r="AD1257" s="57"/>
      <c r="AE1257" s="57"/>
      <c r="AF1257" s="57"/>
      <c r="AG1257" s="57"/>
      <c r="AH1257" s="57"/>
      <c r="AI1257" s="57"/>
      <c r="AJ1257" s="57"/>
      <c r="AK1257" s="57"/>
      <c r="AL1257" s="57"/>
      <c r="AM1257" s="57"/>
      <c r="AN1257" s="57"/>
      <c r="AO1257" s="57"/>
      <c r="AP1257" s="57"/>
      <c r="AQ1257" s="57"/>
      <c r="AR1257" s="57"/>
      <c r="AS1257" s="57"/>
      <c r="AT1257" s="57"/>
      <c r="AU1257" s="57"/>
      <c r="AV1257" s="57"/>
      <c r="AW1257" s="57"/>
      <c r="AX1257" s="57"/>
      <c r="AY1257" s="57"/>
      <c r="AZ1257" s="57"/>
      <c r="BA1257" s="57"/>
      <c r="BB1257" s="57"/>
      <c r="BC1257" s="57"/>
      <c r="BD1257" s="57"/>
      <c r="BE1257" s="57"/>
      <c r="BF1257" s="57"/>
    </row>
    <row r="1258" spans="1:58" s="59" customFormat="1" x14ac:dyDescent="0.25">
      <c r="A1258" s="53"/>
      <c r="B1258" s="54"/>
      <c r="C1258" s="55">
        <f t="shared" si="100"/>
        <v>0</v>
      </c>
      <c r="D1258" s="56"/>
      <c r="E1258" s="57">
        <f>[1]DETAY!$A$2</f>
        <v>0</v>
      </c>
      <c r="F1258" s="89">
        <f t="shared" si="101"/>
        <v>0</v>
      </c>
      <c r="G1258" s="91">
        <f t="shared" si="102"/>
        <v>0</v>
      </c>
      <c r="H1258" s="62" t="e">
        <f t="shared" si="103"/>
        <v>#DIV/0!</v>
      </c>
      <c r="I1258" s="57"/>
      <c r="J1258" s="57"/>
      <c r="K1258" s="57"/>
      <c r="L1258" s="57"/>
      <c r="M1258" s="58"/>
      <c r="N1258" s="57"/>
      <c r="O1258" s="57"/>
      <c r="P1258" s="57"/>
      <c r="Q1258" s="57"/>
      <c r="R1258" s="57"/>
      <c r="S1258" s="57"/>
      <c r="T1258" s="57"/>
      <c r="U1258" s="57"/>
      <c r="V1258" s="57"/>
      <c r="W1258" s="57"/>
      <c r="X1258" s="57"/>
      <c r="Y1258" s="57"/>
      <c r="Z1258" s="57"/>
      <c r="AA1258" s="57"/>
      <c r="AB1258" s="57"/>
      <c r="AC1258" s="57"/>
      <c r="AD1258" s="57"/>
      <c r="AE1258" s="57"/>
      <c r="AF1258" s="57"/>
      <c r="AG1258" s="57"/>
      <c r="AH1258" s="57"/>
      <c r="AI1258" s="57"/>
      <c r="AJ1258" s="57"/>
      <c r="AK1258" s="57"/>
      <c r="AL1258" s="57"/>
      <c r="AM1258" s="57"/>
      <c r="AN1258" s="57"/>
      <c r="AO1258" s="57"/>
      <c r="AP1258" s="57"/>
      <c r="AQ1258" s="57"/>
      <c r="AR1258" s="57"/>
      <c r="AS1258" s="57"/>
      <c r="AT1258" s="57"/>
      <c r="AU1258" s="57"/>
      <c r="AV1258" s="57"/>
      <c r="AW1258" s="57"/>
      <c r="AX1258" s="57"/>
      <c r="AY1258" s="57"/>
      <c r="AZ1258" s="57"/>
      <c r="BA1258" s="57"/>
      <c r="BB1258" s="57"/>
      <c r="BC1258" s="57"/>
      <c r="BD1258" s="57"/>
      <c r="BE1258" s="57"/>
      <c r="BF1258" s="57"/>
    </row>
    <row r="1259" spans="1:58" s="59" customFormat="1" x14ac:dyDescent="0.25">
      <c r="A1259" s="53"/>
      <c r="B1259" s="54"/>
      <c r="C1259" s="55">
        <f t="shared" si="100"/>
        <v>0</v>
      </c>
      <c r="D1259" s="56"/>
      <c r="E1259" s="57">
        <f>[1]DETAY!$A$2</f>
        <v>0</v>
      </c>
      <c r="F1259" s="89">
        <f t="shared" si="101"/>
        <v>0</v>
      </c>
      <c r="G1259" s="91">
        <f t="shared" si="102"/>
        <v>0</v>
      </c>
      <c r="H1259" s="62" t="e">
        <f t="shared" si="103"/>
        <v>#DIV/0!</v>
      </c>
      <c r="I1259" s="57"/>
      <c r="J1259" s="57"/>
      <c r="K1259" s="57"/>
      <c r="L1259" s="57"/>
      <c r="M1259" s="58"/>
      <c r="N1259" s="57"/>
      <c r="O1259" s="57"/>
      <c r="P1259" s="57"/>
      <c r="Q1259" s="57"/>
      <c r="R1259" s="57"/>
      <c r="S1259" s="57"/>
      <c r="T1259" s="57"/>
      <c r="U1259" s="57"/>
      <c r="V1259" s="57"/>
      <c r="W1259" s="57"/>
      <c r="X1259" s="57"/>
      <c r="Y1259" s="57"/>
      <c r="Z1259" s="57"/>
      <c r="AA1259" s="57"/>
      <c r="AB1259" s="57"/>
      <c r="AC1259" s="57"/>
      <c r="AD1259" s="57"/>
      <c r="AE1259" s="57"/>
      <c r="AF1259" s="57"/>
      <c r="AG1259" s="57"/>
      <c r="AH1259" s="57"/>
      <c r="AI1259" s="57"/>
      <c r="AJ1259" s="57"/>
      <c r="AK1259" s="57"/>
      <c r="AL1259" s="57"/>
      <c r="AM1259" s="57"/>
      <c r="AN1259" s="57"/>
      <c r="AO1259" s="57"/>
      <c r="AP1259" s="57"/>
      <c r="AQ1259" s="57"/>
      <c r="AR1259" s="57"/>
      <c r="AS1259" s="57"/>
      <c r="AT1259" s="57"/>
      <c r="AU1259" s="57"/>
      <c r="AV1259" s="57"/>
      <c r="AW1259" s="57"/>
      <c r="AX1259" s="57"/>
      <c r="AY1259" s="57"/>
      <c r="AZ1259" s="57"/>
      <c r="BA1259" s="57"/>
      <c r="BB1259" s="57"/>
      <c r="BC1259" s="57"/>
      <c r="BD1259" s="57"/>
      <c r="BE1259" s="57"/>
      <c r="BF1259" s="57"/>
    </row>
    <row r="1260" spans="1:58" s="59" customFormat="1" x14ac:dyDescent="0.25">
      <c r="A1260" s="53"/>
      <c r="B1260" s="54"/>
      <c r="C1260" s="55">
        <f t="shared" si="100"/>
        <v>0</v>
      </c>
      <c r="D1260" s="56"/>
      <c r="E1260" s="57">
        <f>[1]DETAY!$A$2</f>
        <v>0</v>
      </c>
      <c r="F1260" s="89">
        <f t="shared" si="101"/>
        <v>0</v>
      </c>
      <c r="G1260" s="91">
        <f t="shared" si="102"/>
        <v>0</v>
      </c>
      <c r="H1260" s="62" t="e">
        <f t="shared" si="103"/>
        <v>#DIV/0!</v>
      </c>
      <c r="I1260" s="57"/>
      <c r="J1260" s="57"/>
      <c r="K1260" s="57"/>
      <c r="L1260" s="57"/>
      <c r="M1260" s="58"/>
      <c r="N1260" s="57"/>
      <c r="O1260" s="57"/>
      <c r="P1260" s="57"/>
      <c r="Q1260" s="57"/>
      <c r="R1260" s="57"/>
      <c r="S1260" s="57"/>
      <c r="T1260" s="57"/>
      <c r="U1260" s="57"/>
      <c r="V1260" s="57"/>
      <c r="W1260" s="57"/>
      <c r="X1260" s="57"/>
      <c r="Y1260" s="57"/>
      <c r="Z1260" s="57"/>
      <c r="AA1260" s="57"/>
      <c r="AB1260" s="57"/>
      <c r="AC1260" s="57"/>
      <c r="AD1260" s="57"/>
      <c r="AE1260" s="57"/>
      <c r="AF1260" s="57"/>
      <c r="AG1260" s="57"/>
      <c r="AH1260" s="57"/>
      <c r="AI1260" s="57"/>
      <c r="AJ1260" s="57"/>
      <c r="AK1260" s="57"/>
      <c r="AL1260" s="57"/>
      <c r="AM1260" s="57"/>
      <c r="AN1260" s="57"/>
      <c r="AO1260" s="57"/>
      <c r="AP1260" s="57"/>
      <c r="AQ1260" s="57"/>
      <c r="AR1260" s="57"/>
      <c r="AS1260" s="57"/>
      <c r="AT1260" s="57"/>
      <c r="AU1260" s="57"/>
      <c r="AV1260" s="57"/>
      <c r="AW1260" s="57"/>
      <c r="AX1260" s="57"/>
      <c r="AY1260" s="57"/>
      <c r="AZ1260" s="57"/>
      <c r="BA1260" s="57"/>
      <c r="BB1260" s="57"/>
      <c r="BC1260" s="57"/>
      <c r="BD1260" s="57"/>
      <c r="BE1260" s="57"/>
      <c r="BF1260" s="57"/>
    </row>
    <row r="1261" spans="1:58" s="59" customFormat="1" x14ac:dyDescent="0.25">
      <c r="A1261" s="53"/>
      <c r="B1261" s="54"/>
      <c r="C1261" s="55">
        <f t="shared" si="100"/>
        <v>0</v>
      </c>
      <c r="D1261" s="56"/>
      <c r="E1261" s="57">
        <f>[1]DETAY!$A$2</f>
        <v>0</v>
      </c>
      <c r="F1261" s="89">
        <f t="shared" si="101"/>
        <v>0</v>
      </c>
      <c r="G1261" s="91">
        <f t="shared" si="102"/>
        <v>0</v>
      </c>
      <c r="H1261" s="62" t="e">
        <f t="shared" si="103"/>
        <v>#DIV/0!</v>
      </c>
      <c r="I1261" s="57"/>
      <c r="J1261" s="57"/>
      <c r="K1261" s="57"/>
      <c r="L1261" s="57"/>
      <c r="M1261" s="58"/>
      <c r="N1261" s="57"/>
      <c r="O1261" s="57"/>
      <c r="P1261" s="57"/>
      <c r="Q1261" s="57"/>
      <c r="R1261" s="57"/>
      <c r="S1261" s="57"/>
      <c r="T1261" s="57"/>
      <c r="U1261" s="57"/>
      <c r="V1261" s="57"/>
      <c r="W1261" s="57"/>
      <c r="X1261" s="57"/>
      <c r="Y1261" s="57"/>
      <c r="Z1261" s="57"/>
      <c r="AA1261" s="57"/>
      <c r="AB1261" s="57"/>
      <c r="AC1261" s="57"/>
      <c r="AD1261" s="57"/>
      <c r="AE1261" s="57"/>
      <c r="AF1261" s="57"/>
      <c r="AG1261" s="57"/>
      <c r="AH1261" s="57"/>
      <c r="AI1261" s="57"/>
      <c r="AJ1261" s="57"/>
      <c r="AK1261" s="57"/>
      <c r="AL1261" s="57"/>
      <c r="AM1261" s="57"/>
      <c r="AN1261" s="57"/>
      <c r="AO1261" s="57"/>
      <c r="AP1261" s="57"/>
      <c r="AQ1261" s="57"/>
      <c r="AR1261" s="57"/>
      <c r="AS1261" s="57"/>
      <c r="AT1261" s="57"/>
      <c r="AU1261" s="57"/>
      <c r="AV1261" s="57"/>
      <c r="AW1261" s="57"/>
      <c r="AX1261" s="57"/>
      <c r="AY1261" s="57"/>
      <c r="AZ1261" s="57"/>
      <c r="BA1261" s="57"/>
      <c r="BB1261" s="57"/>
      <c r="BC1261" s="57"/>
      <c r="BD1261" s="57"/>
      <c r="BE1261" s="57"/>
      <c r="BF1261" s="57"/>
    </row>
    <row r="1262" spans="1:58" s="59" customFormat="1" x14ac:dyDescent="0.25">
      <c r="A1262" s="53"/>
      <c r="B1262" s="54"/>
      <c r="C1262" s="55">
        <f t="shared" si="100"/>
        <v>0</v>
      </c>
      <c r="D1262" s="56"/>
      <c r="E1262" s="57">
        <f>[1]DETAY!$A$2</f>
        <v>0</v>
      </c>
      <c r="F1262" s="89">
        <f t="shared" si="101"/>
        <v>0</v>
      </c>
      <c r="G1262" s="91">
        <f t="shared" si="102"/>
        <v>0</v>
      </c>
      <c r="H1262" s="62" t="e">
        <f t="shared" si="103"/>
        <v>#DIV/0!</v>
      </c>
      <c r="I1262" s="57"/>
      <c r="J1262" s="57"/>
      <c r="K1262" s="57"/>
      <c r="L1262" s="57"/>
      <c r="M1262" s="58"/>
      <c r="N1262" s="57"/>
      <c r="O1262" s="57"/>
      <c r="P1262" s="57"/>
      <c r="Q1262" s="57"/>
      <c r="R1262" s="57"/>
      <c r="S1262" s="57"/>
      <c r="T1262" s="57"/>
      <c r="U1262" s="57"/>
      <c r="V1262" s="57"/>
      <c r="W1262" s="57"/>
      <c r="X1262" s="57"/>
      <c r="Y1262" s="57"/>
      <c r="Z1262" s="57"/>
      <c r="AA1262" s="57"/>
      <c r="AB1262" s="57"/>
      <c r="AC1262" s="57"/>
      <c r="AD1262" s="57"/>
      <c r="AE1262" s="57"/>
      <c r="AF1262" s="57"/>
      <c r="AG1262" s="57"/>
      <c r="AH1262" s="57"/>
      <c r="AI1262" s="57"/>
      <c r="AJ1262" s="57"/>
      <c r="AK1262" s="57"/>
      <c r="AL1262" s="57"/>
      <c r="AM1262" s="57"/>
      <c r="AN1262" s="57"/>
      <c r="AO1262" s="57"/>
      <c r="AP1262" s="57"/>
      <c r="AQ1262" s="57"/>
      <c r="AR1262" s="57"/>
      <c r="AS1262" s="57"/>
      <c r="AT1262" s="57"/>
      <c r="AU1262" s="57"/>
      <c r="AV1262" s="57"/>
      <c r="AW1262" s="57"/>
      <c r="AX1262" s="57"/>
      <c r="AY1262" s="57"/>
      <c r="AZ1262" s="57"/>
      <c r="BA1262" s="57"/>
      <c r="BB1262" s="57"/>
      <c r="BC1262" s="57"/>
      <c r="BD1262" s="57"/>
      <c r="BE1262" s="57"/>
      <c r="BF1262" s="57"/>
    </row>
    <row r="1263" spans="1:58" s="59" customFormat="1" x14ac:dyDescent="0.25">
      <c r="A1263" s="53"/>
      <c r="B1263" s="54"/>
      <c r="C1263" s="55">
        <f t="shared" si="100"/>
        <v>0</v>
      </c>
      <c r="D1263" s="56"/>
      <c r="E1263" s="57">
        <f>[1]DETAY!$A$2</f>
        <v>0</v>
      </c>
      <c r="F1263" s="89">
        <f t="shared" si="101"/>
        <v>0</v>
      </c>
      <c r="G1263" s="91">
        <f t="shared" si="102"/>
        <v>0</v>
      </c>
      <c r="H1263" s="62" t="e">
        <f t="shared" si="103"/>
        <v>#DIV/0!</v>
      </c>
      <c r="I1263" s="57"/>
      <c r="J1263" s="57"/>
      <c r="K1263" s="57"/>
      <c r="L1263" s="57"/>
      <c r="M1263" s="58"/>
      <c r="N1263" s="57"/>
      <c r="O1263" s="57"/>
      <c r="P1263" s="57"/>
      <c r="Q1263" s="57"/>
      <c r="R1263" s="57"/>
      <c r="S1263" s="57"/>
      <c r="T1263" s="57"/>
      <c r="U1263" s="57"/>
      <c r="V1263" s="57"/>
      <c r="W1263" s="57"/>
      <c r="X1263" s="57"/>
      <c r="Y1263" s="57"/>
      <c r="Z1263" s="57"/>
      <c r="AA1263" s="57"/>
      <c r="AB1263" s="57"/>
      <c r="AC1263" s="57"/>
      <c r="AD1263" s="57"/>
      <c r="AE1263" s="57"/>
      <c r="AF1263" s="57"/>
      <c r="AG1263" s="57"/>
      <c r="AH1263" s="57"/>
      <c r="AI1263" s="57"/>
      <c r="AJ1263" s="57"/>
      <c r="AK1263" s="57"/>
      <c r="AL1263" s="57"/>
      <c r="AM1263" s="57"/>
      <c r="AN1263" s="57"/>
      <c r="AO1263" s="57"/>
      <c r="AP1263" s="57"/>
      <c r="AQ1263" s="57"/>
      <c r="AR1263" s="57"/>
      <c r="AS1263" s="57"/>
      <c r="AT1263" s="57"/>
      <c r="AU1263" s="57"/>
      <c r="AV1263" s="57"/>
      <c r="AW1263" s="57"/>
      <c r="AX1263" s="57"/>
      <c r="AY1263" s="57"/>
      <c r="AZ1263" s="57"/>
      <c r="BA1263" s="57"/>
      <c r="BB1263" s="57"/>
      <c r="BC1263" s="57"/>
      <c r="BD1263" s="57"/>
      <c r="BE1263" s="57"/>
      <c r="BF1263" s="57"/>
    </row>
    <row r="1264" spans="1:58" s="59" customFormat="1" x14ac:dyDescent="0.25">
      <c r="A1264" s="53"/>
      <c r="B1264" s="54"/>
      <c r="C1264" s="55">
        <f t="shared" si="100"/>
        <v>0</v>
      </c>
      <c r="D1264" s="56"/>
      <c r="E1264" s="57">
        <f>[1]DETAY!$A$2</f>
        <v>0</v>
      </c>
      <c r="F1264" s="89">
        <f t="shared" si="101"/>
        <v>0</v>
      </c>
      <c r="G1264" s="91">
        <f t="shared" si="102"/>
        <v>0</v>
      </c>
      <c r="H1264" s="62" t="e">
        <f t="shared" si="103"/>
        <v>#DIV/0!</v>
      </c>
      <c r="I1264" s="57"/>
      <c r="J1264" s="57"/>
      <c r="K1264" s="57"/>
      <c r="L1264" s="57"/>
      <c r="M1264" s="58"/>
      <c r="N1264" s="57"/>
      <c r="O1264" s="57"/>
      <c r="P1264" s="57"/>
      <c r="Q1264" s="57"/>
      <c r="R1264" s="57"/>
      <c r="S1264" s="57"/>
      <c r="T1264" s="57"/>
      <c r="U1264" s="57"/>
      <c r="V1264" s="57"/>
      <c r="W1264" s="57"/>
      <c r="X1264" s="57"/>
      <c r="Y1264" s="57"/>
      <c r="Z1264" s="57"/>
      <c r="AA1264" s="57"/>
      <c r="AB1264" s="57"/>
      <c r="AC1264" s="57"/>
      <c r="AD1264" s="57"/>
      <c r="AE1264" s="57"/>
      <c r="AF1264" s="57"/>
      <c r="AG1264" s="57"/>
      <c r="AH1264" s="57"/>
      <c r="AI1264" s="57"/>
      <c r="AJ1264" s="57"/>
      <c r="AK1264" s="57"/>
      <c r="AL1264" s="57"/>
      <c r="AM1264" s="57"/>
      <c r="AN1264" s="57"/>
      <c r="AO1264" s="57"/>
      <c r="AP1264" s="57"/>
      <c r="AQ1264" s="57"/>
      <c r="AR1264" s="57"/>
      <c r="AS1264" s="57"/>
      <c r="AT1264" s="57"/>
      <c r="AU1264" s="57"/>
      <c r="AV1264" s="57"/>
      <c r="AW1264" s="57"/>
      <c r="AX1264" s="57"/>
      <c r="AY1264" s="57"/>
      <c r="AZ1264" s="57"/>
      <c r="BA1264" s="57"/>
      <c r="BB1264" s="57"/>
      <c r="BC1264" s="57"/>
      <c r="BD1264" s="57"/>
      <c r="BE1264" s="57"/>
      <c r="BF1264" s="57"/>
    </row>
    <row r="1265" spans="1:58" s="59" customFormat="1" x14ac:dyDescent="0.25">
      <c r="A1265" s="53"/>
      <c r="B1265" s="54"/>
      <c r="C1265" s="55">
        <f t="shared" si="100"/>
        <v>0</v>
      </c>
      <c r="D1265" s="56"/>
      <c r="E1265" s="57">
        <f>[1]DETAY!$A$2</f>
        <v>0</v>
      </c>
      <c r="F1265" s="89">
        <f t="shared" si="101"/>
        <v>0</v>
      </c>
      <c r="G1265" s="91">
        <f t="shared" si="102"/>
        <v>0</v>
      </c>
      <c r="H1265" s="62" t="e">
        <f t="shared" si="103"/>
        <v>#DIV/0!</v>
      </c>
      <c r="I1265" s="57"/>
      <c r="J1265" s="57"/>
      <c r="K1265" s="57"/>
      <c r="L1265" s="57"/>
      <c r="M1265" s="58"/>
      <c r="N1265" s="57"/>
      <c r="O1265" s="57"/>
      <c r="P1265" s="57"/>
      <c r="Q1265" s="57"/>
      <c r="R1265" s="57"/>
      <c r="S1265" s="57"/>
      <c r="T1265" s="57"/>
      <c r="U1265" s="57"/>
      <c r="V1265" s="57"/>
      <c r="W1265" s="57"/>
      <c r="X1265" s="57"/>
      <c r="Y1265" s="57"/>
      <c r="Z1265" s="57"/>
      <c r="AA1265" s="57"/>
      <c r="AB1265" s="57"/>
      <c r="AC1265" s="57"/>
      <c r="AD1265" s="57"/>
      <c r="AE1265" s="57"/>
      <c r="AF1265" s="57"/>
      <c r="AG1265" s="57"/>
      <c r="AH1265" s="57"/>
      <c r="AI1265" s="57"/>
      <c r="AJ1265" s="57"/>
      <c r="AK1265" s="57"/>
      <c r="AL1265" s="57"/>
      <c r="AM1265" s="57"/>
      <c r="AN1265" s="57"/>
      <c r="AO1265" s="57"/>
      <c r="AP1265" s="57"/>
      <c r="AQ1265" s="57"/>
      <c r="AR1265" s="57"/>
      <c r="AS1265" s="57"/>
      <c r="AT1265" s="57"/>
      <c r="AU1265" s="57"/>
      <c r="AV1265" s="57"/>
      <c r="AW1265" s="57"/>
      <c r="AX1265" s="57"/>
      <c r="AY1265" s="57"/>
      <c r="AZ1265" s="57"/>
      <c r="BA1265" s="57"/>
      <c r="BB1265" s="57"/>
      <c r="BC1265" s="57"/>
      <c r="BD1265" s="57"/>
      <c r="BE1265" s="57"/>
      <c r="BF1265" s="57"/>
    </row>
    <row r="1266" spans="1:58" s="59" customFormat="1" x14ac:dyDescent="0.25">
      <c r="A1266" s="53"/>
      <c r="B1266" s="54"/>
      <c r="C1266" s="55">
        <f t="shared" si="100"/>
        <v>0</v>
      </c>
      <c r="D1266" s="56"/>
      <c r="E1266" s="57">
        <f>[1]DETAY!$A$2</f>
        <v>0</v>
      </c>
      <c r="F1266" s="89">
        <f t="shared" si="101"/>
        <v>0</v>
      </c>
      <c r="G1266" s="91">
        <f t="shared" si="102"/>
        <v>0</v>
      </c>
      <c r="H1266" s="62" t="e">
        <f t="shared" si="103"/>
        <v>#DIV/0!</v>
      </c>
      <c r="I1266" s="57"/>
      <c r="J1266" s="57"/>
      <c r="K1266" s="57"/>
      <c r="L1266" s="57"/>
      <c r="M1266" s="58"/>
      <c r="N1266" s="57"/>
      <c r="O1266" s="57"/>
      <c r="P1266" s="57"/>
      <c r="Q1266" s="57"/>
      <c r="R1266" s="57"/>
      <c r="S1266" s="57"/>
      <c r="T1266" s="57"/>
      <c r="U1266" s="57"/>
      <c r="V1266" s="57"/>
      <c r="W1266" s="57"/>
      <c r="X1266" s="57"/>
      <c r="Y1266" s="57"/>
      <c r="Z1266" s="57"/>
      <c r="AA1266" s="57"/>
      <c r="AB1266" s="57"/>
      <c r="AC1266" s="57"/>
      <c r="AD1266" s="57"/>
      <c r="AE1266" s="57"/>
      <c r="AF1266" s="57"/>
      <c r="AG1266" s="57"/>
      <c r="AH1266" s="57"/>
      <c r="AI1266" s="57"/>
      <c r="AJ1266" s="57"/>
      <c r="AK1266" s="57"/>
      <c r="AL1266" s="57"/>
      <c r="AM1266" s="57"/>
      <c r="AN1266" s="57"/>
      <c r="AO1266" s="57"/>
      <c r="AP1266" s="57"/>
      <c r="AQ1266" s="57"/>
      <c r="AR1266" s="57"/>
      <c r="AS1266" s="57"/>
      <c r="AT1266" s="57"/>
      <c r="AU1266" s="57"/>
      <c r="AV1266" s="57"/>
      <c r="AW1266" s="57"/>
      <c r="AX1266" s="57"/>
      <c r="AY1266" s="57"/>
      <c r="AZ1266" s="57"/>
      <c r="BA1266" s="57"/>
      <c r="BB1266" s="57"/>
      <c r="BC1266" s="57"/>
      <c r="BD1266" s="57"/>
      <c r="BE1266" s="57"/>
      <c r="BF1266" s="57"/>
    </row>
    <row r="1267" spans="1:58" s="59" customFormat="1" x14ac:dyDescent="0.25">
      <c r="A1267" s="53"/>
      <c r="B1267" s="54"/>
      <c r="C1267" s="55">
        <f t="shared" si="100"/>
        <v>0</v>
      </c>
      <c r="D1267" s="56"/>
      <c r="E1267" s="57">
        <f>[1]DETAY!$A$2</f>
        <v>0</v>
      </c>
      <c r="F1267" s="89">
        <f t="shared" si="101"/>
        <v>0</v>
      </c>
      <c r="G1267" s="91">
        <f t="shared" si="102"/>
        <v>0</v>
      </c>
      <c r="H1267" s="62" t="e">
        <f t="shared" si="103"/>
        <v>#DIV/0!</v>
      </c>
      <c r="I1267" s="57"/>
      <c r="J1267" s="57"/>
      <c r="K1267" s="57"/>
      <c r="L1267" s="57"/>
      <c r="M1267" s="58"/>
      <c r="N1267" s="57"/>
      <c r="O1267" s="57"/>
      <c r="P1267" s="57"/>
      <c r="Q1267" s="57"/>
      <c r="R1267" s="57"/>
      <c r="S1267" s="57"/>
      <c r="T1267" s="57"/>
      <c r="U1267" s="57"/>
      <c r="V1267" s="57"/>
      <c r="W1267" s="57"/>
      <c r="X1267" s="57"/>
      <c r="Y1267" s="57"/>
      <c r="Z1267" s="57"/>
      <c r="AA1267" s="57"/>
      <c r="AB1267" s="57"/>
      <c r="AC1267" s="57"/>
      <c r="AD1267" s="57"/>
      <c r="AE1267" s="57"/>
      <c r="AF1267" s="57"/>
      <c r="AG1267" s="57"/>
      <c r="AH1267" s="57"/>
      <c r="AI1267" s="57"/>
      <c r="AJ1267" s="57"/>
      <c r="AK1267" s="57"/>
      <c r="AL1267" s="57"/>
      <c r="AM1267" s="57"/>
      <c r="AN1267" s="57"/>
      <c r="AO1267" s="57"/>
      <c r="AP1267" s="57"/>
      <c r="AQ1267" s="57"/>
      <c r="AR1267" s="57"/>
      <c r="AS1267" s="57"/>
      <c r="AT1267" s="57"/>
      <c r="AU1267" s="57"/>
      <c r="AV1267" s="57"/>
      <c r="AW1267" s="57"/>
      <c r="AX1267" s="57"/>
      <c r="AY1267" s="57"/>
      <c r="AZ1267" s="57"/>
      <c r="BA1267" s="57"/>
      <c r="BB1267" s="57"/>
      <c r="BC1267" s="57"/>
      <c r="BD1267" s="57"/>
      <c r="BE1267" s="57"/>
      <c r="BF1267" s="57"/>
    </row>
    <row r="1268" spans="1:58" s="59" customFormat="1" x14ac:dyDescent="0.25">
      <c r="A1268" s="53"/>
      <c r="B1268" s="54"/>
      <c r="C1268" s="55">
        <f t="shared" si="100"/>
        <v>0</v>
      </c>
      <c r="D1268" s="56"/>
      <c r="E1268" s="57">
        <f>[1]DETAY!$A$2</f>
        <v>0</v>
      </c>
      <c r="F1268" s="89">
        <f t="shared" si="101"/>
        <v>0</v>
      </c>
      <c r="G1268" s="91">
        <f t="shared" si="102"/>
        <v>0</v>
      </c>
      <c r="H1268" s="62" t="e">
        <f t="shared" si="103"/>
        <v>#DIV/0!</v>
      </c>
      <c r="I1268" s="57"/>
      <c r="J1268" s="57"/>
      <c r="K1268" s="57"/>
      <c r="L1268" s="57"/>
      <c r="M1268" s="58"/>
      <c r="N1268" s="57"/>
      <c r="O1268" s="57"/>
      <c r="P1268" s="57"/>
      <c r="Q1268" s="57"/>
      <c r="R1268" s="57"/>
      <c r="S1268" s="57"/>
      <c r="T1268" s="57"/>
      <c r="U1268" s="57"/>
      <c r="V1268" s="57"/>
      <c r="W1268" s="57"/>
      <c r="X1268" s="57"/>
      <c r="Y1268" s="57"/>
      <c r="Z1268" s="57"/>
      <c r="AA1268" s="57"/>
      <c r="AB1268" s="57"/>
      <c r="AC1268" s="57"/>
      <c r="AD1268" s="57"/>
      <c r="AE1268" s="57"/>
      <c r="AF1268" s="57"/>
      <c r="AG1268" s="57"/>
      <c r="AH1268" s="57"/>
      <c r="AI1268" s="57"/>
      <c r="AJ1268" s="57"/>
      <c r="AK1268" s="57"/>
      <c r="AL1268" s="57"/>
      <c r="AM1268" s="57"/>
      <c r="AN1268" s="57"/>
      <c r="AO1268" s="57"/>
      <c r="AP1268" s="57"/>
      <c r="AQ1268" s="57"/>
      <c r="AR1268" s="57"/>
      <c r="AS1268" s="57"/>
      <c r="AT1268" s="57"/>
      <c r="AU1268" s="57"/>
      <c r="AV1268" s="57"/>
      <c r="AW1268" s="57"/>
      <c r="AX1268" s="57"/>
      <c r="AY1268" s="57"/>
      <c r="AZ1268" s="57"/>
      <c r="BA1268" s="57"/>
      <c r="BB1268" s="57"/>
      <c r="BC1268" s="57"/>
      <c r="BD1268" s="57"/>
      <c r="BE1268" s="57"/>
      <c r="BF1268" s="57"/>
    </row>
    <row r="1269" spans="1:58" s="59" customFormat="1" x14ac:dyDescent="0.25">
      <c r="A1269" s="53"/>
      <c r="B1269" s="54"/>
      <c r="C1269" s="55">
        <f t="shared" si="100"/>
        <v>0</v>
      </c>
      <c r="D1269" s="56"/>
      <c r="E1269" s="57">
        <f>[1]DETAY!$A$2</f>
        <v>0</v>
      </c>
      <c r="F1269" s="89">
        <f t="shared" si="101"/>
        <v>0</v>
      </c>
      <c r="G1269" s="91">
        <f t="shared" si="102"/>
        <v>0</v>
      </c>
      <c r="H1269" s="62" t="e">
        <f t="shared" si="103"/>
        <v>#DIV/0!</v>
      </c>
      <c r="I1269" s="57"/>
      <c r="J1269" s="57"/>
      <c r="K1269" s="57"/>
      <c r="L1269" s="57"/>
      <c r="M1269" s="58"/>
      <c r="N1269" s="57"/>
      <c r="O1269" s="57"/>
      <c r="P1269" s="57"/>
      <c r="Q1269" s="57"/>
      <c r="R1269" s="57"/>
      <c r="S1269" s="57"/>
      <c r="T1269" s="57"/>
      <c r="U1269" s="57"/>
      <c r="V1269" s="57"/>
      <c r="W1269" s="57"/>
      <c r="X1269" s="57"/>
      <c r="Y1269" s="57"/>
      <c r="Z1269" s="57"/>
      <c r="AA1269" s="57"/>
      <c r="AB1269" s="57"/>
      <c r="AC1269" s="57"/>
      <c r="AD1269" s="57"/>
      <c r="AE1269" s="57"/>
      <c r="AF1269" s="57"/>
      <c r="AG1269" s="57"/>
      <c r="AH1269" s="57"/>
      <c r="AI1269" s="57"/>
      <c r="AJ1269" s="57"/>
      <c r="AK1269" s="57"/>
      <c r="AL1269" s="57"/>
      <c r="AM1269" s="57"/>
      <c r="AN1269" s="57"/>
      <c r="AO1269" s="57"/>
      <c r="AP1269" s="57"/>
      <c r="AQ1269" s="57"/>
      <c r="AR1269" s="57"/>
      <c r="AS1269" s="57"/>
      <c r="AT1269" s="57"/>
      <c r="AU1269" s="57"/>
      <c r="AV1269" s="57"/>
      <c r="AW1269" s="57"/>
      <c r="AX1269" s="57"/>
      <c r="AY1269" s="57"/>
      <c r="AZ1269" s="57"/>
      <c r="BA1269" s="57"/>
      <c r="BB1269" s="57"/>
      <c r="BC1269" s="57"/>
      <c r="BD1269" s="57"/>
      <c r="BE1269" s="57"/>
      <c r="BF1269" s="57"/>
    </row>
    <row r="1270" spans="1:58" s="59" customFormat="1" x14ac:dyDescent="0.25">
      <c r="A1270" s="53"/>
      <c r="B1270" s="54"/>
      <c r="C1270" s="55">
        <f t="shared" si="100"/>
        <v>0</v>
      </c>
      <c r="D1270" s="56"/>
      <c r="E1270" s="57">
        <f>[1]DETAY!$A$2</f>
        <v>0</v>
      </c>
      <c r="F1270" s="89">
        <f t="shared" si="101"/>
        <v>0</v>
      </c>
      <c r="G1270" s="91">
        <f t="shared" si="102"/>
        <v>0</v>
      </c>
      <c r="H1270" s="62" t="e">
        <f t="shared" si="103"/>
        <v>#DIV/0!</v>
      </c>
      <c r="I1270" s="57"/>
      <c r="J1270" s="57"/>
      <c r="K1270" s="57"/>
      <c r="L1270" s="57"/>
      <c r="M1270" s="58"/>
      <c r="N1270" s="57"/>
      <c r="O1270" s="57"/>
      <c r="P1270" s="57"/>
      <c r="Q1270" s="57"/>
      <c r="R1270" s="57"/>
      <c r="S1270" s="57"/>
      <c r="T1270" s="57"/>
      <c r="U1270" s="57"/>
      <c r="V1270" s="57"/>
      <c r="W1270" s="57"/>
      <c r="X1270" s="57"/>
      <c r="Y1270" s="57"/>
      <c r="Z1270" s="57"/>
      <c r="AA1270" s="57"/>
      <c r="AB1270" s="57"/>
      <c r="AC1270" s="57"/>
      <c r="AD1270" s="57"/>
      <c r="AE1270" s="57"/>
      <c r="AF1270" s="57"/>
      <c r="AG1270" s="57"/>
      <c r="AH1270" s="57"/>
      <c r="AI1270" s="57"/>
      <c r="AJ1270" s="57"/>
      <c r="AK1270" s="57"/>
      <c r="AL1270" s="57"/>
      <c r="AM1270" s="57"/>
      <c r="AN1270" s="57"/>
      <c r="AO1270" s="57"/>
      <c r="AP1270" s="57"/>
      <c r="AQ1270" s="57"/>
      <c r="AR1270" s="57"/>
      <c r="AS1270" s="57"/>
      <c r="AT1270" s="57"/>
      <c r="AU1270" s="57"/>
      <c r="AV1270" s="57"/>
      <c r="AW1270" s="57"/>
      <c r="AX1270" s="57"/>
      <c r="AY1270" s="57"/>
      <c r="AZ1270" s="57"/>
      <c r="BA1270" s="57"/>
      <c r="BB1270" s="57"/>
      <c r="BC1270" s="57"/>
      <c r="BD1270" s="57"/>
      <c r="BE1270" s="57"/>
      <c r="BF1270" s="57"/>
    </row>
    <row r="1271" spans="1:58" s="59" customFormat="1" x14ac:dyDescent="0.25">
      <c r="A1271" s="53"/>
      <c r="B1271" s="54"/>
      <c r="C1271" s="55">
        <f t="shared" si="100"/>
        <v>0</v>
      </c>
      <c r="D1271" s="56"/>
      <c r="E1271" s="57">
        <f>[1]DETAY!$A$2</f>
        <v>0</v>
      </c>
      <c r="F1271" s="89">
        <f t="shared" si="101"/>
        <v>0</v>
      </c>
      <c r="G1271" s="91">
        <f t="shared" si="102"/>
        <v>0</v>
      </c>
      <c r="H1271" s="62" t="e">
        <f t="shared" si="103"/>
        <v>#DIV/0!</v>
      </c>
      <c r="I1271" s="57"/>
      <c r="J1271" s="57"/>
      <c r="K1271" s="57"/>
      <c r="L1271" s="57"/>
      <c r="M1271" s="58"/>
      <c r="N1271" s="57"/>
      <c r="O1271" s="57"/>
      <c r="P1271" s="57"/>
      <c r="Q1271" s="57"/>
      <c r="R1271" s="57"/>
      <c r="S1271" s="57"/>
      <c r="T1271" s="57"/>
      <c r="U1271" s="57"/>
      <c r="V1271" s="57"/>
      <c r="W1271" s="57"/>
      <c r="X1271" s="57"/>
      <c r="Y1271" s="57"/>
      <c r="Z1271" s="57"/>
      <c r="AA1271" s="57"/>
      <c r="AB1271" s="57"/>
      <c r="AC1271" s="57"/>
      <c r="AD1271" s="57"/>
      <c r="AE1271" s="57"/>
      <c r="AF1271" s="57"/>
      <c r="AG1271" s="57"/>
      <c r="AH1271" s="57"/>
      <c r="AI1271" s="57"/>
      <c r="AJ1271" s="57"/>
      <c r="AK1271" s="57"/>
      <c r="AL1271" s="57"/>
      <c r="AM1271" s="57"/>
      <c r="AN1271" s="57"/>
      <c r="AO1271" s="57"/>
      <c r="AP1271" s="57"/>
      <c r="AQ1271" s="57"/>
      <c r="AR1271" s="57"/>
      <c r="AS1271" s="57"/>
      <c r="AT1271" s="57"/>
      <c r="AU1271" s="57"/>
      <c r="AV1271" s="57"/>
      <c r="AW1271" s="57"/>
      <c r="AX1271" s="57"/>
      <c r="AY1271" s="57"/>
      <c r="AZ1271" s="57"/>
      <c r="BA1271" s="57"/>
      <c r="BB1271" s="57"/>
      <c r="BC1271" s="57"/>
      <c r="BD1271" s="57"/>
      <c r="BE1271" s="57"/>
      <c r="BF1271" s="57"/>
    </row>
    <row r="1272" spans="1:58" s="59" customFormat="1" x14ac:dyDescent="0.25">
      <c r="A1272" s="53"/>
      <c r="B1272" s="54"/>
      <c r="C1272" s="55">
        <f t="shared" si="100"/>
        <v>0</v>
      </c>
      <c r="D1272" s="56"/>
      <c r="E1272" s="57">
        <f>[1]DETAY!$A$2</f>
        <v>0</v>
      </c>
      <c r="F1272" s="89">
        <f t="shared" si="101"/>
        <v>0</v>
      </c>
      <c r="G1272" s="91">
        <f t="shared" si="102"/>
        <v>0</v>
      </c>
      <c r="H1272" s="62" t="e">
        <f t="shared" si="103"/>
        <v>#DIV/0!</v>
      </c>
      <c r="I1272" s="57"/>
      <c r="J1272" s="57"/>
      <c r="K1272" s="57"/>
      <c r="L1272" s="57"/>
      <c r="M1272" s="58"/>
      <c r="N1272" s="57"/>
      <c r="O1272" s="57"/>
      <c r="P1272" s="57"/>
      <c r="Q1272" s="57"/>
      <c r="R1272" s="57"/>
      <c r="S1272" s="57"/>
      <c r="T1272" s="57"/>
      <c r="U1272" s="57"/>
      <c r="V1272" s="57"/>
      <c r="W1272" s="57"/>
      <c r="X1272" s="57"/>
      <c r="Y1272" s="57"/>
      <c r="Z1272" s="57"/>
      <c r="AA1272" s="57"/>
      <c r="AB1272" s="57"/>
      <c r="AC1272" s="57"/>
      <c r="AD1272" s="57"/>
      <c r="AE1272" s="57"/>
      <c r="AF1272" s="57"/>
      <c r="AG1272" s="57"/>
      <c r="AH1272" s="57"/>
      <c r="AI1272" s="57"/>
      <c r="AJ1272" s="57"/>
      <c r="AK1272" s="57"/>
      <c r="AL1272" s="57"/>
      <c r="AM1272" s="57"/>
      <c r="AN1272" s="57"/>
      <c r="AO1272" s="57"/>
      <c r="AP1272" s="57"/>
      <c r="AQ1272" s="57"/>
      <c r="AR1272" s="57"/>
      <c r="AS1272" s="57"/>
      <c r="AT1272" s="57"/>
      <c r="AU1272" s="57"/>
      <c r="AV1272" s="57"/>
      <c r="AW1272" s="57"/>
      <c r="AX1272" s="57"/>
      <c r="AY1272" s="57"/>
      <c r="AZ1272" s="57"/>
      <c r="BA1272" s="57"/>
      <c r="BB1272" s="57"/>
      <c r="BC1272" s="57"/>
      <c r="BD1272" s="57"/>
      <c r="BE1272" s="57"/>
      <c r="BF1272" s="57"/>
    </row>
    <row r="1273" spans="1:58" s="59" customFormat="1" x14ac:dyDescent="0.25">
      <c r="A1273" s="53"/>
      <c r="B1273" s="54"/>
      <c r="C1273" s="55">
        <f t="shared" si="100"/>
        <v>0</v>
      </c>
      <c r="D1273" s="56"/>
      <c r="E1273" s="57">
        <f>[1]DETAY!$A$2</f>
        <v>0</v>
      </c>
      <c r="F1273" s="89">
        <f t="shared" si="101"/>
        <v>0</v>
      </c>
      <c r="G1273" s="91">
        <f t="shared" si="102"/>
        <v>0</v>
      </c>
      <c r="H1273" s="62" t="e">
        <f t="shared" si="103"/>
        <v>#DIV/0!</v>
      </c>
      <c r="I1273" s="57"/>
      <c r="J1273" s="57"/>
      <c r="K1273" s="57"/>
      <c r="L1273" s="57"/>
      <c r="M1273" s="58"/>
      <c r="N1273" s="57"/>
      <c r="O1273" s="57"/>
      <c r="P1273" s="57"/>
      <c r="Q1273" s="57"/>
      <c r="R1273" s="57"/>
      <c r="S1273" s="57"/>
      <c r="T1273" s="57"/>
      <c r="U1273" s="57"/>
      <c r="V1273" s="57"/>
      <c r="W1273" s="57"/>
      <c r="X1273" s="57"/>
      <c r="Y1273" s="57"/>
      <c r="Z1273" s="57"/>
      <c r="AA1273" s="57"/>
      <c r="AB1273" s="57"/>
      <c r="AC1273" s="57"/>
      <c r="AD1273" s="57"/>
      <c r="AE1273" s="57"/>
      <c r="AF1273" s="57"/>
      <c r="AG1273" s="57"/>
      <c r="AH1273" s="57"/>
      <c r="AI1273" s="57"/>
      <c r="AJ1273" s="57"/>
      <c r="AK1273" s="57"/>
      <c r="AL1273" s="57"/>
      <c r="AM1273" s="57"/>
      <c r="AN1273" s="57"/>
      <c r="AO1273" s="57"/>
      <c r="AP1273" s="57"/>
      <c r="AQ1273" s="57"/>
      <c r="AR1273" s="57"/>
      <c r="AS1273" s="57"/>
      <c r="AT1273" s="57"/>
      <c r="AU1273" s="57"/>
      <c r="AV1273" s="57"/>
      <c r="AW1273" s="57"/>
      <c r="AX1273" s="57"/>
      <c r="AY1273" s="57"/>
      <c r="AZ1273" s="57"/>
      <c r="BA1273" s="57"/>
      <c r="BB1273" s="57"/>
      <c r="BC1273" s="57"/>
      <c r="BD1273" s="57"/>
      <c r="BE1273" s="57"/>
      <c r="BF1273" s="57"/>
    </row>
    <row r="1274" spans="1:58" s="59" customFormat="1" x14ac:dyDescent="0.25">
      <c r="A1274" s="53"/>
      <c r="B1274" s="54"/>
      <c r="C1274" s="55">
        <f t="shared" si="100"/>
        <v>0</v>
      </c>
      <c r="D1274" s="56"/>
      <c r="E1274" s="57">
        <f>[1]DETAY!$A$2</f>
        <v>0</v>
      </c>
      <c r="F1274" s="89">
        <f t="shared" si="101"/>
        <v>0</v>
      </c>
      <c r="G1274" s="91">
        <f t="shared" si="102"/>
        <v>0</v>
      </c>
      <c r="H1274" s="62" t="e">
        <f t="shared" si="103"/>
        <v>#DIV/0!</v>
      </c>
      <c r="I1274" s="57"/>
      <c r="J1274" s="57"/>
      <c r="K1274" s="57"/>
      <c r="L1274" s="57"/>
      <c r="M1274" s="58"/>
      <c r="N1274" s="57"/>
      <c r="O1274" s="57"/>
      <c r="P1274" s="57"/>
      <c r="Q1274" s="57"/>
      <c r="R1274" s="57"/>
      <c r="S1274" s="57"/>
      <c r="T1274" s="57"/>
      <c r="U1274" s="57"/>
      <c r="V1274" s="57"/>
      <c r="W1274" s="57"/>
      <c r="X1274" s="57"/>
      <c r="Y1274" s="57"/>
      <c r="Z1274" s="57"/>
      <c r="AA1274" s="57"/>
      <c r="AB1274" s="57"/>
      <c r="AC1274" s="57"/>
      <c r="AD1274" s="57"/>
      <c r="AE1274" s="57"/>
      <c r="AF1274" s="57"/>
      <c r="AG1274" s="57"/>
      <c r="AH1274" s="57"/>
      <c r="AI1274" s="57"/>
      <c r="AJ1274" s="57"/>
      <c r="AK1274" s="57"/>
      <c r="AL1274" s="57"/>
      <c r="AM1274" s="57"/>
      <c r="AN1274" s="57"/>
      <c r="AO1274" s="57"/>
      <c r="AP1274" s="57"/>
      <c r="AQ1274" s="57"/>
      <c r="AR1274" s="57"/>
      <c r="AS1274" s="57"/>
      <c r="AT1274" s="57"/>
      <c r="AU1274" s="57"/>
      <c r="AV1274" s="57"/>
      <c r="AW1274" s="57"/>
      <c r="AX1274" s="57"/>
      <c r="AY1274" s="57"/>
      <c r="AZ1274" s="57"/>
      <c r="BA1274" s="57"/>
      <c r="BB1274" s="57"/>
      <c r="BC1274" s="57"/>
      <c r="BD1274" s="57"/>
      <c r="BE1274" s="57"/>
      <c r="BF1274" s="57"/>
    </row>
    <row r="1275" spans="1:58" s="59" customFormat="1" x14ac:dyDescent="0.25">
      <c r="A1275" s="53"/>
      <c r="B1275" s="54"/>
      <c r="C1275" s="55">
        <f t="shared" si="100"/>
        <v>0</v>
      </c>
      <c r="D1275" s="56"/>
      <c r="E1275" s="57">
        <f>[1]DETAY!$A$2</f>
        <v>0</v>
      </c>
      <c r="F1275" s="89">
        <f t="shared" si="101"/>
        <v>0</v>
      </c>
      <c r="G1275" s="91">
        <f t="shared" si="102"/>
        <v>0</v>
      </c>
      <c r="H1275" s="62" t="e">
        <f t="shared" si="103"/>
        <v>#DIV/0!</v>
      </c>
      <c r="I1275" s="57"/>
      <c r="J1275" s="57"/>
      <c r="K1275" s="57"/>
      <c r="L1275" s="57"/>
      <c r="M1275" s="58"/>
      <c r="N1275" s="57"/>
      <c r="O1275" s="57"/>
      <c r="P1275" s="57"/>
      <c r="Q1275" s="57"/>
      <c r="R1275" s="57"/>
      <c r="S1275" s="57"/>
      <c r="T1275" s="57"/>
      <c r="U1275" s="57"/>
      <c r="V1275" s="57"/>
      <c r="W1275" s="57"/>
      <c r="X1275" s="57"/>
      <c r="Y1275" s="57"/>
      <c r="Z1275" s="57"/>
      <c r="AA1275" s="57"/>
      <c r="AB1275" s="57"/>
      <c r="AC1275" s="57"/>
      <c r="AD1275" s="57"/>
      <c r="AE1275" s="57"/>
      <c r="AF1275" s="57"/>
      <c r="AG1275" s="57"/>
      <c r="AH1275" s="57"/>
      <c r="AI1275" s="57"/>
      <c r="AJ1275" s="57"/>
      <c r="AK1275" s="57"/>
      <c r="AL1275" s="57"/>
      <c r="AM1275" s="57"/>
      <c r="AN1275" s="57"/>
      <c r="AO1275" s="57"/>
      <c r="AP1275" s="57"/>
      <c r="AQ1275" s="57"/>
      <c r="AR1275" s="57"/>
      <c r="AS1275" s="57"/>
      <c r="AT1275" s="57"/>
      <c r="AU1275" s="57"/>
      <c r="AV1275" s="57"/>
      <c r="AW1275" s="57"/>
      <c r="AX1275" s="57"/>
      <c r="AY1275" s="57"/>
      <c r="AZ1275" s="57"/>
      <c r="BA1275" s="57"/>
      <c r="BB1275" s="57"/>
      <c r="BC1275" s="57"/>
      <c r="BD1275" s="57"/>
      <c r="BE1275" s="57"/>
      <c r="BF1275" s="57"/>
    </row>
    <row r="1276" spans="1:58" s="59" customFormat="1" x14ac:dyDescent="0.25">
      <c r="A1276" s="53"/>
      <c r="B1276" s="54"/>
      <c r="C1276" s="55">
        <f t="shared" si="100"/>
        <v>0</v>
      </c>
      <c r="D1276" s="56"/>
      <c r="E1276" s="57">
        <f>[1]DETAY!$A$2</f>
        <v>0</v>
      </c>
      <c r="F1276" s="89">
        <f t="shared" si="101"/>
        <v>0</v>
      </c>
      <c r="G1276" s="91">
        <f t="shared" si="102"/>
        <v>0</v>
      </c>
      <c r="H1276" s="62" t="e">
        <f t="shared" si="103"/>
        <v>#DIV/0!</v>
      </c>
      <c r="I1276" s="57"/>
      <c r="J1276" s="57"/>
      <c r="K1276" s="57"/>
      <c r="L1276" s="57"/>
      <c r="M1276" s="58"/>
      <c r="N1276" s="57"/>
      <c r="O1276" s="57"/>
      <c r="P1276" s="57"/>
      <c r="Q1276" s="57"/>
      <c r="R1276" s="57"/>
      <c r="S1276" s="57"/>
      <c r="T1276" s="57"/>
      <c r="U1276" s="57"/>
      <c r="V1276" s="57"/>
      <c r="W1276" s="57"/>
      <c r="X1276" s="57"/>
      <c r="Y1276" s="57"/>
      <c r="Z1276" s="57"/>
      <c r="AA1276" s="57"/>
      <c r="AB1276" s="57"/>
      <c r="AC1276" s="57"/>
      <c r="AD1276" s="57"/>
      <c r="AE1276" s="57"/>
      <c r="AF1276" s="57"/>
      <c r="AG1276" s="57"/>
      <c r="AH1276" s="57"/>
      <c r="AI1276" s="57"/>
      <c r="AJ1276" s="57"/>
      <c r="AK1276" s="57"/>
      <c r="AL1276" s="57"/>
      <c r="AM1276" s="57"/>
      <c r="AN1276" s="57"/>
      <c r="AO1276" s="57"/>
      <c r="AP1276" s="57"/>
      <c r="AQ1276" s="57"/>
      <c r="AR1276" s="57"/>
      <c r="AS1276" s="57"/>
      <c r="AT1276" s="57"/>
      <c r="AU1276" s="57"/>
      <c r="AV1276" s="57"/>
      <c r="AW1276" s="57"/>
      <c r="AX1276" s="57"/>
      <c r="AY1276" s="57"/>
      <c r="AZ1276" s="57"/>
      <c r="BA1276" s="57"/>
      <c r="BB1276" s="57"/>
      <c r="BC1276" s="57"/>
      <c r="BD1276" s="57"/>
      <c r="BE1276" s="57"/>
      <c r="BF1276" s="57"/>
    </row>
    <row r="1277" spans="1:58" s="59" customFormat="1" x14ac:dyDescent="0.25">
      <c r="A1277" s="53"/>
      <c r="B1277" s="54"/>
      <c r="C1277" s="55">
        <f t="shared" si="100"/>
        <v>0</v>
      </c>
      <c r="D1277" s="56"/>
      <c r="E1277" s="57">
        <f>[1]DETAY!$A$2</f>
        <v>0</v>
      </c>
      <c r="F1277" s="89">
        <f t="shared" si="101"/>
        <v>0</v>
      </c>
      <c r="G1277" s="91">
        <f t="shared" si="102"/>
        <v>0</v>
      </c>
      <c r="H1277" s="62" t="e">
        <f t="shared" si="103"/>
        <v>#DIV/0!</v>
      </c>
      <c r="I1277" s="57"/>
      <c r="J1277" s="57"/>
      <c r="K1277" s="57"/>
      <c r="L1277" s="57"/>
      <c r="M1277" s="58"/>
      <c r="N1277" s="57"/>
      <c r="O1277" s="57"/>
      <c r="P1277" s="57"/>
      <c r="Q1277" s="57"/>
      <c r="R1277" s="57"/>
      <c r="S1277" s="57"/>
      <c r="T1277" s="57"/>
      <c r="U1277" s="57"/>
      <c r="V1277" s="57"/>
      <c r="W1277" s="57"/>
      <c r="X1277" s="57"/>
      <c r="Y1277" s="57"/>
      <c r="Z1277" s="57"/>
      <c r="AA1277" s="57"/>
      <c r="AB1277" s="57"/>
      <c r="AC1277" s="57"/>
      <c r="AD1277" s="57"/>
      <c r="AE1277" s="57"/>
      <c r="AF1277" s="57"/>
      <c r="AG1277" s="57"/>
      <c r="AH1277" s="57"/>
      <c r="AI1277" s="57"/>
      <c r="AJ1277" s="57"/>
      <c r="AK1277" s="57"/>
      <c r="AL1277" s="57"/>
      <c r="AM1277" s="57"/>
      <c r="AN1277" s="57"/>
      <c r="AO1277" s="57"/>
      <c r="AP1277" s="57"/>
      <c r="AQ1277" s="57"/>
      <c r="AR1277" s="57"/>
      <c r="AS1277" s="57"/>
      <c r="AT1277" s="57"/>
      <c r="AU1277" s="57"/>
      <c r="AV1277" s="57"/>
      <c r="AW1277" s="57"/>
      <c r="AX1277" s="57"/>
      <c r="AY1277" s="57"/>
      <c r="AZ1277" s="57"/>
      <c r="BA1277" s="57"/>
      <c r="BB1277" s="57"/>
      <c r="BC1277" s="57"/>
      <c r="BD1277" s="57"/>
      <c r="BE1277" s="57"/>
      <c r="BF1277" s="57"/>
    </row>
    <row r="1278" spans="1:58" s="59" customFormat="1" x14ac:dyDescent="0.25">
      <c r="A1278" s="53"/>
      <c r="B1278" s="54"/>
      <c r="C1278" s="55">
        <f t="shared" si="100"/>
        <v>0</v>
      </c>
      <c r="D1278" s="56"/>
      <c r="E1278" s="57">
        <f>[1]DETAY!$A$2</f>
        <v>0</v>
      </c>
      <c r="F1278" s="89">
        <f t="shared" si="101"/>
        <v>0</v>
      </c>
      <c r="G1278" s="91">
        <f t="shared" si="102"/>
        <v>0</v>
      </c>
      <c r="H1278" s="62" t="e">
        <f t="shared" si="103"/>
        <v>#DIV/0!</v>
      </c>
      <c r="I1278" s="57"/>
      <c r="J1278" s="57"/>
      <c r="K1278" s="57"/>
      <c r="L1278" s="57"/>
      <c r="M1278" s="58"/>
      <c r="N1278" s="57"/>
      <c r="O1278" s="57"/>
      <c r="P1278" s="57"/>
      <c r="Q1278" s="57"/>
      <c r="R1278" s="57"/>
      <c r="S1278" s="57"/>
      <c r="T1278" s="57"/>
      <c r="U1278" s="57"/>
      <c r="V1278" s="57"/>
      <c r="W1278" s="57"/>
      <c r="X1278" s="57"/>
      <c r="Y1278" s="57"/>
      <c r="Z1278" s="57"/>
      <c r="AA1278" s="57"/>
      <c r="AB1278" s="57"/>
      <c r="AC1278" s="57"/>
      <c r="AD1278" s="57"/>
      <c r="AE1278" s="57"/>
      <c r="AF1278" s="57"/>
      <c r="AG1278" s="57"/>
      <c r="AH1278" s="57"/>
      <c r="AI1278" s="57"/>
      <c r="AJ1278" s="57"/>
      <c r="AK1278" s="57"/>
      <c r="AL1278" s="57"/>
      <c r="AM1278" s="57"/>
      <c r="AN1278" s="57"/>
      <c r="AO1278" s="57"/>
      <c r="AP1278" s="57"/>
      <c r="AQ1278" s="57"/>
      <c r="AR1278" s="57"/>
      <c r="AS1278" s="57"/>
      <c r="AT1278" s="57"/>
      <c r="AU1278" s="57"/>
      <c r="AV1278" s="57"/>
      <c r="AW1278" s="57"/>
      <c r="AX1278" s="57"/>
      <c r="AY1278" s="57"/>
      <c r="AZ1278" s="57"/>
      <c r="BA1278" s="57"/>
      <c r="BB1278" s="57"/>
      <c r="BC1278" s="57"/>
      <c r="BD1278" s="57"/>
      <c r="BE1278" s="57"/>
      <c r="BF1278" s="57"/>
    </row>
    <row r="1279" spans="1:58" s="59" customFormat="1" x14ac:dyDescent="0.25">
      <c r="A1279" s="53"/>
      <c r="B1279" s="54"/>
      <c r="C1279" s="55">
        <f t="shared" si="100"/>
        <v>0</v>
      </c>
      <c r="D1279" s="56"/>
      <c r="E1279" s="57">
        <f>[1]DETAY!$A$2</f>
        <v>0</v>
      </c>
      <c r="F1279" s="89">
        <f t="shared" si="101"/>
        <v>0</v>
      </c>
      <c r="G1279" s="91">
        <f t="shared" si="102"/>
        <v>0</v>
      </c>
      <c r="H1279" s="62" t="e">
        <f t="shared" si="103"/>
        <v>#DIV/0!</v>
      </c>
      <c r="I1279" s="57"/>
      <c r="J1279" s="57"/>
      <c r="K1279" s="57"/>
      <c r="L1279" s="57"/>
      <c r="M1279" s="58"/>
      <c r="N1279" s="57"/>
      <c r="O1279" s="57"/>
      <c r="P1279" s="57"/>
      <c r="Q1279" s="57"/>
      <c r="R1279" s="57"/>
      <c r="S1279" s="57"/>
      <c r="T1279" s="57"/>
      <c r="U1279" s="57"/>
      <c r="V1279" s="57"/>
      <c r="W1279" s="57"/>
      <c r="X1279" s="57"/>
      <c r="Y1279" s="57"/>
      <c r="Z1279" s="57"/>
      <c r="AA1279" s="57"/>
      <c r="AB1279" s="57"/>
      <c r="AC1279" s="57"/>
      <c r="AD1279" s="57"/>
      <c r="AE1279" s="57"/>
      <c r="AF1279" s="57"/>
      <c r="AG1279" s="57"/>
      <c r="AH1279" s="57"/>
      <c r="AI1279" s="57"/>
      <c r="AJ1279" s="57"/>
      <c r="AK1279" s="57"/>
      <c r="AL1279" s="57"/>
      <c r="AM1279" s="57"/>
      <c r="AN1279" s="57"/>
      <c r="AO1279" s="57"/>
      <c r="AP1279" s="57"/>
      <c r="AQ1279" s="57"/>
      <c r="AR1279" s="57"/>
      <c r="AS1279" s="57"/>
      <c r="AT1279" s="57"/>
      <c r="AU1279" s="57"/>
      <c r="AV1279" s="57"/>
      <c r="AW1279" s="57"/>
      <c r="AX1279" s="57"/>
      <c r="AY1279" s="57"/>
      <c r="AZ1279" s="57"/>
      <c r="BA1279" s="57"/>
      <c r="BB1279" s="57"/>
      <c r="BC1279" s="57"/>
      <c r="BD1279" s="57"/>
      <c r="BE1279" s="57"/>
      <c r="BF1279" s="57"/>
    </row>
    <row r="1280" spans="1:58" s="59" customFormat="1" x14ac:dyDescent="0.25">
      <c r="A1280" s="53"/>
      <c r="B1280" s="54"/>
      <c r="C1280" s="55">
        <f t="shared" si="100"/>
        <v>0</v>
      </c>
      <c r="D1280" s="56"/>
      <c r="E1280" s="57">
        <f>[1]DETAY!$A$2</f>
        <v>0</v>
      </c>
      <c r="F1280" s="89">
        <f t="shared" si="101"/>
        <v>0</v>
      </c>
      <c r="G1280" s="91">
        <f t="shared" si="102"/>
        <v>0</v>
      </c>
      <c r="H1280" s="62" t="e">
        <f t="shared" si="103"/>
        <v>#DIV/0!</v>
      </c>
      <c r="I1280" s="57"/>
      <c r="J1280" s="57"/>
      <c r="K1280" s="57"/>
      <c r="L1280" s="57"/>
      <c r="M1280" s="58"/>
      <c r="N1280" s="57"/>
      <c r="O1280" s="57"/>
      <c r="P1280" s="57"/>
      <c r="Q1280" s="57"/>
      <c r="R1280" s="57"/>
      <c r="S1280" s="57"/>
      <c r="T1280" s="57"/>
      <c r="U1280" s="57"/>
      <c r="V1280" s="57"/>
      <c r="W1280" s="57"/>
      <c r="X1280" s="57"/>
      <c r="Y1280" s="57"/>
      <c r="Z1280" s="57"/>
      <c r="AA1280" s="57"/>
      <c r="AB1280" s="57"/>
      <c r="AC1280" s="57"/>
      <c r="AD1280" s="57"/>
      <c r="AE1280" s="57"/>
      <c r="AF1280" s="57"/>
      <c r="AG1280" s="57"/>
      <c r="AH1280" s="57"/>
      <c r="AI1280" s="57"/>
      <c r="AJ1280" s="57"/>
      <c r="AK1280" s="57"/>
      <c r="AL1280" s="57"/>
      <c r="AM1280" s="57"/>
      <c r="AN1280" s="57"/>
      <c r="AO1280" s="57"/>
      <c r="AP1280" s="57"/>
      <c r="AQ1280" s="57"/>
      <c r="AR1280" s="57"/>
      <c r="AS1280" s="57"/>
      <c r="AT1280" s="57"/>
      <c r="AU1280" s="57"/>
      <c r="AV1280" s="57"/>
      <c r="AW1280" s="57"/>
      <c r="AX1280" s="57"/>
      <c r="AY1280" s="57"/>
      <c r="AZ1280" s="57"/>
      <c r="BA1280" s="57"/>
      <c r="BB1280" s="57"/>
      <c r="BC1280" s="57"/>
      <c r="BD1280" s="57"/>
      <c r="BE1280" s="57"/>
      <c r="BF1280" s="57"/>
    </row>
    <row r="1281" spans="1:58" s="59" customFormat="1" x14ac:dyDescent="0.25">
      <c r="A1281" s="53"/>
      <c r="B1281" s="54"/>
      <c r="C1281" s="55">
        <f t="shared" si="100"/>
        <v>0</v>
      </c>
      <c r="D1281" s="56"/>
      <c r="E1281" s="57">
        <f>[1]DETAY!$A$2</f>
        <v>0</v>
      </c>
      <c r="F1281" s="89">
        <f t="shared" si="101"/>
        <v>0</v>
      </c>
      <c r="G1281" s="91">
        <f t="shared" si="102"/>
        <v>0</v>
      </c>
      <c r="H1281" s="62" t="e">
        <f t="shared" si="103"/>
        <v>#DIV/0!</v>
      </c>
      <c r="I1281" s="57"/>
      <c r="J1281" s="57"/>
      <c r="K1281" s="57"/>
      <c r="L1281" s="57"/>
      <c r="M1281" s="58"/>
      <c r="N1281" s="57"/>
      <c r="O1281" s="57"/>
      <c r="P1281" s="57"/>
      <c r="Q1281" s="57"/>
      <c r="R1281" s="57"/>
      <c r="S1281" s="57"/>
      <c r="T1281" s="57"/>
      <c r="U1281" s="57"/>
      <c r="V1281" s="57"/>
      <c r="W1281" s="57"/>
      <c r="X1281" s="57"/>
      <c r="Y1281" s="57"/>
      <c r="Z1281" s="57"/>
      <c r="AA1281" s="57"/>
      <c r="AB1281" s="57"/>
      <c r="AC1281" s="57"/>
      <c r="AD1281" s="57"/>
      <c r="AE1281" s="57"/>
      <c r="AF1281" s="57"/>
      <c r="AG1281" s="57"/>
      <c r="AH1281" s="57"/>
      <c r="AI1281" s="57"/>
      <c r="AJ1281" s="57"/>
      <c r="AK1281" s="57"/>
      <c r="AL1281" s="57"/>
      <c r="AM1281" s="57"/>
      <c r="AN1281" s="57"/>
      <c r="AO1281" s="57"/>
      <c r="AP1281" s="57"/>
      <c r="AQ1281" s="57"/>
      <c r="AR1281" s="57"/>
      <c r="AS1281" s="57"/>
      <c r="AT1281" s="57"/>
      <c r="AU1281" s="57"/>
      <c r="AV1281" s="57"/>
      <c r="AW1281" s="57"/>
      <c r="AX1281" s="57"/>
      <c r="AY1281" s="57"/>
      <c r="AZ1281" s="57"/>
      <c r="BA1281" s="57"/>
      <c r="BB1281" s="57"/>
      <c r="BC1281" s="57"/>
      <c r="BD1281" s="57"/>
      <c r="BE1281" s="57"/>
      <c r="BF1281" s="57"/>
    </row>
    <row r="1282" spans="1:58" s="59" customFormat="1" x14ac:dyDescent="0.25">
      <c r="A1282" s="53"/>
      <c r="B1282" s="54"/>
      <c r="C1282" s="55">
        <f t="shared" si="100"/>
        <v>0</v>
      </c>
      <c r="D1282" s="56"/>
      <c r="E1282" s="57">
        <f>[1]DETAY!$A$2</f>
        <v>0</v>
      </c>
      <c r="F1282" s="89">
        <f t="shared" si="101"/>
        <v>0</v>
      </c>
      <c r="G1282" s="91">
        <f t="shared" si="102"/>
        <v>0</v>
      </c>
      <c r="H1282" s="62" t="e">
        <f t="shared" si="103"/>
        <v>#DIV/0!</v>
      </c>
      <c r="I1282" s="57"/>
      <c r="J1282" s="57"/>
      <c r="K1282" s="57"/>
      <c r="L1282" s="57"/>
      <c r="M1282" s="58"/>
      <c r="N1282" s="57"/>
      <c r="O1282" s="57"/>
      <c r="P1282" s="57"/>
      <c r="Q1282" s="57"/>
      <c r="R1282" s="57"/>
      <c r="S1282" s="57"/>
      <c r="T1282" s="57"/>
      <c r="U1282" s="57"/>
      <c r="V1282" s="57"/>
      <c r="W1282" s="57"/>
      <c r="X1282" s="57"/>
      <c r="Y1282" s="57"/>
      <c r="Z1282" s="57"/>
      <c r="AA1282" s="57"/>
      <c r="AB1282" s="57"/>
      <c r="AC1282" s="57"/>
      <c r="AD1282" s="57"/>
      <c r="AE1282" s="57"/>
      <c r="AF1282" s="57"/>
      <c r="AG1282" s="57"/>
      <c r="AH1282" s="57"/>
      <c r="AI1282" s="57"/>
      <c r="AJ1282" s="57"/>
      <c r="AK1282" s="57"/>
      <c r="AL1282" s="57"/>
      <c r="AM1282" s="57"/>
      <c r="AN1282" s="57"/>
      <c r="AO1282" s="57"/>
      <c r="AP1282" s="57"/>
      <c r="AQ1282" s="57"/>
      <c r="AR1282" s="57"/>
      <c r="AS1282" s="57"/>
      <c r="AT1282" s="57"/>
      <c r="AU1282" s="57"/>
      <c r="AV1282" s="57"/>
      <c r="AW1282" s="57"/>
      <c r="AX1282" s="57"/>
      <c r="AY1282" s="57"/>
      <c r="AZ1282" s="57"/>
      <c r="BA1282" s="57"/>
      <c r="BB1282" s="57"/>
      <c r="BC1282" s="57"/>
      <c r="BD1282" s="57"/>
      <c r="BE1282" s="57"/>
      <c r="BF1282" s="57"/>
    </row>
    <row r="1283" spans="1:58" s="59" customFormat="1" x14ac:dyDescent="0.25">
      <c r="A1283" s="53"/>
      <c r="B1283" s="54"/>
      <c r="C1283" s="55">
        <f t="shared" si="100"/>
        <v>0</v>
      </c>
      <c r="D1283" s="56"/>
      <c r="E1283" s="57">
        <f>[1]DETAY!$A$2</f>
        <v>0</v>
      </c>
      <c r="F1283" s="89">
        <f t="shared" si="101"/>
        <v>0</v>
      </c>
      <c r="G1283" s="91">
        <f t="shared" si="102"/>
        <v>0</v>
      </c>
      <c r="H1283" s="62" t="e">
        <f t="shared" si="103"/>
        <v>#DIV/0!</v>
      </c>
      <c r="I1283" s="57"/>
      <c r="J1283" s="57"/>
      <c r="K1283" s="57"/>
      <c r="L1283" s="57"/>
      <c r="M1283" s="58"/>
      <c r="N1283" s="57"/>
      <c r="O1283" s="57"/>
      <c r="P1283" s="57"/>
      <c r="Q1283" s="57"/>
      <c r="R1283" s="57"/>
      <c r="S1283" s="57"/>
      <c r="T1283" s="57"/>
      <c r="U1283" s="57"/>
      <c r="V1283" s="57"/>
      <c r="W1283" s="57"/>
      <c r="X1283" s="57"/>
      <c r="Y1283" s="57"/>
      <c r="Z1283" s="57"/>
      <c r="AA1283" s="57"/>
      <c r="AB1283" s="57"/>
      <c r="AC1283" s="57"/>
      <c r="AD1283" s="57"/>
      <c r="AE1283" s="57"/>
      <c r="AF1283" s="57"/>
      <c r="AG1283" s="57"/>
      <c r="AH1283" s="57"/>
      <c r="AI1283" s="57"/>
      <c r="AJ1283" s="57"/>
      <c r="AK1283" s="57"/>
      <c r="AL1283" s="57"/>
      <c r="AM1283" s="57"/>
      <c r="AN1283" s="57"/>
      <c r="AO1283" s="57"/>
      <c r="AP1283" s="57"/>
      <c r="AQ1283" s="57"/>
      <c r="AR1283" s="57"/>
      <c r="AS1283" s="57"/>
      <c r="AT1283" s="57"/>
      <c r="AU1283" s="57"/>
      <c r="AV1283" s="57"/>
      <c r="AW1283" s="57"/>
      <c r="AX1283" s="57"/>
      <c r="AY1283" s="57"/>
      <c r="AZ1283" s="57"/>
      <c r="BA1283" s="57"/>
      <c r="BB1283" s="57"/>
      <c r="BC1283" s="57"/>
      <c r="BD1283" s="57"/>
      <c r="BE1283" s="57"/>
      <c r="BF1283" s="57"/>
    </row>
    <row r="1284" spans="1:58" s="59" customFormat="1" x14ac:dyDescent="0.25">
      <c r="A1284" s="53"/>
      <c r="B1284" s="54"/>
      <c r="C1284" s="55">
        <f t="shared" si="100"/>
        <v>0</v>
      </c>
      <c r="D1284" s="56"/>
      <c r="E1284" s="57">
        <f>[1]DETAY!$A$2</f>
        <v>0</v>
      </c>
      <c r="F1284" s="89">
        <f t="shared" si="101"/>
        <v>0</v>
      </c>
      <c r="G1284" s="91">
        <f t="shared" si="102"/>
        <v>0</v>
      </c>
      <c r="H1284" s="62" t="e">
        <f t="shared" si="103"/>
        <v>#DIV/0!</v>
      </c>
      <c r="I1284" s="57"/>
      <c r="J1284" s="57"/>
      <c r="K1284" s="57"/>
      <c r="L1284" s="57"/>
      <c r="M1284" s="58"/>
      <c r="N1284" s="57"/>
      <c r="O1284" s="57"/>
      <c r="P1284" s="57"/>
      <c r="Q1284" s="57"/>
      <c r="R1284" s="57"/>
      <c r="S1284" s="57"/>
      <c r="T1284" s="57"/>
      <c r="U1284" s="57"/>
      <c r="V1284" s="57"/>
      <c r="W1284" s="57"/>
      <c r="X1284" s="57"/>
      <c r="Y1284" s="57"/>
      <c r="Z1284" s="57"/>
      <c r="AA1284" s="57"/>
      <c r="AB1284" s="57"/>
      <c r="AC1284" s="57"/>
      <c r="AD1284" s="57"/>
      <c r="AE1284" s="57"/>
      <c r="AF1284" s="57"/>
      <c r="AG1284" s="57"/>
      <c r="AH1284" s="57"/>
      <c r="AI1284" s="57"/>
      <c r="AJ1284" s="57"/>
      <c r="AK1284" s="57"/>
      <c r="AL1284" s="57"/>
      <c r="AM1284" s="57"/>
      <c r="AN1284" s="57"/>
      <c r="AO1284" s="57"/>
      <c r="AP1284" s="57"/>
      <c r="AQ1284" s="57"/>
      <c r="AR1284" s="57"/>
      <c r="AS1284" s="57"/>
      <c r="AT1284" s="57"/>
      <c r="AU1284" s="57"/>
      <c r="AV1284" s="57"/>
      <c r="AW1284" s="57"/>
      <c r="AX1284" s="57"/>
      <c r="AY1284" s="57"/>
      <c r="AZ1284" s="57"/>
      <c r="BA1284" s="57"/>
      <c r="BB1284" s="57"/>
      <c r="BC1284" s="57"/>
      <c r="BD1284" s="57"/>
      <c r="BE1284" s="57"/>
      <c r="BF1284" s="57"/>
    </row>
    <row r="1285" spans="1:58" s="59" customFormat="1" x14ac:dyDescent="0.25">
      <c r="A1285" s="53"/>
      <c r="B1285" s="54"/>
      <c r="C1285" s="55">
        <f t="shared" si="100"/>
        <v>0</v>
      </c>
      <c r="D1285" s="56"/>
      <c r="E1285" s="57">
        <f>[1]DETAY!$A$2</f>
        <v>0</v>
      </c>
      <c r="F1285" s="89">
        <f t="shared" si="101"/>
        <v>0</v>
      </c>
      <c r="G1285" s="91">
        <f t="shared" si="102"/>
        <v>0</v>
      </c>
      <c r="H1285" s="62" t="e">
        <f t="shared" si="103"/>
        <v>#DIV/0!</v>
      </c>
      <c r="I1285" s="57"/>
      <c r="J1285" s="57"/>
      <c r="K1285" s="57"/>
      <c r="L1285" s="57"/>
      <c r="M1285" s="58"/>
      <c r="N1285" s="57"/>
      <c r="O1285" s="57"/>
      <c r="P1285" s="57"/>
      <c r="Q1285" s="57"/>
      <c r="R1285" s="57"/>
      <c r="S1285" s="57"/>
      <c r="T1285" s="57"/>
      <c r="U1285" s="57"/>
      <c r="V1285" s="57"/>
      <c r="W1285" s="57"/>
      <c r="X1285" s="57"/>
      <c r="Y1285" s="57"/>
      <c r="Z1285" s="57"/>
      <c r="AA1285" s="57"/>
      <c r="AB1285" s="57"/>
      <c r="AC1285" s="57"/>
      <c r="AD1285" s="57"/>
      <c r="AE1285" s="57"/>
      <c r="AF1285" s="57"/>
      <c r="AG1285" s="57"/>
      <c r="AH1285" s="57"/>
      <c r="AI1285" s="57"/>
      <c r="AJ1285" s="57"/>
      <c r="AK1285" s="57"/>
      <c r="AL1285" s="57"/>
      <c r="AM1285" s="57"/>
      <c r="AN1285" s="57"/>
      <c r="AO1285" s="57"/>
      <c r="AP1285" s="57"/>
      <c r="AQ1285" s="57"/>
      <c r="AR1285" s="57"/>
      <c r="AS1285" s="57"/>
      <c r="AT1285" s="57"/>
      <c r="AU1285" s="57"/>
      <c r="AV1285" s="57"/>
      <c r="AW1285" s="57"/>
      <c r="AX1285" s="57"/>
      <c r="AY1285" s="57"/>
      <c r="AZ1285" s="57"/>
      <c r="BA1285" s="57"/>
      <c r="BB1285" s="57"/>
      <c r="BC1285" s="57"/>
      <c r="BD1285" s="57"/>
      <c r="BE1285" s="57"/>
      <c r="BF1285" s="57"/>
    </row>
    <row r="1286" spans="1:58" s="59" customFormat="1" x14ac:dyDescent="0.25">
      <c r="A1286" s="53"/>
      <c r="B1286" s="54"/>
      <c r="C1286" s="55">
        <f t="shared" si="100"/>
        <v>0</v>
      </c>
      <c r="D1286" s="56"/>
      <c r="E1286" s="57">
        <f>[1]DETAY!$A$2</f>
        <v>0</v>
      </c>
      <c r="F1286" s="89">
        <f t="shared" si="101"/>
        <v>0</v>
      </c>
      <c r="G1286" s="91">
        <f t="shared" si="102"/>
        <v>0</v>
      </c>
      <c r="H1286" s="62" t="e">
        <f t="shared" si="103"/>
        <v>#DIV/0!</v>
      </c>
      <c r="I1286" s="57"/>
      <c r="J1286" s="57"/>
      <c r="K1286" s="57"/>
      <c r="L1286" s="57"/>
      <c r="M1286" s="58"/>
      <c r="N1286" s="57"/>
      <c r="O1286" s="57"/>
      <c r="P1286" s="57"/>
      <c r="Q1286" s="57"/>
      <c r="R1286" s="57"/>
      <c r="S1286" s="57"/>
      <c r="T1286" s="57"/>
      <c r="U1286" s="57"/>
      <c r="V1286" s="57"/>
      <c r="W1286" s="57"/>
      <c r="X1286" s="57"/>
      <c r="Y1286" s="57"/>
      <c r="Z1286" s="57"/>
      <c r="AA1286" s="57"/>
      <c r="AB1286" s="57"/>
      <c r="AC1286" s="57"/>
      <c r="AD1286" s="57"/>
      <c r="AE1286" s="57"/>
      <c r="AF1286" s="57"/>
      <c r="AG1286" s="57"/>
      <c r="AH1286" s="57"/>
      <c r="AI1286" s="57"/>
      <c r="AJ1286" s="57"/>
      <c r="AK1286" s="57"/>
      <c r="AL1286" s="57"/>
      <c r="AM1286" s="57"/>
      <c r="AN1286" s="57"/>
      <c r="AO1286" s="57"/>
      <c r="AP1286" s="57"/>
      <c r="AQ1286" s="57"/>
      <c r="AR1286" s="57"/>
      <c r="AS1286" s="57"/>
      <c r="AT1286" s="57"/>
      <c r="AU1286" s="57"/>
      <c r="AV1286" s="57"/>
      <c r="AW1286" s="57"/>
      <c r="AX1286" s="57"/>
      <c r="AY1286" s="57"/>
      <c r="AZ1286" s="57"/>
      <c r="BA1286" s="57"/>
      <c r="BB1286" s="57"/>
      <c r="BC1286" s="57"/>
      <c r="BD1286" s="57"/>
      <c r="BE1286" s="57"/>
      <c r="BF1286" s="57"/>
    </row>
    <row r="1287" spans="1:58" s="59" customFormat="1" x14ac:dyDescent="0.25">
      <c r="A1287" s="53"/>
      <c r="B1287" s="54"/>
      <c r="C1287" s="55">
        <f t="shared" si="100"/>
        <v>0</v>
      </c>
      <c r="D1287" s="56"/>
      <c r="E1287" s="57">
        <f>[1]DETAY!$A$2</f>
        <v>0</v>
      </c>
      <c r="F1287" s="89">
        <f t="shared" si="101"/>
        <v>0</v>
      </c>
      <c r="G1287" s="91">
        <f t="shared" si="102"/>
        <v>0</v>
      </c>
      <c r="H1287" s="62" t="e">
        <f t="shared" si="103"/>
        <v>#DIV/0!</v>
      </c>
      <c r="I1287" s="57"/>
      <c r="J1287" s="57"/>
      <c r="K1287" s="57"/>
      <c r="L1287" s="57"/>
      <c r="M1287" s="58"/>
      <c r="N1287" s="57"/>
      <c r="O1287" s="57"/>
      <c r="P1287" s="57"/>
      <c r="Q1287" s="57"/>
      <c r="R1287" s="57"/>
      <c r="S1287" s="57"/>
      <c r="T1287" s="57"/>
      <c r="U1287" s="57"/>
      <c r="V1287" s="57"/>
      <c r="W1287" s="57"/>
      <c r="X1287" s="57"/>
      <c r="Y1287" s="57"/>
      <c r="Z1287" s="57"/>
      <c r="AA1287" s="57"/>
      <c r="AB1287" s="57"/>
      <c r="AC1287" s="57"/>
      <c r="AD1287" s="57"/>
      <c r="AE1287" s="57"/>
      <c r="AF1287" s="57"/>
      <c r="AG1287" s="57"/>
      <c r="AH1287" s="57"/>
      <c r="AI1287" s="57"/>
      <c r="AJ1287" s="57"/>
      <c r="AK1287" s="57"/>
      <c r="AL1287" s="57"/>
      <c r="AM1287" s="57"/>
      <c r="AN1287" s="57"/>
      <c r="AO1287" s="57"/>
      <c r="AP1287" s="57"/>
      <c r="AQ1287" s="57"/>
      <c r="AR1287" s="57"/>
      <c r="AS1287" s="57"/>
      <c r="AT1287" s="57"/>
      <c r="AU1287" s="57"/>
      <c r="AV1287" s="57"/>
      <c r="AW1287" s="57"/>
      <c r="AX1287" s="57"/>
      <c r="AY1287" s="57"/>
      <c r="AZ1287" s="57"/>
      <c r="BA1287" s="57"/>
      <c r="BB1287" s="57"/>
      <c r="BC1287" s="57"/>
      <c r="BD1287" s="57"/>
      <c r="BE1287" s="57"/>
      <c r="BF1287" s="57"/>
    </row>
    <row r="1288" spans="1:58" s="59" customFormat="1" x14ac:dyDescent="0.25">
      <c r="A1288" s="53"/>
      <c r="B1288" s="60"/>
      <c r="C1288" s="57">
        <f t="shared" ref="C1288:C1351" si="104">WEEKNUM(B1288)</f>
        <v>0</v>
      </c>
      <c r="D1288" s="56"/>
      <c r="E1288" s="57">
        <f>[1]DETAY!$A$2</f>
        <v>0</v>
      </c>
      <c r="F1288" s="90">
        <f t="shared" ref="F1288:F1351" si="105">D1288-G1288</f>
        <v>0</v>
      </c>
      <c r="G1288" s="92">
        <f t="shared" ref="G1288:G1351" si="106">SUBTOTAL(9,I1288:BD1288)</f>
        <v>0</v>
      </c>
      <c r="H1288" s="62" t="e">
        <f t="shared" ref="H1288:H1351" si="107">F1288/D1288</f>
        <v>#DIV/0!</v>
      </c>
      <c r="I1288" s="57"/>
      <c r="J1288" s="57"/>
      <c r="K1288" s="57"/>
      <c r="L1288" s="57"/>
      <c r="M1288" s="58"/>
      <c r="N1288" s="57"/>
      <c r="O1288" s="57"/>
      <c r="P1288" s="57"/>
      <c r="Q1288" s="57"/>
      <c r="R1288" s="57"/>
      <c r="S1288" s="61"/>
      <c r="T1288" s="57"/>
      <c r="U1288" s="57"/>
      <c r="V1288" s="57"/>
      <c r="W1288" s="57"/>
      <c r="X1288" s="57"/>
      <c r="Y1288" s="57"/>
      <c r="Z1288" s="57"/>
      <c r="AA1288" s="57"/>
      <c r="AB1288" s="57"/>
      <c r="AC1288" s="57"/>
      <c r="AD1288" s="57"/>
      <c r="AE1288" s="57"/>
      <c r="AF1288" s="57"/>
      <c r="AG1288" s="57"/>
      <c r="AH1288" s="57"/>
      <c r="AI1288" s="57"/>
      <c r="AJ1288" s="57"/>
      <c r="AK1288" s="57"/>
      <c r="AL1288" s="57"/>
      <c r="AM1288" s="57"/>
      <c r="AN1288" s="57"/>
      <c r="AO1288" s="57"/>
      <c r="AP1288" s="57"/>
      <c r="AQ1288" s="57"/>
      <c r="AR1288" s="57"/>
      <c r="AS1288" s="57"/>
      <c r="AT1288" s="57"/>
      <c r="AU1288" s="57"/>
      <c r="AV1288" s="57"/>
      <c r="AW1288" s="57"/>
      <c r="AX1288" s="57"/>
      <c r="AY1288" s="57"/>
      <c r="AZ1288" s="57"/>
      <c r="BA1288" s="57"/>
      <c r="BB1288" s="57"/>
      <c r="BC1288" s="57"/>
      <c r="BD1288" s="57"/>
      <c r="BE1288" s="57"/>
      <c r="BF1288" s="57"/>
    </row>
    <row r="1289" spans="1:58" s="59" customFormat="1" x14ac:dyDescent="0.25">
      <c r="A1289" s="53"/>
      <c r="B1289" s="60"/>
      <c r="C1289" s="57">
        <f t="shared" si="104"/>
        <v>0</v>
      </c>
      <c r="D1289" s="56"/>
      <c r="E1289" s="57">
        <f>[1]DETAY!$A$2</f>
        <v>0</v>
      </c>
      <c r="F1289" s="90">
        <f t="shared" si="105"/>
        <v>0</v>
      </c>
      <c r="G1289" s="92">
        <f t="shared" si="106"/>
        <v>0</v>
      </c>
      <c r="H1289" s="62" t="e">
        <f t="shared" si="107"/>
        <v>#DIV/0!</v>
      </c>
      <c r="I1289" s="57"/>
      <c r="J1289" s="57"/>
      <c r="K1289" s="57"/>
      <c r="L1289" s="57"/>
      <c r="M1289" s="58"/>
      <c r="N1289" s="57"/>
      <c r="O1289" s="57"/>
      <c r="P1289" s="57"/>
      <c r="Q1289" s="57"/>
      <c r="R1289" s="57"/>
      <c r="S1289" s="61"/>
      <c r="T1289" s="57"/>
      <c r="U1289" s="57"/>
      <c r="V1289" s="57"/>
      <c r="W1289" s="57"/>
      <c r="X1289" s="57"/>
      <c r="Y1289" s="57"/>
      <c r="Z1289" s="57"/>
      <c r="AA1289" s="57"/>
      <c r="AB1289" s="57"/>
      <c r="AC1289" s="57"/>
      <c r="AD1289" s="57"/>
      <c r="AE1289" s="57"/>
      <c r="AF1289" s="57"/>
      <c r="AG1289" s="57"/>
      <c r="AH1289" s="57"/>
      <c r="AI1289" s="57"/>
      <c r="AJ1289" s="57"/>
      <c r="AK1289" s="57"/>
      <c r="AL1289" s="57"/>
      <c r="AM1289" s="57"/>
      <c r="AN1289" s="57"/>
      <c r="AO1289" s="57"/>
      <c r="AP1289" s="57"/>
      <c r="AQ1289" s="57"/>
      <c r="AR1289" s="57"/>
      <c r="AS1289" s="57"/>
      <c r="AT1289" s="57"/>
      <c r="AU1289" s="57"/>
      <c r="AV1289" s="57"/>
      <c r="AW1289" s="57"/>
      <c r="AX1289" s="57"/>
      <c r="AY1289" s="57"/>
      <c r="AZ1289" s="57"/>
      <c r="BA1289" s="57"/>
      <c r="BB1289" s="57"/>
      <c r="BC1289" s="57"/>
      <c r="BD1289" s="57"/>
      <c r="BE1289" s="57"/>
      <c r="BF1289" s="57"/>
    </row>
    <row r="1290" spans="1:58" s="59" customFormat="1" x14ac:dyDescent="0.25">
      <c r="A1290" s="53"/>
      <c r="B1290" s="60"/>
      <c r="C1290" s="57">
        <f t="shared" si="104"/>
        <v>0</v>
      </c>
      <c r="D1290" s="56"/>
      <c r="E1290" s="57">
        <f>[1]DETAY!$A$2</f>
        <v>0</v>
      </c>
      <c r="F1290" s="90">
        <f t="shared" si="105"/>
        <v>0</v>
      </c>
      <c r="G1290" s="92">
        <f t="shared" si="106"/>
        <v>0</v>
      </c>
      <c r="H1290" s="62" t="e">
        <f t="shared" si="107"/>
        <v>#DIV/0!</v>
      </c>
      <c r="I1290" s="57"/>
      <c r="J1290" s="57"/>
      <c r="K1290" s="57"/>
      <c r="L1290" s="57"/>
      <c r="M1290" s="58"/>
      <c r="N1290" s="57"/>
      <c r="O1290" s="57"/>
      <c r="P1290" s="57"/>
      <c r="Q1290" s="57"/>
      <c r="R1290" s="57"/>
      <c r="S1290" s="61"/>
      <c r="T1290" s="57"/>
      <c r="U1290" s="57"/>
      <c r="V1290" s="57"/>
      <c r="W1290" s="57"/>
      <c r="X1290" s="57"/>
      <c r="Y1290" s="57"/>
      <c r="Z1290" s="57"/>
      <c r="AA1290" s="57"/>
      <c r="AB1290" s="57"/>
      <c r="AC1290" s="57"/>
      <c r="AD1290" s="57"/>
      <c r="AE1290" s="57"/>
      <c r="AF1290" s="57"/>
      <c r="AG1290" s="57"/>
      <c r="AH1290" s="57"/>
      <c r="AI1290" s="57"/>
      <c r="AJ1290" s="57"/>
      <c r="AK1290" s="57"/>
      <c r="AL1290" s="57"/>
      <c r="AM1290" s="57"/>
      <c r="AN1290" s="57"/>
      <c r="AO1290" s="57"/>
      <c r="AP1290" s="57"/>
      <c r="AQ1290" s="57"/>
      <c r="AR1290" s="57"/>
      <c r="AS1290" s="57"/>
      <c r="AT1290" s="57"/>
      <c r="AU1290" s="57"/>
      <c r="AV1290" s="57"/>
      <c r="AW1290" s="57"/>
      <c r="AX1290" s="57"/>
      <c r="AY1290" s="57"/>
      <c r="AZ1290" s="57"/>
      <c r="BA1290" s="57"/>
      <c r="BB1290" s="57"/>
      <c r="BC1290" s="57"/>
      <c r="BD1290" s="57"/>
      <c r="BE1290" s="57"/>
      <c r="BF1290" s="57"/>
    </row>
    <row r="1291" spans="1:58" s="59" customFormat="1" x14ac:dyDescent="0.25">
      <c r="A1291" s="53"/>
      <c r="B1291" s="60"/>
      <c r="C1291" s="57">
        <f t="shared" si="104"/>
        <v>0</v>
      </c>
      <c r="D1291" s="56"/>
      <c r="E1291" s="57">
        <f>[1]DETAY!$A$2</f>
        <v>0</v>
      </c>
      <c r="F1291" s="90">
        <f t="shared" si="105"/>
        <v>0</v>
      </c>
      <c r="G1291" s="92">
        <f t="shared" si="106"/>
        <v>0</v>
      </c>
      <c r="H1291" s="62" t="e">
        <f t="shared" si="107"/>
        <v>#DIV/0!</v>
      </c>
      <c r="I1291" s="57"/>
      <c r="J1291" s="57"/>
      <c r="K1291" s="57"/>
      <c r="L1291" s="57"/>
      <c r="M1291" s="58"/>
      <c r="N1291" s="57"/>
      <c r="O1291" s="57"/>
      <c r="P1291" s="57"/>
      <c r="Q1291" s="57"/>
      <c r="R1291" s="57"/>
      <c r="S1291" s="61"/>
      <c r="T1291" s="57"/>
      <c r="U1291" s="57"/>
      <c r="V1291" s="57"/>
      <c r="W1291" s="57"/>
      <c r="X1291" s="57"/>
      <c r="Y1291" s="57"/>
      <c r="Z1291" s="57"/>
      <c r="AA1291" s="57"/>
      <c r="AB1291" s="57"/>
      <c r="AC1291" s="57"/>
      <c r="AD1291" s="57"/>
      <c r="AE1291" s="57"/>
      <c r="AF1291" s="57"/>
      <c r="AG1291" s="57"/>
      <c r="AH1291" s="57"/>
      <c r="AI1291" s="57"/>
      <c r="AJ1291" s="57"/>
      <c r="AK1291" s="57"/>
      <c r="AL1291" s="57"/>
      <c r="AM1291" s="57"/>
      <c r="AN1291" s="57"/>
      <c r="AO1291" s="57"/>
      <c r="AP1291" s="57"/>
      <c r="AQ1291" s="57"/>
      <c r="AR1291" s="57"/>
      <c r="AS1291" s="57"/>
      <c r="AT1291" s="57"/>
      <c r="AU1291" s="57"/>
      <c r="AV1291" s="57"/>
      <c r="AW1291" s="57"/>
      <c r="AX1291" s="57"/>
      <c r="AY1291" s="57"/>
      <c r="AZ1291" s="57"/>
      <c r="BA1291" s="57"/>
      <c r="BB1291" s="57"/>
      <c r="BC1291" s="57"/>
      <c r="BD1291" s="57"/>
      <c r="BE1291" s="57"/>
      <c r="BF1291" s="57"/>
    </row>
    <row r="1292" spans="1:58" s="59" customFormat="1" x14ac:dyDescent="0.25">
      <c r="A1292" s="53"/>
      <c r="B1292" s="60"/>
      <c r="C1292" s="57">
        <f t="shared" si="104"/>
        <v>0</v>
      </c>
      <c r="D1292" s="56"/>
      <c r="E1292" s="57">
        <f>[1]DETAY!$A$2</f>
        <v>0</v>
      </c>
      <c r="F1292" s="90">
        <f t="shared" si="105"/>
        <v>0</v>
      </c>
      <c r="G1292" s="92">
        <f t="shared" si="106"/>
        <v>0</v>
      </c>
      <c r="H1292" s="62" t="e">
        <f t="shared" si="107"/>
        <v>#DIV/0!</v>
      </c>
      <c r="I1292" s="57"/>
      <c r="J1292" s="57"/>
      <c r="K1292" s="57"/>
      <c r="L1292" s="57"/>
      <c r="M1292" s="58"/>
      <c r="N1292" s="57"/>
      <c r="O1292" s="57"/>
      <c r="P1292" s="57"/>
      <c r="Q1292" s="57"/>
      <c r="R1292" s="57"/>
      <c r="S1292" s="61"/>
      <c r="T1292" s="57"/>
      <c r="U1292" s="57"/>
      <c r="V1292" s="57"/>
      <c r="W1292" s="57"/>
      <c r="X1292" s="57"/>
      <c r="Y1292" s="57"/>
      <c r="Z1292" s="57"/>
      <c r="AA1292" s="57"/>
      <c r="AB1292" s="57"/>
      <c r="AC1292" s="57"/>
      <c r="AD1292" s="57"/>
      <c r="AE1292" s="57"/>
      <c r="AF1292" s="57"/>
      <c r="AG1292" s="57"/>
      <c r="AH1292" s="57"/>
      <c r="AI1292" s="57"/>
      <c r="AJ1292" s="57"/>
      <c r="AK1292" s="57"/>
      <c r="AL1292" s="57"/>
      <c r="AM1292" s="57"/>
      <c r="AN1292" s="57"/>
      <c r="AO1292" s="57"/>
      <c r="AP1292" s="57"/>
      <c r="AQ1292" s="57"/>
      <c r="AR1292" s="57"/>
      <c r="AS1292" s="57"/>
      <c r="AT1292" s="57"/>
      <c r="AU1292" s="57"/>
      <c r="AV1292" s="57"/>
      <c r="AW1292" s="57"/>
      <c r="AX1292" s="57"/>
      <c r="AY1292" s="57"/>
      <c r="AZ1292" s="57"/>
      <c r="BA1292" s="57"/>
      <c r="BB1292" s="57"/>
      <c r="BC1292" s="57"/>
      <c r="BD1292" s="57"/>
      <c r="BE1292" s="57"/>
      <c r="BF1292" s="57"/>
    </row>
    <row r="1293" spans="1:58" s="59" customFormat="1" x14ac:dyDescent="0.25">
      <c r="A1293" s="53"/>
      <c r="B1293" s="60"/>
      <c r="C1293" s="57">
        <f t="shared" si="104"/>
        <v>0</v>
      </c>
      <c r="D1293" s="56"/>
      <c r="E1293" s="57">
        <f>[1]DETAY!$A$2</f>
        <v>0</v>
      </c>
      <c r="F1293" s="90">
        <f t="shared" si="105"/>
        <v>0</v>
      </c>
      <c r="G1293" s="92">
        <f t="shared" si="106"/>
        <v>0</v>
      </c>
      <c r="H1293" s="62" t="e">
        <f t="shared" si="107"/>
        <v>#DIV/0!</v>
      </c>
      <c r="I1293" s="57"/>
      <c r="J1293" s="57"/>
      <c r="K1293" s="57"/>
      <c r="L1293" s="57"/>
      <c r="M1293" s="58"/>
      <c r="N1293" s="57"/>
      <c r="O1293" s="57"/>
      <c r="P1293" s="57"/>
      <c r="Q1293" s="57"/>
      <c r="R1293" s="57"/>
      <c r="S1293" s="61"/>
      <c r="T1293" s="57"/>
      <c r="U1293" s="57"/>
      <c r="V1293" s="57"/>
      <c r="W1293" s="57"/>
      <c r="X1293" s="57"/>
      <c r="Y1293" s="57"/>
      <c r="Z1293" s="57"/>
      <c r="AA1293" s="57"/>
      <c r="AB1293" s="57"/>
      <c r="AC1293" s="57"/>
      <c r="AD1293" s="57"/>
      <c r="AE1293" s="57"/>
      <c r="AF1293" s="57"/>
      <c r="AG1293" s="57"/>
      <c r="AH1293" s="57"/>
      <c r="AI1293" s="57"/>
      <c r="AJ1293" s="57"/>
      <c r="AK1293" s="57"/>
      <c r="AL1293" s="57"/>
      <c r="AM1293" s="57"/>
      <c r="AN1293" s="57"/>
      <c r="AO1293" s="57"/>
      <c r="AP1293" s="57"/>
      <c r="AQ1293" s="57"/>
      <c r="AR1293" s="57"/>
      <c r="AS1293" s="57"/>
      <c r="AT1293" s="57"/>
      <c r="AU1293" s="57"/>
      <c r="AV1293" s="57"/>
      <c r="AW1293" s="57"/>
      <c r="AX1293" s="57"/>
      <c r="AY1293" s="57"/>
      <c r="AZ1293" s="57"/>
      <c r="BA1293" s="57"/>
      <c r="BB1293" s="57"/>
      <c r="BC1293" s="57"/>
      <c r="BD1293" s="57"/>
      <c r="BE1293" s="57"/>
      <c r="BF1293" s="57"/>
    </row>
    <row r="1294" spans="1:58" s="59" customFormat="1" x14ac:dyDescent="0.25">
      <c r="A1294" s="53"/>
      <c r="B1294" s="60"/>
      <c r="C1294" s="57">
        <f t="shared" si="104"/>
        <v>0</v>
      </c>
      <c r="D1294" s="56"/>
      <c r="E1294" s="57">
        <f>[1]DETAY!$A$2</f>
        <v>0</v>
      </c>
      <c r="F1294" s="90">
        <f t="shared" si="105"/>
        <v>0</v>
      </c>
      <c r="G1294" s="92">
        <f t="shared" si="106"/>
        <v>0</v>
      </c>
      <c r="H1294" s="62" t="e">
        <f t="shared" si="107"/>
        <v>#DIV/0!</v>
      </c>
      <c r="I1294" s="57"/>
      <c r="J1294" s="57"/>
      <c r="K1294" s="57"/>
      <c r="L1294" s="57"/>
      <c r="M1294" s="58"/>
      <c r="N1294" s="57"/>
      <c r="O1294" s="57"/>
      <c r="P1294" s="57"/>
      <c r="Q1294" s="57"/>
      <c r="R1294" s="57"/>
      <c r="S1294" s="61"/>
      <c r="T1294" s="57"/>
      <c r="U1294" s="57"/>
      <c r="V1294" s="57"/>
      <c r="W1294" s="57"/>
      <c r="X1294" s="57"/>
      <c r="Y1294" s="57"/>
      <c r="Z1294" s="57"/>
      <c r="AA1294" s="57"/>
      <c r="AB1294" s="57"/>
      <c r="AC1294" s="57"/>
      <c r="AD1294" s="57"/>
      <c r="AE1294" s="57"/>
      <c r="AF1294" s="57"/>
      <c r="AG1294" s="57"/>
      <c r="AH1294" s="57"/>
      <c r="AI1294" s="57"/>
      <c r="AJ1294" s="57"/>
      <c r="AK1294" s="57"/>
      <c r="AL1294" s="57"/>
      <c r="AM1294" s="57"/>
      <c r="AN1294" s="57"/>
      <c r="AO1294" s="57"/>
      <c r="AP1294" s="57"/>
      <c r="AQ1294" s="57"/>
      <c r="AR1294" s="57"/>
      <c r="AS1294" s="57"/>
      <c r="AT1294" s="57"/>
      <c r="AU1294" s="57"/>
      <c r="AV1294" s="57"/>
      <c r="AW1294" s="57"/>
      <c r="AX1294" s="57"/>
      <c r="AY1294" s="57"/>
      <c r="AZ1294" s="57"/>
      <c r="BA1294" s="57"/>
      <c r="BB1294" s="57"/>
      <c r="BC1294" s="57"/>
      <c r="BD1294" s="57"/>
      <c r="BE1294" s="57"/>
      <c r="BF1294" s="57"/>
    </row>
    <row r="1295" spans="1:58" s="59" customFormat="1" x14ac:dyDescent="0.25">
      <c r="A1295" s="53"/>
      <c r="B1295" s="60"/>
      <c r="C1295" s="57">
        <f t="shared" si="104"/>
        <v>0</v>
      </c>
      <c r="D1295" s="56"/>
      <c r="E1295" s="57">
        <f>[1]DETAY!$A$2</f>
        <v>0</v>
      </c>
      <c r="F1295" s="90">
        <f t="shared" si="105"/>
        <v>0</v>
      </c>
      <c r="G1295" s="92">
        <f t="shared" si="106"/>
        <v>0</v>
      </c>
      <c r="H1295" s="62" t="e">
        <f t="shared" si="107"/>
        <v>#DIV/0!</v>
      </c>
      <c r="I1295" s="57"/>
      <c r="J1295" s="57"/>
      <c r="K1295" s="57"/>
      <c r="L1295" s="57"/>
      <c r="M1295" s="58"/>
      <c r="N1295" s="57"/>
      <c r="O1295" s="57"/>
      <c r="P1295" s="57"/>
      <c r="Q1295" s="57"/>
      <c r="R1295" s="57"/>
      <c r="S1295" s="61"/>
      <c r="T1295" s="57"/>
      <c r="U1295" s="57"/>
      <c r="V1295" s="57"/>
      <c r="W1295" s="57"/>
      <c r="X1295" s="57"/>
      <c r="Y1295" s="57"/>
      <c r="Z1295" s="57"/>
      <c r="AA1295" s="57"/>
      <c r="AB1295" s="57"/>
      <c r="AC1295" s="57"/>
      <c r="AD1295" s="57"/>
      <c r="AE1295" s="57"/>
      <c r="AF1295" s="57"/>
      <c r="AG1295" s="57"/>
      <c r="AH1295" s="57"/>
      <c r="AI1295" s="57"/>
      <c r="AJ1295" s="57"/>
      <c r="AK1295" s="57"/>
      <c r="AL1295" s="57"/>
      <c r="AM1295" s="57"/>
      <c r="AN1295" s="57"/>
      <c r="AO1295" s="57"/>
      <c r="AP1295" s="57"/>
      <c r="AQ1295" s="57"/>
      <c r="AR1295" s="57"/>
      <c r="AS1295" s="57"/>
      <c r="AT1295" s="57"/>
      <c r="AU1295" s="57"/>
      <c r="AV1295" s="57"/>
      <c r="AW1295" s="57"/>
      <c r="AX1295" s="57"/>
      <c r="AY1295" s="57"/>
      <c r="AZ1295" s="57"/>
      <c r="BA1295" s="57"/>
      <c r="BB1295" s="57"/>
      <c r="BC1295" s="57"/>
      <c r="BD1295" s="57"/>
      <c r="BE1295" s="57"/>
      <c r="BF1295" s="57"/>
    </row>
    <row r="1296" spans="1:58" s="59" customFormat="1" x14ac:dyDescent="0.25">
      <c r="A1296" s="53"/>
      <c r="B1296" s="60"/>
      <c r="C1296" s="57">
        <f t="shared" si="104"/>
        <v>0</v>
      </c>
      <c r="D1296" s="56"/>
      <c r="E1296" s="57">
        <f>[1]DETAY!$A$2</f>
        <v>0</v>
      </c>
      <c r="F1296" s="90">
        <f t="shared" si="105"/>
        <v>0</v>
      </c>
      <c r="G1296" s="92">
        <f t="shared" si="106"/>
        <v>0</v>
      </c>
      <c r="H1296" s="62" t="e">
        <f t="shared" si="107"/>
        <v>#DIV/0!</v>
      </c>
      <c r="I1296" s="57"/>
      <c r="J1296" s="57"/>
      <c r="K1296" s="57"/>
      <c r="L1296" s="57"/>
      <c r="M1296" s="58"/>
      <c r="N1296" s="57"/>
      <c r="O1296" s="57"/>
      <c r="P1296" s="57"/>
      <c r="Q1296" s="57"/>
      <c r="R1296" s="57"/>
      <c r="S1296" s="61"/>
      <c r="T1296" s="57"/>
      <c r="U1296" s="57"/>
      <c r="V1296" s="57"/>
      <c r="W1296" s="57"/>
      <c r="X1296" s="57"/>
      <c r="Y1296" s="57"/>
      <c r="Z1296" s="57"/>
      <c r="AA1296" s="57"/>
      <c r="AB1296" s="57"/>
      <c r="AC1296" s="57"/>
      <c r="AD1296" s="57"/>
      <c r="AE1296" s="57"/>
      <c r="AF1296" s="57"/>
      <c r="AG1296" s="57"/>
      <c r="AH1296" s="57"/>
      <c r="AI1296" s="57"/>
      <c r="AJ1296" s="57"/>
      <c r="AK1296" s="57"/>
      <c r="AL1296" s="57"/>
      <c r="AM1296" s="57"/>
      <c r="AN1296" s="57"/>
      <c r="AO1296" s="57"/>
      <c r="AP1296" s="57"/>
      <c r="AQ1296" s="57"/>
      <c r="AR1296" s="57"/>
      <c r="AS1296" s="57"/>
      <c r="AT1296" s="57"/>
      <c r="AU1296" s="57"/>
      <c r="AV1296" s="57"/>
      <c r="AW1296" s="57"/>
      <c r="AX1296" s="57"/>
      <c r="AY1296" s="57"/>
      <c r="AZ1296" s="57"/>
      <c r="BA1296" s="57"/>
      <c r="BB1296" s="57"/>
      <c r="BC1296" s="57"/>
      <c r="BD1296" s="57"/>
      <c r="BE1296" s="57"/>
      <c r="BF1296" s="57"/>
    </row>
    <row r="1297" spans="1:58" s="59" customFormat="1" x14ac:dyDescent="0.25">
      <c r="A1297" s="53"/>
      <c r="B1297" s="60"/>
      <c r="C1297" s="57">
        <f t="shared" si="104"/>
        <v>0</v>
      </c>
      <c r="D1297" s="56"/>
      <c r="E1297" s="57">
        <f>[1]DETAY!$A$2</f>
        <v>0</v>
      </c>
      <c r="F1297" s="90">
        <f t="shared" si="105"/>
        <v>0</v>
      </c>
      <c r="G1297" s="92">
        <f t="shared" si="106"/>
        <v>0</v>
      </c>
      <c r="H1297" s="62" t="e">
        <f t="shared" si="107"/>
        <v>#DIV/0!</v>
      </c>
      <c r="I1297" s="57"/>
      <c r="J1297" s="57"/>
      <c r="K1297" s="57"/>
      <c r="L1297" s="57"/>
      <c r="M1297" s="58"/>
      <c r="N1297" s="57"/>
      <c r="O1297" s="57"/>
      <c r="P1297" s="57"/>
      <c r="Q1297" s="57"/>
      <c r="R1297" s="57"/>
      <c r="S1297" s="61"/>
      <c r="T1297" s="57"/>
      <c r="U1297" s="57"/>
      <c r="V1297" s="57"/>
      <c r="W1297" s="57"/>
      <c r="X1297" s="57"/>
      <c r="Y1297" s="57"/>
      <c r="Z1297" s="57"/>
      <c r="AA1297" s="57"/>
      <c r="AB1297" s="57"/>
      <c r="AC1297" s="57"/>
      <c r="AD1297" s="57"/>
      <c r="AE1297" s="57"/>
      <c r="AF1297" s="57"/>
      <c r="AG1297" s="57"/>
      <c r="AH1297" s="57"/>
      <c r="AI1297" s="57"/>
      <c r="AJ1297" s="57"/>
      <c r="AK1297" s="57"/>
      <c r="AL1297" s="57"/>
      <c r="AM1297" s="57"/>
      <c r="AN1297" s="57"/>
      <c r="AO1297" s="57"/>
      <c r="AP1297" s="57"/>
      <c r="AQ1297" s="57"/>
      <c r="AR1297" s="57"/>
      <c r="AS1297" s="57"/>
      <c r="AT1297" s="57"/>
      <c r="AU1297" s="57"/>
      <c r="AV1297" s="57"/>
      <c r="AW1297" s="57"/>
      <c r="AX1297" s="57"/>
      <c r="AY1297" s="57"/>
      <c r="AZ1297" s="57"/>
      <c r="BA1297" s="57"/>
      <c r="BB1297" s="57"/>
      <c r="BC1297" s="57"/>
      <c r="BD1297" s="57"/>
      <c r="BE1297" s="57"/>
      <c r="BF1297" s="57"/>
    </row>
    <row r="1298" spans="1:58" s="59" customFormat="1" x14ac:dyDescent="0.25">
      <c r="A1298" s="53"/>
      <c r="B1298" s="60"/>
      <c r="C1298" s="57">
        <f t="shared" si="104"/>
        <v>0</v>
      </c>
      <c r="D1298" s="56"/>
      <c r="E1298" s="57">
        <f>[1]DETAY!$A$2</f>
        <v>0</v>
      </c>
      <c r="F1298" s="90">
        <f t="shared" si="105"/>
        <v>0</v>
      </c>
      <c r="G1298" s="92">
        <f t="shared" si="106"/>
        <v>0</v>
      </c>
      <c r="H1298" s="62" t="e">
        <f t="shared" si="107"/>
        <v>#DIV/0!</v>
      </c>
      <c r="I1298" s="57"/>
      <c r="J1298" s="57"/>
      <c r="K1298" s="57"/>
      <c r="L1298" s="57"/>
      <c r="M1298" s="58"/>
      <c r="N1298" s="57"/>
      <c r="O1298" s="57"/>
      <c r="P1298" s="57"/>
      <c r="Q1298" s="57"/>
      <c r="R1298" s="57"/>
      <c r="S1298" s="61"/>
      <c r="T1298" s="57"/>
      <c r="U1298" s="57"/>
      <c r="V1298" s="57"/>
      <c r="W1298" s="57"/>
      <c r="X1298" s="57"/>
      <c r="Y1298" s="57"/>
      <c r="Z1298" s="57"/>
      <c r="AA1298" s="57"/>
      <c r="AB1298" s="57"/>
      <c r="AC1298" s="57"/>
      <c r="AD1298" s="57"/>
      <c r="AE1298" s="57"/>
      <c r="AF1298" s="57"/>
      <c r="AG1298" s="57"/>
      <c r="AH1298" s="57"/>
      <c r="AI1298" s="57"/>
      <c r="AJ1298" s="57"/>
      <c r="AK1298" s="57"/>
      <c r="AL1298" s="57"/>
      <c r="AM1298" s="57"/>
      <c r="AN1298" s="57"/>
      <c r="AO1298" s="57"/>
      <c r="AP1298" s="57"/>
      <c r="AQ1298" s="57"/>
      <c r="AR1298" s="57"/>
      <c r="AS1298" s="57"/>
      <c r="AT1298" s="57"/>
      <c r="AU1298" s="57"/>
      <c r="AV1298" s="57"/>
      <c r="AW1298" s="57"/>
      <c r="AX1298" s="57"/>
      <c r="AY1298" s="57"/>
      <c r="AZ1298" s="57"/>
      <c r="BA1298" s="57"/>
      <c r="BB1298" s="57"/>
      <c r="BC1298" s="57"/>
      <c r="BD1298" s="57"/>
      <c r="BE1298" s="57"/>
      <c r="BF1298" s="57"/>
    </row>
    <row r="1299" spans="1:58" s="59" customFormat="1" x14ac:dyDescent="0.25">
      <c r="A1299" s="53"/>
      <c r="B1299" s="60"/>
      <c r="C1299" s="57">
        <f t="shared" si="104"/>
        <v>0</v>
      </c>
      <c r="D1299" s="56"/>
      <c r="E1299" s="57">
        <f>[1]DETAY!$A$2</f>
        <v>0</v>
      </c>
      <c r="F1299" s="90">
        <f t="shared" si="105"/>
        <v>0</v>
      </c>
      <c r="G1299" s="92">
        <f t="shared" si="106"/>
        <v>0</v>
      </c>
      <c r="H1299" s="62" t="e">
        <f t="shared" si="107"/>
        <v>#DIV/0!</v>
      </c>
      <c r="I1299" s="57"/>
      <c r="J1299" s="57"/>
      <c r="K1299" s="57"/>
      <c r="L1299" s="57"/>
      <c r="M1299" s="58"/>
      <c r="N1299" s="57"/>
      <c r="O1299" s="57"/>
      <c r="P1299" s="57"/>
      <c r="Q1299" s="57"/>
      <c r="R1299" s="57"/>
      <c r="S1299" s="61"/>
      <c r="T1299" s="57"/>
      <c r="U1299" s="57"/>
      <c r="V1299" s="57"/>
      <c r="W1299" s="57"/>
      <c r="X1299" s="57"/>
      <c r="Y1299" s="57"/>
      <c r="Z1299" s="57"/>
      <c r="AA1299" s="57"/>
      <c r="AB1299" s="57"/>
      <c r="AC1299" s="57"/>
      <c r="AD1299" s="57"/>
      <c r="AE1299" s="57"/>
      <c r="AF1299" s="57"/>
      <c r="AG1299" s="57"/>
      <c r="AH1299" s="57"/>
      <c r="AI1299" s="57"/>
      <c r="AJ1299" s="57"/>
      <c r="AK1299" s="57"/>
      <c r="AL1299" s="57"/>
      <c r="AM1299" s="57"/>
      <c r="AN1299" s="57"/>
      <c r="AO1299" s="57"/>
      <c r="AP1299" s="57"/>
      <c r="AQ1299" s="57"/>
      <c r="AR1299" s="57"/>
      <c r="AS1299" s="57"/>
      <c r="AT1299" s="57"/>
      <c r="AU1299" s="57"/>
      <c r="AV1299" s="57"/>
      <c r="AW1299" s="57"/>
      <c r="AX1299" s="57"/>
      <c r="AY1299" s="57"/>
      <c r="AZ1299" s="57"/>
      <c r="BA1299" s="57"/>
      <c r="BB1299" s="57"/>
      <c r="BC1299" s="57"/>
      <c r="BD1299" s="57"/>
      <c r="BE1299" s="57"/>
      <c r="BF1299" s="57"/>
    </row>
    <row r="1300" spans="1:58" s="59" customFormat="1" x14ac:dyDescent="0.25">
      <c r="A1300" s="53"/>
      <c r="B1300" s="60"/>
      <c r="C1300" s="57">
        <f t="shared" si="104"/>
        <v>0</v>
      </c>
      <c r="D1300" s="56"/>
      <c r="E1300" s="57">
        <f>[1]DETAY!$A$2</f>
        <v>0</v>
      </c>
      <c r="F1300" s="90">
        <f t="shared" si="105"/>
        <v>0</v>
      </c>
      <c r="G1300" s="92">
        <f t="shared" si="106"/>
        <v>0</v>
      </c>
      <c r="H1300" s="62" t="e">
        <f t="shared" si="107"/>
        <v>#DIV/0!</v>
      </c>
      <c r="I1300" s="57"/>
      <c r="J1300" s="57"/>
      <c r="K1300" s="57"/>
      <c r="L1300" s="57"/>
      <c r="M1300" s="58"/>
      <c r="N1300" s="57"/>
      <c r="O1300" s="57"/>
      <c r="P1300" s="57"/>
      <c r="Q1300" s="57"/>
      <c r="R1300" s="57"/>
      <c r="S1300" s="61"/>
      <c r="T1300" s="57"/>
      <c r="U1300" s="57"/>
      <c r="V1300" s="57"/>
      <c r="W1300" s="57"/>
      <c r="X1300" s="57"/>
      <c r="Y1300" s="57"/>
      <c r="Z1300" s="57"/>
      <c r="AA1300" s="57"/>
      <c r="AB1300" s="57"/>
      <c r="AC1300" s="57"/>
      <c r="AD1300" s="57"/>
      <c r="AE1300" s="57"/>
      <c r="AF1300" s="57"/>
      <c r="AG1300" s="57"/>
      <c r="AH1300" s="57"/>
      <c r="AI1300" s="57"/>
      <c r="AJ1300" s="57"/>
      <c r="AK1300" s="57"/>
      <c r="AL1300" s="57"/>
      <c r="AM1300" s="57"/>
      <c r="AN1300" s="57"/>
      <c r="AO1300" s="57"/>
      <c r="AP1300" s="57"/>
      <c r="AQ1300" s="57"/>
      <c r="AR1300" s="57"/>
      <c r="AS1300" s="57"/>
      <c r="AT1300" s="57"/>
      <c r="AU1300" s="57"/>
      <c r="AV1300" s="57"/>
      <c r="AW1300" s="57"/>
      <c r="AX1300" s="57"/>
      <c r="AY1300" s="57"/>
      <c r="AZ1300" s="57"/>
      <c r="BA1300" s="57"/>
      <c r="BB1300" s="57"/>
      <c r="BC1300" s="57"/>
      <c r="BD1300" s="57"/>
      <c r="BE1300" s="57"/>
      <c r="BF1300" s="57"/>
    </row>
    <row r="1301" spans="1:58" s="59" customFormat="1" x14ac:dyDescent="0.25">
      <c r="A1301" s="53"/>
      <c r="B1301" s="60"/>
      <c r="C1301" s="57">
        <f t="shared" si="104"/>
        <v>0</v>
      </c>
      <c r="D1301" s="56"/>
      <c r="E1301" s="57">
        <f>[1]DETAY!$A$2</f>
        <v>0</v>
      </c>
      <c r="F1301" s="90">
        <f t="shared" si="105"/>
        <v>0</v>
      </c>
      <c r="G1301" s="92">
        <f t="shared" si="106"/>
        <v>0</v>
      </c>
      <c r="H1301" s="62" t="e">
        <f t="shared" si="107"/>
        <v>#DIV/0!</v>
      </c>
      <c r="I1301" s="57"/>
      <c r="J1301" s="57"/>
      <c r="K1301" s="57"/>
      <c r="L1301" s="57"/>
      <c r="M1301" s="58"/>
      <c r="N1301" s="57"/>
      <c r="O1301" s="57"/>
      <c r="P1301" s="57"/>
      <c r="Q1301" s="57"/>
      <c r="R1301" s="57"/>
      <c r="S1301" s="61"/>
      <c r="T1301" s="57"/>
      <c r="U1301" s="57"/>
      <c r="V1301" s="57"/>
      <c r="W1301" s="57"/>
      <c r="X1301" s="57"/>
      <c r="Y1301" s="57"/>
      <c r="Z1301" s="57"/>
      <c r="AA1301" s="57"/>
      <c r="AB1301" s="57"/>
      <c r="AC1301" s="57"/>
      <c r="AD1301" s="57"/>
      <c r="AE1301" s="57"/>
      <c r="AF1301" s="57"/>
      <c r="AG1301" s="57"/>
      <c r="AH1301" s="57"/>
      <c r="AI1301" s="57"/>
      <c r="AJ1301" s="57"/>
      <c r="AK1301" s="57"/>
      <c r="AL1301" s="57"/>
      <c r="AM1301" s="57"/>
      <c r="AN1301" s="57"/>
      <c r="AO1301" s="57"/>
      <c r="AP1301" s="57"/>
      <c r="AQ1301" s="57"/>
      <c r="AR1301" s="57"/>
      <c r="AS1301" s="57"/>
      <c r="AT1301" s="57"/>
      <c r="AU1301" s="57"/>
      <c r="AV1301" s="57"/>
      <c r="AW1301" s="57"/>
      <c r="AX1301" s="57"/>
      <c r="AY1301" s="57"/>
      <c r="AZ1301" s="57"/>
      <c r="BA1301" s="57"/>
      <c r="BB1301" s="57"/>
      <c r="BC1301" s="57"/>
      <c r="BD1301" s="57"/>
      <c r="BE1301" s="57"/>
      <c r="BF1301" s="57"/>
    </row>
    <row r="1302" spans="1:58" s="59" customFormat="1" x14ac:dyDescent="0.25">
      <c r="A1302" s="53"/>
      <c r="B1302" s="60"/>
      <c r="C1302" s="57">
        <f t="shared" si="104"/>
        <v>0</v>
      </c>
      <c r="D1302" s="56"/>
      <c r="E1302" s="57">
        <f>[1]DETAY!$A$2</f>
        <v>0</v>
      </c>
      <c r="F1302" s="90">
        <f t="shared" si="105"/>
        <v>0</v>
      </c>
      <c r="G1302" s="92">
        <f t="shared" si="106"/>
        <v>0</v>
      </c>
      <c r="H1302" s="62" t="e">
        <f t="shared" si="107"/>
        <v>#DIV/0!</v>
      </c>
      <c r="I1302" s="57"/>
      <c r="J1302" s="57"/>
      <c r="K1302" s="57"/>
      <c r="L1302" s="57"/>
      <c r="M1302" s="58"/>
      <c r="N1302" s="57"/>
      <c r="O1302" s="57"/>
      <c r="P1302" s="57"/>
      <c r="Q1302" s="57"/>
      <c r="R1302" s="57"/>
      <c r="S1302" s="61"/>
      <c r="T1302" s="57"/>
      <c r="U1302" s="57"/>
      <c r="V1302" s="57"/>
      <c r="W1302" s="57"/>
      <c r="X1302" s="57"/>
      <c r="Y1302" s="57"/>
      <c r="Z1302" s="57"/>
      <c r="AA1302" s="57"/>
      <c r="AB1302" s="57"/>
      <c r="AC1302" s="57"/>
      <c r="AD1302" s="57"/>
      <c r="AE1302" s="57"/>
      <c r="AF1302" s="57"/>
      <c r="AG1302" s="57"/>
      <c r="AH1302" s="57"/>
      <c r="AI1302" s="57"/>
      <c r="AJ1302" s="57"/>
      <c r="AK1302" s="57"/>
      <c r="AL1302" s="57"/>
      <c r="AM1302" s="57"/>
      <c r="AN1302" s="57"/>
      <c r="AO1302" s="57"/>
      <c r="AP1302" s="57"/>
      <c r="AQ1302" s="57"/>
      <c r="AR1302" s="57"/>
      <c r="AS1302" s="57"/>
      <c r="AT1302" s="57"/>
      <c r="AU1302" s="57"/>
      <c r="AV1302" s="57"/>
      <c r="AW1302" s="57"/>
      <c r="AX1302" s="57"/>
      <c r="AY1302" s="57"/>
      <c r="AZ1302" s="57"/>
      <c r="BA1302" s="57"/>
      <c r="BB1302" s="57"/>
      <c r="BC1302" s="57"/>
      <c r="BD1302" s="57"/>
      <c r="BE1302" s="57"/>
      <c r="BF1302" s="57"/>
    </row>
    <row r="1303" spans="1:58" s="59" customFormat="1" x14ac:dyDescent="0.25">
      <c r="A1303" s="53"/>
      <c r="B1303" s="60"/>
      <c r="C1303" s="57">
        <f t="shared" si="104"/>
        <v>0</v>
      </c>
      <c r="D1303" s="56"/>
      <c r="E1303" s="57">
        <f>[1]DETAY!$A$2</f>
        <v>0</v>
      </c>
      <c r="F1303" s="90">
        <f t="shared" si="105"/>
        <v>0</v>
      </c>
      <c r="G1303" s="92">
        <f t="shared" si="106"/>
        <v>0</v>
      </c>
      <c r="H1303" s="62" t="e">
        <f t="shared" si="107"/>
        <v>#DIV/0!</v>
      </c>
      <c r="I1303" s="57"/>
      <c r="J1303" s="57"/>
      <c r="K1303" s="57"/>
      <c r="L1303" s="57"/>
      <c r="M1303" s="58"/>
      <c r="N1303" s="57"/>
      <c r="O1303" s="57"/>
      <c r="P1303" s="57"/>
      <c r="Q1303" s="57"/>
      <c r="R1303" s="57"/>
      <c r="S1303" s="61"/>
      <c r="T1303" s="57"/>
      <c r="U1303" s="57"/>
      <c r="V1303" s="57"/>
      <c r="W1303" s="57"/>
      <c r="X1303" s="57"/>
      <c r="Y1303" s="57"/>
      <c r="Z1303" s="57"/>
      <c r="AA1303" s="57"/>
      <c r="AB1303" s="57"/>
      <c r="AC1303" s="57"/>
      <c r="AD1303" s="57"/>
      <c r="AE1303" s="57"/>
      <c r="AF1303" s="57"/>
      <c r="AG1303" s="57"/>
      <c r="AH1303" s="57"/>
      <c r="AI1303" s="57"/>
      <c r="AJ1303" s="57"/>
      <c r="AK1303" s="57"/>
      <c r="AL1303" s="57"/>
      <c r="AM1303" s="57"/>
      <c r="AN1303" s="57"/>
      <c r="AO1303" s="57"/>
      <c r="AP1303" s="57"/>
      <c r="AQ1303" s="57"/>
      <c r="AR1303" s="57"/>
      <c r="AS1303" s="57"/>
      <c r="AT1303" s="57"/>
      <c r="AU1303" s="57"/>
      <c r="AV1303" s="57"/>
      <c r="AW1303" s="57"/>
      <c r="AX1303" s="57"/>
      <c r="AY1303" s="57"/>
      <c r="AZ1303" s="57"/>
      <c r="BA1303" s="57"/>
      <c r="BB1303" s="57"/>
      <c r="BC1303" s="57"/>
      <c r="BD1303" s="57"/>
      <c r="BE1303" s="57"/>
      <c r="BF1303" s="57"/>
    </row>
    <row r="1304" spans="1:58" s="59" customFormat="1" x14ac:dyDescent="0.25">
      <c r="A1304" s="53"/>
      <c r="B1304" s="60"/>
      <c r="C1304" s="57">
        <f t="shared" si="104"/>
        <v>0</v>
      </c>
      <c r="D1304" s="56"/>
      <c r="E1304" s="57">
        <f>[1]DETAY!$A$2</f>
        <v>0</v>
      </c>
      <c r="F1304" s="90">
        <f t="shared" si="105"/>
        <v>0</v>
      </c>
      <c r="G1304" s="92">
        <f t="shared" si="106"/>
        <v>0</v>
      </c>
      <c r="H1304" s="62" t="e">
        <f t="shared" si="107"/>
        <v>#DIV/0!</v>
      </c>
      <c r="I1304" s="57"/>
      <c r="J1304" s="57"/>
      <c r="K1304" s="57"/>
      <c r="L1304" s="57"/>
      <c r="M1304" s="58"/>
      <c r="N1304" s="57"/>
      <c r="O1304" s="57"/>
      <c r="P1304" s="57"/>
      <c r="Q1304" s="57"/>
      <c r="R1304" s="57"/>
      <c r="S1304" s="61"/>
      <c r="T1304" s="57"/>
      <c r="U1304" s="57"/>
      <c r="V1304" s="57"/>
      <c r="W1304" s="57"/>
      <c r="X1304" s="57"/>
      <c r="Y1304" s="57"/>
      <c r="Z1304" s="57"/>
      <c r="AA1304" s="57"/>
      <c r="AB1304" s="57"/>
      <c r="AC1304" s="57"/>
      <c r="AD1304" s="57"/>
      <c r="AE1304" s="57"/>
      <c r="AF1304" s="57"/>
      <c r="AG1304" s="57"/>
      <c r="AH1304" s="57"/>
      <c r="AI1304" s="57"/>
      <c r="AJ1304" s="57"/>
      <c r="AK1304" s="57"/>
      <c r="AL1304" s="57"/>
      <c r="AM1304" s="57"/>
      <c r="AN1304" s="57"/>
      <c r="AO1304" s="57"/>
      <c r="AP1304" s="57"/>
      <c r="AQ1304" s="57"/>
      <c r="AR1304" s="57"/>
      <c r="AS1304" s="57"/>
      <c r="AT1304" s="57"/>
      <c r="AU1304" s="57"/>
      <c r="AV1304" s="57"/>
      <c r="AW1304" s="57"/>
      <c r="AX1304" s="57"/>
      <c r="AY1304" s="57"/>
      <c r="AZ1304" s="57"/>
      <c r="BA1304" s="57"/>
      <c r="BB1304" s="57"/>
      <c r="BC1304" s="57"/>
      <c r="BD1304" s="57"/>
      <c r="BE1304" s="57"/>
      <c r="BF1304" s="57"/>
    </row>
    <row r="1305" spans="1:58" s="59" customFormat="1" x14ac:dyDescent="0.25">
      <c r="A1305" s="53"/>
      <c r="B1305" s="60"/>
      <c r="C1305" s="57">
        <f t="shared" si="104"/>
        <v>0</v>
      </c>
      <c r="D1305" s="56"/>
      <c r="E1305" s="57">
        <f>[1]DETAY!$A$2</f>
        <v>0</v>
      </c>
      <c r="F1305" s="90">
        <f t="shared" si="105"/>
        <v>0</v>
      </c>
      <c r="G1305" s="92">
        <f t="shared" si="106"/>
        <v>0</v>
      </c>
      <c r="H1305" s="62" t="e">
        <f t="shared" si="107"/>
        <v>#DIV/0!</v>
      </c>
      <c r="I1305" s="57"/>
      <c r="J1305" s="57"/>
      <c r="K1305" s="57"/>
      <c r="L1305" s="57"/>
      <c r="M1305" s="58"/>
      <c r="N1305" s="57"/>
      <c r="O1305" s="57"/>
      <c r="P1305" s="57"/>
      <c r="Q1305" s="57"/>
      <c r="R1305" s="57"/>
      <c r="S1305" s="61"/>
      <c r="T1305" s="57"/>
      <c r="U1305" s="57"/>
      <c r="V1305" s="57"/>
      <c r="W1305" s="57"/>
      <c r="X1305" s="57"/>
      <c r="Y1305" s="57"/>
      <c r="Z1305" s="57"/>
      <c r="AA1305" s="57"/>
      <c r="AB1305" s="57"/>
      <c r="AC1305" s="57"/>
      <c r="AD1305" s="57"/>
      <c r="AE1305" s="57"/>
      <c r="AF1305" s="57"/>
      <c r="AG1305" s="57"/>
      <c r="AH1305" s="57"/>
      <c r="AI1305" s="57"/>
      <c r="AJ1305" s="57"/>
      <c r="AK1305" s="57"/>
      <c r="AL1305" s="57"/>
      <c r="AM1305" s="57"/>
      <c r="AN1305" s="57"/>
      <c r="AO1305" s="57"/>
      <c r="AP1305" s="57"/>
      <c r="AQ1305" s="57"/>
      <c r="AR1305" s="57"/>
      <c r="AS1305" s="57"/>
      <c r="AT1305" s="57"/>
      <c r="AU1305" s="57"/>
      <c r="AV1305" s="57"/>
      <c r="AW1305" s="57"/>
      <c r="AX1305" s="57"/>
      <c r="AY1305" s="57"/>
      <c r="AZ1305" s="57"/>
      <c r="BA1305" s="57"/>
      <c r="BB1305" s="57"/>
      <c r="BC1305" s="57"/>
      <c r="BD1305" s="57"/>
      <c r="BE1305" s="57"/>
      <c r="BF1305" s="57"/>
    </row>
    <row r="1306" spans="1:58" s="59" customFormat="1" x14ac:dyDescent="0.25">
      <c r="A1306" s="53"/>
      <c r="B1306" s="60"/>
      <c r="C1306" s="57">
        <f t="shared" si="104"/>
        <v>0</v>
      </c>
      <c r="D1306" s="56"/>
      <c r="E1306" s="57">
        <f>[1]DETAY!$A$2</f>
        <v>0</v>
      </c>
      <c r="F1306" s="90">
        <f t="shared" si="105"/>
        <v>0</v>
      </c>
      <c r="G1306" s="92">
        <f t="shared" si="106"/>
        <v>0</v>
      </c>
      <c r="H1306" s="62" t="e">
        <f t="shared" si="107"/>
        <v>#DIV/0!</v>
      </c>
      <c r="I1306" s="57"/>
      <c r="J1306" s="57"/>
      <c r="K1306" s="57"/>
      <c r="L1306" s="57"/>
      <c r="M1306" s="58"/>
      <c r="N1306" s="57"/>
      <c r="O1306" s="57"/>
      <c r="P1306" s="57"/>
      <c r="Q1306" s="57"/>
      <c r="R1306" s="57"/>
      <c r="S1306" s="61"/>
      <c r="T1306" s="57"/>
      <c r="U1306" s="57"/>
      <c r="V1306" s="57"/>
      <c r="W1306" s="57"/>
      <c r="X1306" s="57"/>
      <c r="Y1306" s="57"/>
      <c r="Z1306" s="57"/>
      <c r="AA1306" s="57"/>
      <c r="AB1306" s="57"/>
      <c r="AC1306" s="57"/>
      <c r="AD1306" s="57"/>
      <c r="AE1306" s="57"/>
      <c r="AF1306" s="57"/>
      <c r="AG1306" s="57"/>
      <c r="AH1306" s="57"/>
      <c r="AI1306" s="57"/>
      <c r="AJ1306" s="57"/>
      <c r="AK1306" s="57"/>
      <c r="AL1306" s="57"/>
      <c r="AM1306" s="57"/>
      <c r="AN1306" s="57"/>
      <c r="AO1306" s="57"/>
      <c r="AP1306" s="57"/>
      <c r="AQ1306" s="57"/>
      <c r="AR1306" s="57"/>
      <c r="AS1306" s="57"/>
      <c r="AT1306" s="57"/>
      <c r="AU1306" s="57"/>
      <c r="AV1306" s="57"/>
      <c r="AW1306" s="57"/>
      <c r="AX1306" s="57"/>
      <c r="AY1306" s="57"/>
      <c r="AZ1306" s="57"/>
      <c r="BA1306" s="57"/>
      <c r="BB1306" s="57"/>
      <c r="BC1306" s="57"/>
      <c r="BD1306" s="57"/>
      <c r="BE1306" s="57"/>
      <c r="BF1306" s="57"/>
    </row>
    <row r="1307" spans="1:58" s="59" customFormat="1" x14ac:dyDescent="0.25">
      <c r="A1307" s="53"/>
      <c r="B1307" s="60"/>
      <c r="C1307" s="57">
        <f t="shared" si="104"/>
        <v>0</v>
      </c>
      <c r="D1307" s="56"/>
      <c r="E1307" s="57">
        <f>[1]DETAY!$A$2</f>
        <v>0</v>
      </c>
      <c r="F1307" s="90">
        <f t="shared" si="105"/>
        <v>0</v>
      </c>
      <c r="G1307" s="92">
        <f t="shared" si="106"/>
        <v>0</v>
      </c>
      <c r="H1307" s="62" t="e">
        <f t="shared" si="107"/>
        <v>#DIV/0!</v>
      </c>
      <c r="I1307" s="57"/>
      <c r="J1307" s="57"/>
      <c r="K1307" s="57"/>
      <c r="L1307" s="57"/>
      <c r="M1307" s="58"/>
      <c r="N1307" s="57"/>
      <c r="O1307" s="57"/>
      <c r="P1307" s="57"/>
      <c r="Q1307" s="57"/>
      <c r="R1307" s="57"/>
      <c r="S1307" s="61"/>
      <c r="T1307" s="57"/>
      <c r="U1307" s="57"/>
      <c r="V1307" s="57"/>
      <c r="W1307" s="57"/>
      <c r="X1307" s="57"/>
      <c r="Y1307" s="57"/>
      <c r="Z1307" s="57"/>
      <c r="AA1307" s="57"/>
      <c r="AB1307" s="57"/>
      <c r="AC1307" s="57"/>
      <c r="AD1307" s="57"/>
      <c r="AE1307" s="57"/>
      <c r="AF1307" s="57"/>
      <c r="AG1307" s="57"/>
      <c r="AH1307" s="57"/>
      <c r="AI1307" s="57"/>
      <c r="AJ1307" s="57"/>
      <c r="AK1307" s="57"/>
      <c r="AL1307" s="57"/>
      <c r="AM1307" s="57"/>
      <c r="AN1307" s="57"/>
      <c r="AO1307" s="57"/>
      <c r="AP1307" s="57"/>
      <c r="AQ1307" s="57"/>
      <c r="AR1307" s="57"/>
      <c r="AS1307" s="57"/>
      <c r="AT1307" s="57"/>
      <c r="AU1307" s="57"/>
      <c r="AV1307" s="57"/>
      <c r="AW1307" s="57"/>
      <c r="AX1307" s="57"/>
      <c r="AY1307" s="57"/>
      <c r="AZ1307" s="57"/>
      <c r="BA1307" s="57"/>
      <c r="BB1307" s="57"/>
      <c r="BC1307" s="57"/>
      <c r="BD1307" s="57"/>
      <c r="BE1307" s="57"/>
      <c r="BF1307" s="57"/>
    </row>
    <row r="1308" spans="1:58" s="59" customFormat="1" x14ac:dyDescent="0.25">
      <c r="A1308" s="53"/>
      <c r="B1308" s="60"/>
      <c r="C1308" s="57">
        <f t="shared" si="104"/>
        <v>0</v>
      </c>
      <c r="D1308" s="56"/>
      <c r="E1308" s="57">
        <f>[1]DETAY!$A$2</f>
        <v>0</v>
      </c>
      <c r="F1308" s="90">
        <f t="shared" si="105"/>
        <v>0</v>
      </c>
      <c r="G1308" s="92">
        <f t="shared" si="106"/>
        <v>0</v>
      </c>
      <c r="H1308" s="62" t="e">
        <f t="shared" si="107"/>
        <v>#DIV/0!</v>
      </c>
      <c r="I1308" s="57"/>
      <c r="J1308" s="57"/>
      <c r="K1308" s="57"/>
      <c r="L1308" s="57"/>
      <c r="M1308" s="58"/>
      <c r="N1308" s="57"/>
      <c r="O1308" s="57"/>
      <c r="P1308" s="57"/>
      <c r="Q1308" s="57"/>
      <c r="R1308" s="57"/>
      <c r="S1308" s="61"/>
      <c r="T1308" s="57"/>
      <c r="U1308" s="57"/>
      <c r="V1308" s="57"/>
      <c r="W1308" s="57"/>
      <c r="X1308" s="57"/>
      <c r="Y1308" s="57"/>
      <c r="Z1308" s="57"/>
      <c r="AA1308" s="57"/>
      <c r="AB1308" s="57"/>
      <c r="AC1308" s="57"/>
      <c r="AD1308" s="57"/>
      <c r="AE1308" s="57"/>
      <c r="AF1308" s="57"/>
      <c r="AG1308" s="57"/>
      <c r="AH1308" s="57"/>
      <c r="AI1308" s="57"/>
      <c r="AJ1308" s="57"/>
      <c r="AK1308" s="57"/>
      <c r="AL1308" s="57"/>
      <c r="AM1308" s="57"/>
      <c r="AN1308" s="57"/>
      <c r="AO1308" s="57"/>
      <c r="AP1308" s="57"/>
      <c r="AQ1308" s="57"/>
      <c r="AR1308" s="57"/>
      <c r="AS1308" s="57"/>
      <c r="AT1308" s="57"/>
      <c r="AU1308" s="57"/>
      <c r="AV1308" s="57"/>
      <c r="AW1308" s="57"/>
      <c r="AX1308" s="57"/>
      <c r="AY1308" s="57"/>
      <c r="AZ1308" s="57"/>
      <c r="BA1308" s="57"/>
      <c r="BB1308" s="57"/>
      <c r="BC1308" s="57"/>
      <c r="BD1308" s="57"/>
      <c r="BE1308" s="57"/>
      <c r="BF1308" s="57"/>
    </row>
    <row r="1309" spans="1:58" s="59" customFormat="1" x14ac:dyDescent="0.25">
      <c r="A1309" s="53"/>
      <c r="B1309" s="60"/>
      <c r="C1309" s="57">
        <f t="shared" si="104"/>
        <v>0</v>
      </c>
      <c r="D1309" s="56"/>
      <c r="E1309" s="57">
        <f>[1]DETAY!$A$2</f>
        <v>0</v>
      </c>
      <c r="F1309" s="90">
        <f t="shared" si="105"/>
        <v>0</v>
      </c>
      <c r="G1309" s="92">
        <f t="shared" si="106"/>
        <v>0</v>
      </c>
      <c r="H1309" s="62" t="e">
        <f t="shared" si="107"/>
        <v>#DIV/0!</v>
      </c>
      <c r="I1309" s="57"/>
      <c r="J1309" s="57"/>
      <c r="K1309" s="57"/>
      <c r="L1309" s="57"/>
      <c r="M1309" s="58"/>
      <c r="N1309" s="57"/>
      <c r="O1309" s="57"/>
      <c r="P1309" s="57"/>
      <c r="Q1309" s="57"/>
      <c r="R1309" s="57"/>
      <c r="S1309" s="61"/>
      <c r="T1309" s="57"/>
      <c r="U1309" s="57"/>
      <c r="V1309" s="57"/>
      <c r="W1309" s="57"/>
      <c r="X1309" s="57"/>
      <c r="Y1309" s="57"/>
      <c r="Z1309" s="57"/>
      <c r="AA1309" s="57"/>
      <c r="AB1309" s="57"/>
      <c r="AC1309" s="57"/>
      <c r="AD1309" s="57"/>
      <c r="AE1309" s="57"/>
      <c r="AF1309" s="57"/>
      <c r="AG1309" s="57"/>
      <c r="AH1309" s="57"/>
      <c r="AI1309" s="57"/>
      <c r="AJ1309" s="57"/>
      <c r="AK1309" s="57"/>
      <c r="AL1309" s="57"/>
      <c r="AM1309" s="57"/>
      <c r="AN1309" s="57"/>
      <c r="AO1309" s="57"/>
      <c r="AP1309" s="57"/>
      <c r="AQ1309" s="57"/>
      <c r="AR1309" s="57"/>
      <c r="AS1309" s="57"/>
      <c r="AT1309" s="57"/>
      <c r="AU1309" s="57"/>
      <c r="AV1309" s="57"/>
      <c r="AW1309" s="57"/>
      <c r="AX1309" s="57"/>
      <c r="AY1309" s="57"/>
      <c r="AZ1309" s="57"/>
      <c r="BA1309" s="57"/>
      <c r="BB1309" s="57"/>
      <c r="BC1309" s="57"/>
      <c r="BD1309" s="57"/>
      <c r="BE1309" s="57"/>
      <c r="BF1309" s="57"/>
    </row>
    <row r="1310" spans="1:58" s="59" customFormat="1" x14ac:dyDescent="0.25">
      <c r="A1310" s="53"/>
      <c r="B1310" s="60"/>
      <c r="C1310" s="57">
        <f t="shared" si="104"/>
        <v>0</v>
      </c>
      <c r="D1310" s="56"/>
      <c r="E1310" s="57">
        <f>[1]DETAY!$A$2</f>
        <v>0</v>
      </c>
      <c r="F1310" s="90">
        <f t="shared" si="105"/>
        <v>0</v>
      </c>
      <c r="G1310" s="92">
        <f t="shared" si="106"/>
        <v>0</v>
      </c>
      <c r="H1310" s="62" t="e">
        <f t="shared" si="107"/>
        <v>#DIV/0!</v>
      </c>
      <c r="I1310" s="57"/>
      <c r="J1310" s="57"/>
      <c r="K1310" s="57"/>
      <c r="L1310" s="57"/>
      <c r="M1310" s="58"/>
      <c r="N1310" s="57"/>
      <c r="O1310" s="57"/>
      <c r="P1310" s="57"/>
      <c r="Q1310" s="57"/>
      <c r="R1310" s="57"/>
      <c r="S1310" s="61"/>
      <c r="T1310" s="57"/>
      <c r="U1310" s="57"/>
      <c r="V1310" s="57"/>
      <c r="W1310" s="57"/>
      <c r="X1310" s="57"/>
      <c r="Y1310" s="57"/>
      <c r="Z1310" s="57"/>
      <c r="AA1310" s="57"/>
      <c r="AB1310" s="57"/>
      <c r="AC1310" s="57"/>
      <c r="AD1310" s="57"/>
      <c r="AE1310" s="57"/>
      <c r="AF1310" s="57"/>
      <c r="AG1310" s="57"/>
      <c r="AH1310" s="57"/>
      <c r="AI1310" s="57"/>
      <c r="AJ1310" s="57"/>
      <c r="AK1310" s="57"/>
      <c r="AL1310" s="57"/>
      <c r="AM1310" s="57"/>
      <c r="AN1310" s="57"/>
      <c r="AO1310" s="57"/>
      <c r="AP1310" s="57"/>
      <c r="AQ1310" s="57"/>
      <c r="AR1310" s="57"/>
      <c r="AS1310" s="57"/>
      <c r="AT1310" s="57"/>
      <c r="AU1310" s="57"/>
      <c r="AV1310" s="57"/>
      <c r="AW1310" s="57"/>
      <c r="AX1310" s="57"/>
      <c r="AY1310" s="57"/>
      <c r="AZ1310" s="57"/>
      <c r="BA1310" s="57"/>
      <c r="BB1310" s="57"/>
      <c r="BC1310" s="57"/>
      <c r="BD1310" s="57"/>
      <c r="BE1310" s="57"/>
      <c r="BF1310" s="57"/>
    </row>
    <row r="1311" spans="1:58" s="59" customFormat="1" x14ac:dyDescent="0.25">
      <c r="A1311" s="53"/>
      <c r="B1311" s="60"/>
      <c r="C1311" s="57">
        <f t="shared" si="104"/>
        <v>0</v>
      </c>
      <c r="D1311" s="56"/>
      <c r="E1311" s="57">
        <f>[1]DETAY!$A$2</f>
        <v>0</v>
      </c>
      <c r="F1311" s="90">
        <f t="shared" si="105"/>
        <v>0</v>
      </c>
      <c r="G1311" s="92">
        <f t="shared" si="106"/>
        <v>0</v>
      </c>
      <c r="H1311" s="62" t="e">
        <f t="shared" si="107"/>
        <v>#DIV/0!</v>
      </c>
      <c r="I1311" s="57"/>
      <c r="J1311" s="57"/>
      <c r="K1311" s="57"/>
      <c r="L1311" s="57"/>
      <c r="M1311" s="58"/>
      <c r="N1311" s="57"/>
      <c r="O1311" s="57"/>
      <c r="P1311" s="57"/>
      <c r="Q1311" s="57"/>
      <c r="R1311" s="57"/>
      <c r="S1311" s="61"/>
      <c r="T1311" s="57"/>
      <c r="U1311" s="57"/>
      <c r="V1311" s="57"/>
      <c r="W1311" s="57"/>
      <c r="X1311" s="57"/>
      <c r="Y1311" s="57"/>
      <c r="Z1311" s="57"/>
      <c r="AA1311" s="57"/>
      <c r="AB1311" s="57"/>
      <c r="AC1311" s="57"/>
      <c r="AD1311" s="57"/>
      <c r="AE1311" s="57"/>
      <c r="AF1311" s="57"/>
      <c r="AG1311" s="57"/>
      <c r="AH1311" s="57"/>
      <c r="AI1311" s="57"/>
      <c r="AJ1311" s="57"/>
      <c r="AK1311" s="57"/>
      <c r="AL1311" s="57"/>
      <c r="AM1311" s="57"/>
      <c r="AN1311" s="57"/>
      <c r="AO1311" s="57"/>
      <c r="AP1311" s="57"/>
      <c r="AQ1311" s="57"/>
      <c r="AR1311" s="57"/>
      <c r="AS1311" s="57"/>
      <c r="AT1311" s="57"/>
      <c r="AU1311" s="57"/>
      <c r="AV1311" s="57"/>
      <c r="AW1311" s="57"/>
      <c r="AX1311" s="57"/>
      <c r="AY1311" s="57"/>
      <c r="AZ1311" s="57"/>
      <c r="BA1311" s="57"/>
      <c r="BB1311" s="57"/>
      <c r="BC1311" s="57"/>
      <c r="BD1311" s="57"/>
      <c r="BE1311" s="57"/>
      <c r="BF1311" s="57"/>
    </row>
    <row r="1312" spans="1:58" s="59" customFormat="1" x14ac:dyDescent="0.25">
      <c r="A1312" s="53"/>
      <c r="B1312" s="60"/>
      <c r="C1312" s="57">
        <f t="shared" si="104"/>
        <v>0</v>
      </c>
      <c r="D1312" s="56"/>
      <c r="E1312" s="57">
        <f>[1]DETAY!$A$2</f>
        <v>0</v>
      </c>
      <c r="F1312" s="90">
        <f t="shared" si="105"/>
        <v>0</v>
      </c>
      <c r="G1312" s="92">
        <f t="shared" si="106"/>
        <v>0</v>
      </c>
      <c r="H1312" s="62" t="e">
        <f t="shared" si="107"/>
        <v>#DIV/0!</v>
      </c>
      <c r="I1312" s="57"/>
      <c r="J1312" s="57"/>
      <c r="K1312" s="57"/>
      <c r="L1312" s="57"/>
      <c r="M1312" s="58"/>
      <c r="N1312" s="57"/>
      <c r="O1312" s="57"/>
      <c r="P1312" s="57"/>
      <c r="Q1312" s="57"/>
      <c r="R1312" s="57"/>
      <c r="S1312" s="61"/>
      <c r="T1312" s="57"/>
      <c r="U1312" s="57"/>
      <c r="V1312" s="57"/>
      <c r="W1312" s="57"/>
      <c r="X1312" s="57"/>
      <c r="Y1312" s="57"/>
      <c r="Z1312" s="57"/>
      <c r="AA1312" s="57"/>
      <c r="AB1312" s="57"/>
      <c r="AC1312" s="57"/>
      <c r="AD1312" s="57"/>
      <c r="AE1312" s="57"/>
      <c r="AF1312" s="57"/>
      <c r="AG1312" s="57"/>
      <c r="AH1312" s="57"/>
      <c r="AI1312" s="57"/>
      <c r="AJ1312" s="57"/>
      <c r="AK1312" s="57"/>
      <c r="AL1312" s="57"/>
      <c r="AM1312" s="57"/>
      <c r="AN1312" s="57"/>
      <c r="AO1312" s="57"/>
      <c r="AP1312" s="57"/>
      <c r="AQ1312" s="57"/>
      <c r="AR1312" s="57"/>
      <c r="AS1312" s="57"/>
      <c r="AT1312" s="57"/>
      <c r="AU1312" s="57"/>
      <c r="AV1312" s="57"/>
      <c r="AW1312" s="57"/>
      <c r="AX1312" s="57"/>
      <c r="AY1312" s="57"/>
      <c r="AZ1312" s="57"/>
      <c r="BA1312" s="57"/>
      <c r="BB1312" s="57"/>
      <c r="BC1312" s="57"/>
      <c r="BD1312" s="57"/>
      <c r="BE1312" s="57"/>
      <c r="BF1312" s="57"/>
    </row>
    <row r="1313" spans="1:58" s="59" customFormat="1" x14ac:dyDescent="0.25">
      <c r="A1313" s="53"/>
      <c r="B1313" s="60"/>
      <c r="C1313" s="57">
        <f t="shared" si="104"/>
        <v>0</v>
      </c>
      <c r="D1313" s="56"/>
      <c r="E1313" s="57">
        <f>[1]DETAY!$A$2</f>
        <v>0</v>
      </c>
      <c r="F1313" s="90">
        <f t="shared" si="105"/>
        <v>0</v>
      </c>
      <c r="G1313" s="92">
        <f t="shared" si="106"/>
        <v>0</v>
      </c>
      <c r="H1313" s="62" t="e">
        <f t="shared" si="107"/>
        <v>#DIV/0!</v>
      </c>
      <c r="I1313" s="57"/>
      <c r="J1313" s="57"/>
      <c r="K1313" s="57"/>
      <c r="L1313" s="57"/>
      <c r="M1313" s="58"/>
      <c r="N1313" s="57"/>
      <c r="O1313" s="57"/>
      <c r="P1313" s="57"/>
      <c r="Q1313" s="57"/>
      <c r="R1313" s="57"/>
      <c r="S1313" s="61"/>
      <c r="T1313" s="57"/>
      <c r="U1313" s="57"/>
      <c r="V1313" s="57"/>
      <c r="W1313" s="57"/>
      <c r="X1313" s="57"/>
      <c r="Y1313" s="57"/>
      <c r="Z1313" s="57"/>
      <c r="AA1313" s="57"/>
      <c r="AB1313" s="57"/>
      <c r="AC1313" s="57"/>
      <c r="AD1313" s="57"/>
      <c r="AE1313" s="57"/>
      <c r="AF1313" s="57"/>
      <c r="AG1313" s="57"/>
      <c r="AH1313" s="57"/>
      <c r="AI1313" s="57"/>
      <c r="AJ1313" s="57"/>
      <c r="AK1313" s="57"/>
      <c r="AL1313" s="57"/>
      <c r="AM1313" s="57"/>
      <c r="AN1313" s="57"/>
      <c r="AO1313" s="57"/>
      <c r="AP1313" s="57"/>
      <c r="AQ1313" s="57"/>
      <c r="AR1313" s="57"/>
      <c r="AS1313" s="57"/>
      <c r="AT1313" s="57"/>
      <c r="AU1313" s="57"/>
      <c r="AV1313" s="57"/>
      <c r="AW1313" s="57"/>
      <c r="AX1313" s="57"/>
      <c r="AY1313" s="57"/>
      <c r="AZ1313" s="57"/>
      <c r="BA1313" s="57"/>
      <c r="BB1313" s="57"/>
      <c r="BC1313" s="57"/>
      <c r="BD1313" s="57"/>
      <c r="BE1313" s="57"/>
      <c r="BF1313" s="57"/>
    </row>
    <row r="1314" spans="1:58" s="59" customFormat="1" x14ac:dyDescent="0.25">
      <c r="A1314" s="53"/>
      <c r="B1314" s="60"/>
      <c r="C1314" s="57">
        <f t="shared" si="104"/>
        <v>0</v>
      </c>
      <c r="D1314" s="56"/>
      <c r="E1314" s="57">
        <f>[1]DETAY!$A$2</f>
        <v>0</v>
      </c>
      <c r="F1314" s="90">
        <f t="shared" si="105"/>
        <v>0</v>
      </c>
      <c r="G1314" s="92">
        <f t="shared" si="106"/>
        <v>0</v>
      </c>
      <c r="H1314" s="62" t="e">
        <f t="shared" si="107"/>
        <v>#DIV/0!</v>
      </c>
      <c r="I1314" s="57"/>
      <c r="J1314" s="57"/>
      <c r="K1314" s="57"/>
      <c r="L1314" s="57"/>
      <c r="M1314" s="58"/>
      <c r="N1314" s="57"/>
      <c r="O1314" s="57"/>
      <c r="P1314" s="57"/>
      <c r="Q1314" s="57"/>
      <c r="R1314" s="57"/>
      <c r="S1314" s="61"/>
      <c r="T1314" s="57"/>
      <c r="U1314" s="57"/>
      <c r="V1314" s="57"/>
      <c r="W1314" s="57"/>
      <c r="X1314" s="57"/>
      <c r="Y1314" s="57"/>
      <c r="Z1314" s="57"/>
      <c r="AA1314" s="57"/>
      <c r="AB1314" s="57"/>
      <c r="AC1314" s="57"/>
      <c r="AD1314" s="57"/>
      <c r="AE1314" s="57"/>
      <c r="AF1314" s="57"/>
      <c r="AG1314" s="57"/>
      <c r="AH1314" s="57"/>
      <c r="AI1314" s="57"/>
      <c r="AJ1314" s="57"/>
      <c r="AK1314" s="57"/>
      <c r="AL1314" s="57"/>
      <c r="AM1314" s="57"/>
      <c r="AN1314" s="57"/>
      <c r="AO1314" s="57"/>
      <c r="AP1314" s="57"/>
      <c r="AQ1314" s="57"/>
      <c r="AR1314" s="57"/>
      <c r="AS1314" s="57"/>
      <c r="AT1314" s="57"/>
      <c r="AU1314" s="57"/>
      <c r="AV1314" s="57"/>
      <c r="AW1314" s="57"/>
      <c r="AX1314" s="57"/>
      <c r="AY1314" s="57"/>
      <c r="AZ1314" s="57"/>
      <c r="BA1314" s="57"/>
      <c r="BB1314" s="57"/>
      <c r="BC1314" s="57"/>
      <c r="BD1314" s="57"/>
      <c r="BE1314" s="57"/>
      <c r="BF1314" s="57"/>
    </row>
    <row r="1315" spans="1:58" s="59" customFormat="1" x14ac:dyDescent="0.25">
      <c r="A1315" s="53"/>
      <c r="B1315" s="60"/>
      <c r="C1315" s="57">
        <f t="shared" si="104"/>
        <v>0</v>
      </c>
      <c r="D1315" s="56"/>
      <c r="E1315" s="57">
        <f>[1]DETAY!$A$2</f>
        <v>0</v>
      </c>
      <c r="F1315" s="90">
        <f t="shared" si="105"/>
        <v>0</v>
      </c>
      <c r="G1315" s="92">
        <f t="shared" si="106"/>
        <v>0</v>
      </c>
      <c r="H1315" s="62" t="e">
        <f t="shared" si="107"/>
        <v>#DIV/0!</v>
      </c>
      <c r="I1315" s="57"/>
      <c r="J1315" s="57"/>
      <c r="K1315" s="57"/>
      <c r="L1315" s="57"/>
      <c r="M1315" s="58"/>
      <c r="N1315" s="57"/>
      <c r="O1315" s="57"/>
      <c r="P1315" s="57"/>
      <c r="Q1315" s="57"/>
      <c r="R1315" s="57"/>
      <c r="S1315" s="61"/>
      <c r="T1315" s="57"/>
      <c r="U1315" s="57"/>
      <c r="V1315" s="57"/>
      <c r="W1315" s="57"/>
      <c r="X1315" s="57"/>
      <c r="Y1315" s="57"/>
      <c r="Z1315" s="57"/>
      <c r="AA1315" s="57"/>
      <c r="AB1315" s="57"/>
      <c r="AC1315" s="57"/>
      <c r="AD1315" s="57"/>
      <c r="AE1315" s="57"/>
      <c r="AF1315" s="57"/>
      <c r="AG1315" s="57"/>
      <c r="AH1315" s="57"/>
      <c r="AI1315" s="57"/>
      <c r="AJ1315" s="57"/>
      <c r="AK1315" s="57"/>
      <c r="AL1315" s="57"/>
      <c r="AM1315" s="57"/>
      <c r="AN1315" s="57"/>
      <c r="AO1315" s="57"/>
      <c r="AP1315" s="57"/>
      <c r="AQ1315" s="57"/>
      <c r="AR1315" s="57"/>
      <c r="AS1315" s="57"/>
      <c r="AT1315" s="57"/>
      <c r="AU1315" s="57"/>
      <c r="AV1315" s="57"/>
      <c r="AW1315" s="57"/>
      <c r="AX1315" s="57"/>
      <c r="AY1315" s="57"/>
      <c r="AZ1315" s="57"/>
      <c r="BA1315" s="57"/>
      <c r="BB1315" s="57"/>
      <c r="BC1315" s="57"/>
      <c r="BD1315" s="57"/>
      <c r="BE1315" s="57"/>
      <c r="BF1315" s="57"/>
    </row>
    <row r="1316" spans="1:58" s="59" customFormat="1" x14ac:dyDescent="0.25">
      <c r="A1316" s="53"/>
      <c r="B1316" s="60"/>
      <c r="C1316" s="57">
        <f t="shared" si="104"/>
        <v>0</v>
      </c>
      <c r="D1316" s="56"/>
      <c r="E1316" s="57">
        <f>[1]DETAY!$A$2</f>
        <v>0</v>
      </c>
      <c r="F1316" s="90">
        <f t="shared" si="105"/>
        <v>0</v>
      </c>
      <c r="G1316" s="92">
        <f t="shared" si="106"/>
        <v>0</v>
      </c>
      <c r="H1316" s="62" t="e">
        <f t="shared" si="107"/>
        <v>#DIV/0!</v>
      </c>
      <c r="I1316" s="57"/>
      <c r="J1316" s="57"/>
      <c r="K1316" s="57"/>
      <c r="L1316" s="57"/>
      <c r="M1316" s="58"/>
      <c r="N1316" s="57"/>
      <c r="O1316" s="57"/>
      <c r="P1316" s="57"/>
      <c r="Q1316" s="57"/>
      <c r="R1316" s="57"/>
      <c r="S1316" s="61"/>
      <c r="T1316" s="57"/>
      <c r="U1316" s="57"/>
      <c r="V1316" s="57"/>
      <c r="W1316" s="57"/>
      <c r="X1316" s="57"/>
      <c r="Y1316" s="57"/>
      <c r="Z1316" s="57"/>
      <c r="AA1316" s="57"/>
      <c r="AB1316" s="57"/>
      <c r="AC1316" s="57"/>
      <c r="AD1316" s="57"/>
      <c r="AE1316" s="57"/>
      <c r="AF1316" s="57"/>
      <c r="AG1316" s="57"/>
      <c r="AH1316" s="57"/>
      <c r="AI1316" s="57"/>
      <c r="AJ1316" s="57"/>
      <c r="AK1316" s="57"/>
      <c r="AL1316" s="57"/>
      <c r="AM1316" s="57"/>
      <c r="AN1316" s="57"/>
      <c r="AO1316" s="57"/>
      <c r="AP1316" s="57"/>
      <c r="AQ1316" s="57"/>
      <c r="AR1316" s="57"/>
      <c r="AS1316" s="57"/>
      <c r="AT1316" s="57"/>
      <c r="AU1316" s="57"/>
      <c r="AV1316" s="57"/>
      <c r="AW1316" s="57"/>
      <c r="AX1316" s="57"/>
      <c r="AY1316" s="57"/>
      <c r="AZ1316" s="57"/>
      <c r="BA1316" s="57"/>
      <c r="BB1316" s="57"/>
      <c r="BC1316" s="57"/>
      <c r="BD1316" s="57"/>
      <c r="BE1316" s="57"/>
      <c r="BF1316" s="57"/>
    </row>
    <row r="1317" spans="1:58" s="59" customFormat="1" x14ac:dyDescent="0.25">
      <c r="A1317" s="53"/>
      <c r="B1317" s="60"/>
      <c r="C1317" s="57">
        <f t="shared" si="104"/>
        <v>0</v>
      </c>
      <c r="D1317" s="56"/>
      <c r="E1317" s="57">
        <f>[1]DETAY!$A$2</f>
        <v>0</v>
      </c>
      <c r="F1317" s="90">
        <f t="shared" si="105"/>
        <v>0</v>
      </c>
      <c r="G1317" s="92">
        <f t="shared" si="106"/>
        <v>0</v>
      </c>
      <c r="H1317" s="62" t="e">
        <f t="shared" si="107"/>
        <v>#DIV/0!</v>
      </c>
      <c r="I1317" s="57"/>
      <c r="J1317" s="57"/>
      <c r="K1317" s="57"/>
      <c r="L1317" s="57"/>
      <c r="M1317" s="58"/>
      <c r="N1317" s="57"/>
      <c r="O1317" s="57"/>
      <c r="P1317" s="57"/>
      <c r="Q1317" s="57"/>
      <c r="R1317" s="57"/>
      <c r="S1317" s="61"/>
      <c r="T1317" s="57"/>
      <c r="U1317" s="57"/>
      <c r="V1317" s="57"/>
      <c r="W1317" s="57"/>
      <c r="X1317" s="57"/>
      <c r="Y1317" s="57"/>
      <c r="Z1317" s="57"/>
      <c r="AA1317" s="57"/>
      <c r="AB1317" s="57"/>
      <c r="AC1317" s="57"/>
      <c r="AD1317" s="57"/>
      <c r="AE1317" s="57"/>
      <c r="AF1317" s="57"/>
      <c r="AG1317" s="57"/>
      <c r="AH1317" s="57"/>
      <c r="AI1317" s="57"/>
      <c r="AJ1317" s="57"/>
      <c r="AK1317" s="57"/>
      <c r="AL1317" s="57"/>
      <c r="AM1317" s="57"/>
      <c r="AN1317" s="57"/>
      <c r="AO1317" s="57"/>
      <c r="AP1317" s="57"/>
      <c r="AQ1317" s="57"/>
      <c r="AR1317" s="57"/>
      <c r="AS1317" s="57"/>
      <c r="AT1317" s="57"/>
      <c r="AU1317" s="57"/>
      <c r="AV1317" s="57"/>
      <c r="AW1317" s="57"/>
      <c r="AX1317" s="57"/>
      <c r="AY1317" s="57"/>
      <c r="AZ1317" s="57"/>
      <c r="BA1317" s="57"/>
      <c r="BB1317" s="57"/>
      <c r="BC1317" s="57"/>
      <c r="BD1317" s="57"/>
      <c r="BE1317" s="57"/>
      <c r="BF1317" s="57"/>
    </row>
    <row r="1318" spans="1:58" s="59" customFormat="1" x14ac:dyDescent="0.25">
      <c r="A1318" s="53"/>
      <c r="B1318" s="60"/>
      <c r="C1318" s="57">
        <f t="shared" si="104"/>
        <v>0</v>
      </c>
      <c r="D1318" s="56"/>
      <c r="E1318" s="57">
        <f>[1]DETAY!$A$2</f>
        <v>0</v>
      </c>
      <c r="F1318" s="90">
        <f t="shared" si="105"/>
        <v>0</v>
      </c>
      <c r="G1318" s="92">
        <f t="shared" si="106"/>
        <v>0</v>
      </c>
      <c r="H1318" s="62" t="e">
        <f t="shared" si="107"/>
        <v>#DIV/0!</v>
      </c>
      <c r="I1318" s="57"/>
      <c r="J1318" s="57"/>
      <c r="K1318" s="57"/>
      <c r="L1318" s="57"/>
      <c r="M1318" s="58"/>
      <c r="N1318" s="57"/>
      <c r="O1318" s="57"/>
      <c r="P1318" s="57"/>
      <c r="Q1318" s="57"/>
      <c r="R1318" s="57"/>
      <c r="S1318" s="61"/>
      <c r="T1318" s="57"/>
      <c r="U1318" s="57"/>
      <c r="V1318" s="57"/>
      <c r="W1318" s="57"/>
      <c r="X1318" s="57"/>
      <c r="Y1318" s="57"/>
      <c r="Z1318" s="57"/>
      <c r="AA1318" s="57"/>
      <c r="AB1318" s="57"/>
      <c r="AC1318" s="57"/>
      <c r="AD1318" s="57"/>
      <c r="AE1318" s="57"/>
      <c r="AF1318" s="57"/>
      <c r="AG1318" s="57"/>
      <c r="AH1318" s="57"/>
      <c r="AI1318" s="57"/>
      <c r="AJ1318" s="57"/>
      <c r="AK1318" s="57"/>
      <c r="AL1318" s="57"/>
      <c r="AM1318" s="57"/>
      <c r="AN1318" s="57"/>
      <c r="AO1318" s="57"/>
      <c r="AP1318" s="57"/>
      <c r="AQ1318" s="57"/>
      <c r="AR1318" s="57"/>
      <c r="AS1318" s="57"/>
      <c r="AT1318" s="57"/>
      <c r="AU1318" s="57"/>
      <c r="AV1318" s="57"/>
      <c r="AW1318" s="57"/>
      <c r="AX1318" s="57"/>
      <c r="AY1318" s="57"/>
      <c r="AZ1318" s="57"/>
      <c r="BA1318" s="57"/>
      <c r="BB1318" s="57"/>
      <c r="BC1318" s="57"/>
      <c r="BD1318" s="57"/>
      <c r="BE1318" s="57"/>
      <c r="BF1318" s="57"/>
    </row>
    <row r="1319" spans="1:58" s="59" customFormat="1" x14ac:dyDescent="0.25">
      <c r="A1319" s="53"/>
      <c r="B1319" s="60"/>
      <c r="C1319" s="57">
        <f t="shared" si="104"/>
        <v>0</v>
      </c>
      <c r="D1319" s="56"/>
      <c r="E1319" s="57">
        <f>[1]DETAY!$A$2</f>
        <v>0</v>
      </c>
      <c r="F1319" s="90">
        <f t="shared" si="105"/>
        <v>0</v>
      </c>
      <c r="G1319" s="92">
        <f t="shared" si="106"/>
        <v>0</v>
      </c>
      <c r="H1319" s="62" t="e">
        <f t="shared" si="107"/>
        <v>#DIV/0!</v>
      </c>
      <c r="I1319" s="57"/>
      <c r="J1319" s="57"/>
      <c r="K1319" s="57"/>
      <c r="L1319" s="57"/>
      <c r="M1319" s="58"/>
      <c r="N1319" s="57"/>
      <c r="O1319" s="57"/>
      <c r="P1319" s="57"/>
      <c r="Q1319" s="57"/>
      <c r="R1319" s="57"/>
      <c r="S1319" s="61"/>
      <c r="T1319" s="57"/>
      <c r="U1319" s="57"/>
      <c r="V1319" s="57"/>
      <c r="W1319" s="57"/>
      <c r="X1319" s="57"/>
      <c r="Y1319" s="57"/>
      <c r="Z1319" s="57"/>
      <c r="AA1319" s="57"/>
      <c r="AB1319" s="57"/>
      <c r="AC1319" s="57"/>
      <c r="AD1319" s="57"/>
      <c r="AE1319" s="57"/>
      <c r="AF1319" s="57"/>
      <c r="AG1319" s="57"/>
      <c r="AH1319" s="57"/>
      <c r="AI1319" s="57"/>
      <c r="AJ1319" s="57"/>
      <c r="AK1319" s="57"/>
      <c r="AL1319" s="57"/>
      <c r="AM1319" s="57"/>
      <c r="AN1319" s="57"/>
      <c r="AO1319" s="57"/>
      <c r="AP1319" s="57"/>
      <c r="AQ1319" s="57"/>
      <c r="AR1319" s="57"/>
      <c r="AS1319" s="57"/>
      <c r="AT1319" s="57"/>
      <c r="AU1319" s="57"/>
      <c r="AV1319" s="57"/>
      <c r="AW1319" s="57"/>
      <c r="AX1319" s="57"/>
      <c r="AY1319" s="57"/>
      <c r="AZ1319" s="57"/>
      <c r="BA1319" s="57"/>
      <c r="BB1319" s="57"/>
      <c r="BC1319" s="57"/>
      <c r="BD1319" s="57"/>
      <c r="BE1319" s="57"/>
      <c r="BF1319" s="57"/>
    </row>
    <row r="1320" spans="1:58" s="59" customFormat="1" x14ac:dyDescent="0.25">
      <c r="A1320" s="53"/>
      <c r="B1320" s="60"/>
      <c r="C1320" s="57">
        <f t="shared" si="104"/>
        <v>0</v>
      </c>
      <c r="D1320" s="56"/>
      <c r="E1320" s="57">
        <f>[1]DETAY!$A$2</f>
        <v>0</v>
      </c>
      <c r="F1320" s="90">
        <f t="shared" si="105"/>
        <v>0</v>
      </c>
      <c r="G1320" s="92">
        <f t="shared" si="106"/>
        <v>0</v>
      </c>
      <c r="H1320" s="62" t="e">
        <f t="shared" si="107"/>
        <v>#DIV/0!</v>
      </c>
      <c r="I1320" s="57"/>
      <c r="J1320" s="57"/>
      <c r="K1320" s="57"/>
      <c r="L1320" s="57"/>
      <c r="M1320" s="58"/>
      <c r="N1320" s="57"/>
      <c r="O1320" s="57"/>
      <c r="P1320" s="57"/>
      <c r="Q1320" s="57"/>
      <c r="R1320" s="57"/>
      <c r="S1320" s="61"/>
      <c r="T1320" s="57"/>
      <c r="U1320" s="57"/>
      <c r="V1320" s="57"/>
      <c r="W1320" s="57"/>
      <c r="X1320" s="57"/>
      <c r="Y1320" s="57"/>
      <c r="Z1320" s="57"/>
      <c r="AA1320" s="57"/>
      <c r="AB1320" s="57"/>
      <c r="AC1320" s="57"/>
      <c r="AD1320" s="57"/>
      <c r="AE1320" s="57"/>
      <c r="AF1320" s="57"/>
      <c r="AG1320" s="57"/>
      <c r="AH1320" s="57"/>
      <c r="AI1320" s="57"/>
      <c r="AJ1320" s="57"/>
      <c r="AK1320" s="57"/>
      <c r="AL1320" s="57"/>
      <c r="AM1320" s="57"/>
      <c r="AN1320" s="57"/>
      <c r="AO1320" s="57"/>
      <c r="AP1320" s="57"/>
      <c r="AQ1320" s="57"/>
      <c r="AR1320" s="57"/>
      <c r="AS1320" s="57"/>
      <c r="AT1320" s="57"/>
      <c r="AU1320" s="57"/>
      <c r="AV1320" s="57"/>
      <c r="AW1320" s="57"/>
      <c r="AX1320" s="57"/>
      <c r="AY1320" s="57"/>
      <c r="AZ1320" s="57"/>
      <c r="BA1320" s="57"/>
      <c r="BB1320" s="57"/>
      <c r="BC1320" s="57"/>
      <c r="BD1320" s="57"/>
      <c r="BE1320" s="57"/>
      <c r="BF1320" s="57"/>
    </row>
    <row r="1321" spans="1:58" s="59" customFormat="1" x14ac:dyDescent="0.25">
      <c r="A1321" s="53"/>
      <c r="B1321" s="60"/>
      <c r="C1321" s="57">
        <f t="shared" si="104"/>
        <v>0</v>
      </c>
      <c r="D1321" s="56"/>
      <c r="E1321" s="57">
        <f>[1]DETAY!$A$2</f>
        <v>0</v>
      </c>
      <c r="F1321" s="90">
        <f t="shared" si="105"/>
        <v>0</v>
      </c>
      <c r="G1321" s="92">
        <f t="shared" si="106"/>
        <v>0</v>
      </c>
      <c r="H1321" s="62" t="e">
        <f t="shared" si="107"/>
        <v>#DIV/0!</v>
      </c>
      <c r="I1321" s="57"/>
      <c r="J1321" s="57"/>
      <c r="K1321" s="57"/>
      <c r="L1321" s="57"/>
      <c r="M1321" s="58"/>
      <c r="N1321" s="57"/>
      <c r="O1321" s="57"/>
      <c r="P1321" s="57"/>
      <c r="Q1321" s="57"/>
      <c r="R1321" s="57"/>
      <c r="S1321" s="61"/>
      <c r="T1321" s="57"/>
      <c r="U1321" s="57"/>
      <c r="V1321" s="57"/>
      <c r="W1321" s="57"/>
      <c r="X1321" s="57"/>
      <c r="Y1321" s="57"/>
      <c r="Z1321" s="57"/>
      <c r="AA1321" s="57"/>
      <c r="AB1321" s="57"/>
      <c r="AC1321" s="57"/>
      <c r="AD1321" s="57"/>
      <c r="AE1321" s="57"/>
      <c r="AF1321" s="57"/>
      <c r="AG1321" s="57"/>
      <c r="AH1321" s="57"/>
      <c r="AI1321" s="57"/>
      <c r="AJ1321" s="57"/>
      <c r="AK1321" s="57"/>
      <c r="AL1321" s="57"/>
      <c r="AM1321" s="57"/>
      <c r="AN1321" s="57"/>
      <c r="AO1321" s="57"/>
      <c r="AP1321" s="57"/>
      <c r="AQ1321" s="57"/>
      <c r="AR1321" s="57"/>
      <c r="AS1321" s="57"/>
      <c r="AT1321" s="57"/>
      <c r="AU1321" s="57"/>
      <c r="AV1321" s="57"/>
      <c r="AW1321" s="57"/>
      <c r="AX1321" s="57"/>
      <c r="AY1321" s="57"/>
      <c r="AZ1321" s="57"/>
      <c r="BA1321" s="57"/>
      <c r="BB1321" s="57"/>
      <c r="BC1321" s="57"/>
      <c r="BD1321" s="57"/>
      <c r="BE1321" s="57"/>
      <c r="BF1321" s="57"/>
    </row>
    <row r="1322" spans="1:58" s="59" customFormat="1" x14ac:dyDescent="0.25">
      <c r="A1322" s="53"/>
      <c r="B1322" s="60"/>
      <c r="C1322" s="57">
        <f t="shared" si="104"/>
        <v>0</v>
      </c>
      <c r="D1322" s="56"/>
      <c r="E1322" s="57">
        <f>[1]DETAY!$A$2</f>
        <v>0</v>
      </c>
      <c r="F1322" s="90">
        <f t="shared" si="105"/>
        <v>0</v>
      </c>
      <c r="G1322" s="92">
        <f t="shared" si="106"/>
        <v>0</v>
      </c>
      <c r="H1322" s="62" t="e">
        <f t="shared" si="107"/>
        <v>#DIV/0!</v>
      </c>
      <c r="I1322" s="57"/>
      <c r="J1322" s="57"/>
      <c r="K1322" s="57"/>
      <c r="L1322" s="57"/>
      <c r="M1322" s="58"/>
      <c r="N1322" s="57"/>
      <c r="O1322" s="57"/>
      <c r="P1322" s="57"/>
      <c r="Q1322" s="57"/>
      <c r="R1322" s="57"/>
      <c r="S1322" s="61"/>
      <c r="T1322" s="57"/>
      <c r="U1322" s="57"/>
      <c r="V1322" s="57"/>
      <c r="W1322" s="57"/>
      <c r="X1322" s="57"/>
      <c r="Y1322" s="57"/>
      <c r="Z1322" s="57"/>
      <c r="AA1322" s="57"/>
      <c r="AB1322" s="57"/>
      <c r="AC1322" s="57"/>
      <c r="AD1322" s="57"/>
      <c r="AE1322" s="57"/>
      <c r="AF1322" s="57"/>
      <c r="AG1322" s="57"/>
      <c r="AH1322" s="57"/>
      <c r="AI1322" s="57"/>
      <c r="AJ1322" s="57"/>
      <c r="AK1322" s="57"/>
      <c r="AL1322" s="57"/>
      <c r="AM1322" s="57"/>
      <c r="AN1322" s="57"/>
      <c r="AO1322" s="57"/>
      <c r="AP1322" s="57"/>
      <c r="AQ1322" s="57"/>
      <c r="AR1322" s="57"/>
      <c r="AS1322" s="57"/>
      <c r="AT1322" s="57"/>
      <c r="AU1322" s="57"/>
      <c r="AV1322" s="57"/>
      <c r="AW1322" s="57"/>
      <c r="AX1322" s="57"/>
      <c r="AY1322" s="57"/>
      <c r="AZ1322" s="57"/>
      <c r="BA1322" s="57"/>
      <c r="BB1322" s="57"/>
      <c r="BC1322" s="57"/>
      <c r="BD1322" s="57"/>
      <c r="BE1322" s="57"/>
      <c r="BF1322" s="57"/>
    </row>
    <row r="1323" spans="1:58" s="59" customFormat="1" x14ac:dyDescent="0.25">
      <c r="A1323" s="53"/>
      <c r="B1323" s="60"/>
      <c r="C1323" s="57">
        <f t="shared" si="104"/>
        <v>0</v>
      </c>
      <c r="D1323" s="56"/>
      <c r="E1323" s="57">
        <f>[1]DETAY!$A$2</f>
        <v>0</v>
      </c>
      <c r="F1323" s="90">
        <f t="shared" si="105"/>
        <v>0</v>
      </c>
      <c r="G1323" s="92">
        <f t="shared" si="106"/>
        <v>0</v>
      </c>
      <c r="H1323" s="62" t="e">
        <f t="shared" si="107"/>
        <v>#DIV/0!</v>
      </c>
      <c r="I1323" s="57"/>
      <c r="J1323" s="57"/>
      <c r="K1323" s="57"/>
      <c r="L1323" s="57"/>
      <c r="M1323" s="58"/>
      <c r="N1323" s="57"/>
      <c r="O1323" s="57"/>
      <c r="P1323" s="57"/>
      <c r="Q1323" s="57"/>
      <c r="R1323" s="57"/>
      <c r="S1323" s="61"/>
      <c r="T1323" s="57"/>
      <c r="U1323" s="57"/>
      <c r="V1323" s="57"/>
      <c r="W1323" s="57"/>
      <c r="X1323" s="57"/>
      <c r="Y1323" s="57"/>
      <c r="Z1323" s="57"/>
      <c r="AA1323" s="57"/>
      <c r="AB1323" s="57"/>
      <c r="AC1323" s="57"/>
      <c r="AD1323" s="57"/>
      <c r="AE1323" s="57"/>
      <c r="AF1323" s="57"/>
      <c r="AG1323" s="57"/>
      <c r="AH1323" s="57"/>
      <c r="AI1323" s="57"/>
      <c r="AJ1323" s="57"/>
      <c r="AK1323" s="57"/>
      <c r="AL1323" s="57"/>
      <c r="AM1323" s="57"/>
      <c r="AN1323" s="57"/>
      <c r="AO1323" s="57"/>
      <c r="AP1323" s="57"/>
      <c r="AQ1323" s="57"/>
      <c r="AR1323" s="57"/>
      <c r="AS1323" s="57"/>
      <c r="AT1323" s="57"/>
      <c r="AU1323" s="57"/>
      <c r="AV1323" s="57"/>
      <c r="AW1323" s="57"/>
      <c r="AX1323" s="57"/>
      <c r="AY1323" s="57"/>
      <c r="AZ1323" s="57"/>
      <c r="BA1323" s="57"/>
      <c r="BB1323" s="57"/>
      <c r="BC1323" s="57"/>
      <c r="BD1323" s="57"/>
      <c r="BE1323" s="57"/>
      <c r="BF1323" s="57"/>
    </row>
    <row r="1324" spans="1:58" s="59" customFormat="1" x14ac:dyDescent="0.25">
      <c r="A1324" s="53"/>
      <c r="B1324" s="60"/>
      <c r="C1324" s="57">
        <f t="shared" si="104"/>
        <v>0</v>
      </c>
      <c r="D1324" s="56"/>
      <c r="E1324" s="57">
        <f>[1]DETAY!$A$2</f>
        <v>0</v>
      </c>
      <c r="F1324" s="90">
        <f t="shared" si="105"/>
        <v>0</v>
      </c>
      <c r="G1324" s="92">
        <f t="shared" si="106"/>
        <v>0</v>
      </c>
      <c r="H1324" s="62" t="e">
        <f t="shared" si="107"/>
        <v>#DIV/0!</v>
      </c>
      <c r="I1324" s="57"/>
      <c r="J1324" s="57"/>
      <c r="K1324" s="57"/>
      <c r="L1324" s="57"/>
      <c r="M1324" s="58"/>
      <c r="N1324" s="57"/>
      <c r="O1324" s="57"/>
      <c r="P1324" s="57"/>
      <c r="Q1324" s="57"/>
      <c r="R1324" s="57"/>
      <c r="S1324" s="61"/>
      <c r="T1324" s="57"/>
      <c r="U1324" s="57"/>
      <c r="V1324" s="57"/>
      <c r="W1324" s="57"/>
      <c r="X1324" s="57"/>
      <c r="Y1324" s="57"/>
      <c r="Z1324" s="57"/>
      <c r="AA1324" s="57"/>
      <c r="AB1324" s="57"/>
      <c r="AC1324" s="57"/>
      <c r="AD1324" s="57"/>
      <c r="AE1324" s="57"/>
      <c r="AF1324" s="57"/>
      <c r="AG1324" s="57"/>
      <c r="AH1324" s="57"/>
      <c r="AI1324" s="57"/>
      <c r="AJ1324" s="57"/>
      <c r="AK1324" s="57"/>
      <c r="AL1324" s="57"/>
      <c r="AM1324" s="57"/>
      <c r="AN1324" s="57"/>
      <c r="AO1324" s="57"/>
      <c r="AP1324" s="57"/>
      <c r="AQ1324" s="57"/>
      <c r="AR1324" s="57"/>
      <c r="AS1324" s="57"/>
      <c r="AT1324" s="57"/>
      <c r="AU1324" s="57"/>
      <c r="AV1324" s="57"/>
      <c r="AW1324" s="57"/>
      <c r="AX1324" s="57"/>
      <c r="AY1324" s="57"/>
      <c r="AZ1324" s="57"/>
      <c r="BA1324" s="57"/>
      <c r="BB1324" s="57"/>
      <c r="BC1324" s="57"/>
      <c r="BD1324" s="57"/>
      <c r="BE1324" s="57"/>
      <c r="BF1324" s="57"/>
    </row>
    <row r="1325" spans="1:58" s="59" customFormat="1" x14ac:dyDescent="0.25">
      <c r="A1325" s="53"/>
      <c r="B1325" s="60"/>
      <c r="C1325" s="57">
        <f t="shared" si="104"/>
        <v>0</v>
      </c>
      <c r="D1325" s="56"/>
      <c r="E1325" s="57">
        <f>[1]DETAY!$A$2</f>
        <v>0</v>
      </c>
      <c r="F1325" s="90">
        <f t="shared" si="105"/>
        <v>0</v>
      </c>
      <c r="G1325" s="92">
        <f t="shared" si="106"/>
        <v>0</v>
      </c>
      <c r="H1325" s="62" t="e">
        <f t="shared" si="107"/>
        <v>#DIV/0!</v>
      </c>
      <c r="I1325" s="57"/>
      <c r="J1325" s="57"/>
      <c r="K1325" s="57"/>
      <c r="L1325" s="57"/>
      <c r="M1325" s="58"/>
      <c r="N1325" s="57"/>
      <c r="O1325" s="57"/>
      <c r="P1325" s="57"/>
      <c r="Q1325" s="57"/>
      <c r="R1325" s="57"/>
      <c r="S1325" s="61"/>
      <c r="T1325" s="57"/>
      <c r="U1325" s="57"/>
      <c r="V1325" s="57"/>
      <c r="W1325" s="57"/>
      <c r="X1325" s="57"/>
      <c r="Y1325" s="57"/>
      <c r="Z1325" s="57"/>
      <c r="AA1325" s="57"/>
      <c r="AB1325" s="57"/>
      <c r="AC1325" s="57"/>
      <c r="AD1325" s="57"/>
      <c r="AE1325" s="57"/>
      <c r="AF1325" s="57"/>
      <c r="AG1325" s="57"/>
      <c r="AH1325" s="57"/>
      <c r="AI1325" s="57"/>
      <c r="AJ1325" s="57"/>
      <c r="AK1325" s="57"/>
      <c r="AL1325" s="57"/>
      <c r="AM1325" s="57"/>
      <c r="AN1325" s="57"/>
      <c r="AO1325" s="57"/>
      <c r="AP1325" s="57"/>
      <c r="AQ1325" s="57"/>
      <c r="AR1325" s="57"/>
      <c r="AS1325" s="57"/>
      <c r="AT1325" s="57"/>
      <c r="AU1325" s="57"/>
      <c r="AV1325" s="57"/>
      <c r="AW1325" s="57"/>
      <c r="AX1325" s="57"/>
      <c r="AY1325" s="57"/>
      <c r="AZ1325" s="57"/>
      <c r="BA1325" s="57"/>
      <c r="BB1325" s="57"/>
      <c r="BC1325" s="57"/>
      <c r="BD1325" s="57"/>
      <c r="BE1325" s="57"/>
      <c r="BF1325" s="57"/>
    </row>
    <row r="1326" spans="1:58" s="59" customFormat="1" x14ac:dyDescent="0.25">
      <c r="A1326" s="53"/>
      <c r="B1326" s="60"/>
      <c r="C1326" s="57">
        <f t="shared" si="104"/>
        <v>0</v>
      </c>
      <c r="D1326" s="56"/>
      <c r="E1326" s="57">
        <f>[1]DETAY!$A$2</f>
        <v>0</v>
      </c>
      <c r="F1326" s="90">
        <f t="shared" si="105"/>
        <v>0</v>
      </c>
      <c r="G1326" s="92">
        <f t="shared" si="106"/>
        <v>0</v>
      </c>
      <c r="H1326" s="62" t="e">
        <f t="shared" si="107"/>
        <v>#DIV/0!</v>
      </c>
      <c r="I1326" s="57"/>
      <c r="J1326" s="57"/>
      <c r="K1326" s="57"/>
      <c r="L1326" s="57"/>
      <c r="M1326" s="58"/>
      <c r="N1326" s="57"/>
      <c r="O1326" s="57"/>
      <c r="P1326" s="57"/>
      <c r="Q1326" s="57"/>
      <c r="R1326" s="57"/>
      <c r="S1326" s="61"/>
      <c r="T1326" s="57"/>
      <c r="U1326" s="57"/>
      <c r="V1326" s="57"/>
      <c r="W1326" s="57"/>
      <c r="X1326" s="57"/>
      <c r="Y1326" s="57"/>
      <c r="Z1326" s="57"/>
      <c r="AA1326" s="57"/>
      <c r="AB1326" s="57"/>
      <c r="AC1326" s="57"/>
      <c r="AD1326" s="57"/>
      <c r="AE1326" s="57"/>
      <c r="AF1326" s="57"/>
      <c r="AG1326" s="57"/>
      <c r="AH1326" s="57"/>
      <c r="AI1326" s="57"/>
      <c r="AJ1326" s="57"/>
      <c r="AK1326" s="57"/>
      <c r="AL1326" s="57"/>
      <c r="AM1326" s="57"/>
      <c r="AN1326" s="57"/>
      <c r="AO1326" s="57"/>
      <c r="AP1326" s="57"/>
      <c r="AQ1326" s="57"/>
      <c r="AR1326" s="57"/>
      <c r="AS1326" s="57"/>
      <c r="AT1326" s="57"/>
      <c r="AU1326" s="57"/>
      <c r="AV1326" s="57"/>
      <c r="AW1326" s="57"/>
      <c r="AX1326" s="57"/>
      <c r="AY1326" s="57"/>
      <c r="AZ1326" s="57"/>
      <c r="BA1326" s="57"/>
      <c r="BB1326" s="57"/>
      <c r="BC1326" s="57"/>
      <c r="BD1326" s="57"/>
      <c r="BE1326" s="57"/>
      <c r="BF1326" s="57"/>
    </row>
    <row r="1327" spans="1:58" s="59" customFormat="1" x14ac:dyDescent="0.25">
      <c r="A1327" s="53"/>
      <c r="B1327" s="60"/>
      <c r="C1327" s="57">
        <f t="shared" si="104"/>
        <v>0</v>
      </c>
      <c r="D1327" s="56"/>
      <c r="E1327" s="57">
        <f>[1]DETAY!$A$2</f>
        <v>0</v>
      </c>
      <c r="F1327" s="90">
        <f t="shared" si="105"/>
        <v>0</v>
      </c>
      <c r="G1327" s="92">
        <f t="shared" si="106"/>
        <v>0</v>
      </c>
      <c r="H1327" s="62" t="e">
        <f t="shared" si="107"/>
        <v>#DIV/0!</v>
      </c>
      <c r="I1327" s="57"/>
      <c r="J1327" s="57"/>
      <c r="K1327" s="57"/>
      <c r="L1327" s="57"/>
      <c r="M1327" s="58"/>
      <c r="N1327" s="57"/>
      <c r="O1327" s="57"/>
      <c r="P1327" s="57"/>
      <c r="Q1327" s="57"/>
      <c r="R1327" s="57"/>
      <c r="S1327" s="61"/>
      <c r="T1327" s="57"/>
      <c r="U1327" s="57"/>
      <c r="V1327" s="57"/>
      <c r="W1327" s="57"/>
      <c r="X1327" s="57"/>
      <c r="Y1327" s="57"/>
      <c r="Z1327" s="57"/>
      <c r="AA1327" s="57"/>
      <c r="AB1327" s="57"/>
      <c r="AC1327" s="57"/>
      <c r="AD1327" s="57"/>
      <c r="AE1327" s="57"/>
      <c r="AF1327" s="57"/>
      <c r="AG1327" s="57"/>
      <c r="AH1327" s="57"/>
      <c r="AI1327" s="57"/>
      <c r="AJ1327" s="57"/>
      <c r="AK1327" s="57"/>
      <c r="AL1327" s="57"/>
      <c r="AM1327" s="57"/>
      <c r="AN1327" s="57"/>
      <c r="AO1327" s="57"/>
      <c r="AP1327" s="57"/>
      <c r="AQ1327" s="57"/>
      <c r="AR1327" s="57"/>
      <c r="AS1327" s="57"/>
      <c r="AT1327" s="57"/>
      <c r="AU1327" s="57"/>
      <c r="AV1327" s="57"/>
      <c r="AW1327" s="57"/>
      <c r="AX1327" s="57"/>
      <c r="AY1327" s="57"/>
      <c r="AZ1327" s="57"/>
      <c r="BA1327" s="57"/>
      <c r="BB1327" s="57"/>
      <c r="BC1327" s="57"/>
      <c r="BD1327" s="57"/>
      <c r="BE1327" s="57"/>
      <c r="BF1327" s="57"/>
    </row>
    <row r="1328" spans="1:58" s="59" customFormat="1" x14ac:dyDescent="0.25">
      <c r="A1328" s="53"/>
      <c r="B1328" s="60"/>
      <c r="C1328" s="57">
        <f t="shared" si="104"/>
        <v>0</v>
      </c>
      <c r="D1328" s="56"/>
      <c r="E1328" s="57">
        <f>[1]DETAY!$A$2</f>
        <v>0</v>
      </c>
      <c r="F1328" s="90">
        <f t="shared" si="105"/>
        <v>0</v>
      </c>
      <c r="G1328" s="92">
        <f t="shared" si="106"/>
        <v>0</v>
      </c>
      <c r="H1328" s="62" t="e">
        <f t="shared" si="107"/>
        <v>#DIV/0!</v>
      </c>
      <c r="I1328" s="57"/>
      <c r="J1328" s="57"/>
      <c r="K1328" s="57"/>
      <c r="L1328" s="57"/>
      <c r="M1328" s="58"/>
      <c r="N1328" s="57"/>
      <c r="O1328" s="57"/>
      <c r="P1328" s="57"/>
      <c r="Q1328" s="57"/>
      <c r="R1328" s="57"/>
      <c r="S1328" s="61"/>
      <c r="T1328" s="57"/>
      <c r="U1328" s="57"/>
      <c r="V1328" s="57"/>
      <c r="W1328" s="57"/>
      <c r="X1328" s="57"/>
      <c r="Y1328" s="57"/>
      <c r="Z1328" s="57"/>
      <c r="AA1328" s="57"/>
      <c r="AB1328" s="57"/>
      <c r="AC1328" s="57"/>
      <c r="AD1328" s="57"/>
      <c r="AE1328" s="57"/>
      <c r="AF1328" s="57"/>
      <c r="AG1328" s="57"/>
      <c r="AH1328" s="57"/>
      <c r="AI1328" s="57"/>
      <c r="AJ1328" s="57"/>
      <c r="AK1328" s="57"/>
      <c r="AL1328" s="57"/>
      <c r="AM1328" s="57"/>
      <c r="AN1328" s="57"/>
      <c r="AO1328" s="57"/>
      <c r="AP1328" s="57"/>
      <c r="AQ1328" s="57"/>
      <c r="AR1328" s="57"/>
      <c r="AS1328" s="57"/>
      <c r="AT1328" s="57"/>
      <c r="AU1328" s="57"/>
      <c r="AV1328" s="57"/>
      <c r="AW1328" s="57"/>
      <c r="AX1328" s="57"/>
      <c r="AY1328" s="57"/>
      <c r="AZ1328" s="57"/>
      <c r="BA1328" s="57"/>
      <c r="BB1328" s="57"/>
      <c r="BC1328" s="57"/>
      <c r="BD1328" s="57"/>
      <c r="BE1328" s="57"/>
      <c r="BF1328" s="57"/>
    </row>
    <row r="1329" spans="1:58" s="59" customFormat="1" x14ac:dyDescent="0.25">
      <c r="A1329" s="53"/>
      <c r="B1329" s="60"/>
      <c r="C1329" s="57">
        <f t="shared" si="104"/>
        <v>0</v>
      </c>
      <c r="D1329" s="56"/>
      <c r="E1329" s="57">
        <f>[1]DETAY!$A$2</f>
        <v>0</v>
      </c>
      <c r="F1329" s="90">
        <f t="shared" si="105"/>
        <v>0</v>
      </c>
      <c r="G1329" s="92">
        <f t="shared" si="106"/>
        <v>0</v>
      </c>
      <c r="H1329" s="62" t="e">
        <f t="shared" si="107"/>
        <v>#DIV/0!</v>
      </c>
      <c r="I1329" s="57"/>
      <c r="J1329" s="57"/>
      <c r="K1329" s="57"/>
      <c r="L1329" s="57"/>
      <c r="M1329" s="58"/>
      <c r="N1329" s="57"/>
      <c r="O1329" s="57"/>
      <c r="P1329" s="57"/>
      <c r="Q1329" s="57"/>
      <c r="R1329" s="57"/>
      <c r="S1329" s="61"/>
      <c r="T1329" s="57"/>
      <c r="U1329" s="57"/>
      <c r="V1329" s="57"/>
      <c r="W1329" s="57"/>
      <c r="X1329" s="57"/>
      <c r="Y1329" s="57"/>
      <c r="Z1329" s="57"/>
      <c r="AA1329" s="57"/>
      <c r="AB1329" s="57"/>
      <c r="AC1329" s="57"/>
      <c r="AD1329" s="57"/>
      <c r="AE1329" s="57"/>
      <c r="AF1329" s="57"/>
      <c r="AG1329" s="57"/>
      <c r="AH1329" s="57"/>
      <c r="AI1329" s="57"/>
      <c r="AJ1329" s="57"/>
      <c r="AK1329" s="57"/>
      <c r="AL1329" s="57"/>
      <c r="AM1329" s="57"/>
      <c r="AN1329" s="57"/>
      <c r="AO1329" s="57"/>
      <c r="AP1329" s="57"/>
      <c r="AQ1329" s="57"/>
      <c r="AR1329" s="57"/>
      <c r="AS1329" s="57"/>
      <c r="AT1329" s="57"/>
      <c r="AU1329" s="57"/>
      <c r="AV1329" s="57"/>
      <c r="AW1329" s="57"/>
      <c r="AX1329" s="57"/>
      <c r="AY1329" s="57"/>
      <c r="AZ1329" s="57"/>
      <c r="BA1329" s="57"/>
      <c r="BB1329" s="57"/>
      <c r="BC1329" s="57"/>
      <c r="BD1329" s="57"/>
      <c r="BE1329" s="57"/>
      <c r="BF1329" s="57"/>
    </row>
    <row r="1330" spans="1:58" s="59" customFormat="1" x14ac:dyDescent="0.25">
      <c r="A1330" s="53"/>
      <c r="B1330" s="60"/>
      <c r="C1330" s="57">
        <f t="shared" si="104"/>
        <v>0</v>
      </c>
      <c r="D1330" s="56"/>
      <c r="E1330" s="57">
        <f>[1]DETAY!$A$2</f>
        <v>0</v>
      </c>
      <c r="F1330" s="90">
        <f t="shared" si="105"/>
        <v>0</v>
      </c>
      <c r="G1330" s="92">
        <f t="shared" si="106"/>
        <v>0</v>
      </c>
      <c r="H1330" s="62" t="e">
        <f t="shared" si="107"/>
        <v>#DIV/0!</v>
      </c>
      <c r="I1330" s="57"/>
      <c r="J1330" s="57"/>
      <c r="K1330" s="57"/>
      <c r="L1330" s="57"/>
      <c r="M1330" s="58"/>
      <c r="N1330" s="57"/>
      <c r="O1330" s="57"/>
      <c r="P1330" s="57"/>
      <c r="Q1330" s="57"/>
      <c r="R1330" s="57"/>
      <c r="S1330" s="61"/>
      <c r="T1330" s="57"/>
      <c r="U1330" s="57"/>
      <c r="V1330" s="57"/>
      <c r="W1330" s="57"/>
      <c r="X1330" s="57"/>
      <c r="Y1330" s="57"/>
      <c r="Z1330" s="57"/>
      <c r="AA1330" s="57"/>
      <c r="AB1330" s="57"/>
      <c r="AC1330" s="57"/>
      <c r="AD1330" s="57"/>
      <c r="AE1330" s="57"/>
      <c r="AF1330" s="57"/>
      <c r="AG1330" s="57"/>
      <c r="AH1330" s="57"/>
      <c r="AI1330" s="57"/>
      <c r="AJ1330" s="57"/>
      <c r="AK1330" s="57"/>
      <c r="AL1330" s="57"/>
      <c r="AM1330" s="57"/>
      <c r="AN1330" s="57"/>
      <c r="AO1330" s="57"/>
      <c r="AP1330" s="57"/>
      <c r="AQ1330" s="57"/>
      <c r="AR1330" s="57"/>
      <c r="AS1330" s="57"/>
      <c r="AT1330" s="57"/>
      <c r="AU1330" s="57"/>
      <c r="AV1330" s="57"/>
      <c r="AW1330" s="57"/>
      <c r="AX1330" s="57"/>
      <c r="AY1330" s="57"/>
      <c r="AZ1330" s="57"/>
      <c r="BA1330" s="57"/>
      <c r="BB1330" s="57"/>
      <c r="BC1330" s="57"/>
      <c r="BD1330" s="57"/>
      <c r="BE1330" s="57"/>
      <c r="BF1330" s="57"/>
    </row>
    <row r="1331" spans="1:58" s="59" customFormat="1" x14ac:dyDescent="0.25">
      <c r="A1331" s="53"/>
      <c r="B1331" s="60"/>
      <c r="C1331" s="57">
        <f t="shared" si="104"/>
        <v>0</v>
      </c>
      <c r="D1331" s="56"/>
      <c r="E1331" s="57">
        <f>[1]DETAY!$A$2</f>
        <v>0</v>
      </c>
      <c r="F1331" s="90">
        <f t="shared" si="105"/>
        <v>0</v>
      </c>
      <c r="G1331" s="92">
        <f t="shared" si="106"/>
        <v>0</v>
      </c>
      <c r="H1331" s="62" t="e">
        <f t="shared" si="107"/>
        <v>#DIV/0!</v>
      </c>
      <c r="I1331" s="57"/>
      <c r="J1331" s="57"/>
      <c r="K1331" s="57"/>
      <c r="L1331" s="57"/>
      <c r="M1331" s="58"/>
      <c r="N1331" s="57"/>
      <c r="O1331" s="57"/>
      <c r="P1331" s="57"/>
      <c r="Q1331" s="57"/>
      <c r="R1331" s="57"/>
      <c r="S1331" s="61"/>
      <c r="T1331" s="57"/>
      <c r="U1331" s="57"/>
      <c r="V1331" s="57"/>
      <c r="W1331" s="57"/>
      <c r="X1331" s="57"/>
      <c r="Y1331" s="57"/>
      <c r="Z1331" s="57"/>
      <c r="AA1331" s="57"/>
      <c r="AB1331" s="57"/>
      <c r="AC1331" s="57"/>
      <c r="AD1331" s="57"/>
      <c r="AE1331" s="57"/>
      <c r="AF1331" s="57"/>
      <c r="AG1331" s="57"/>
      <c r="AH1331" s="57"/>
      <c r="AI1331" s="57"/>
      <c r="AJ1331" s="57"/>
      <c r="AK1331" s="57"/>
      <c r="AL1331" s="57"/>
      <c r="AM1331" s="57"/>
      <c r="AN1331" s="57"/>
      <c r="AO1331" s="57"/>
      <c r="AP1331" s="57"/>
      <c r="AQ1331" s="57"/>
      <c r="AR1331" s="57"/>
      <c r="AS1331" s="57"/>
      <c r="AT1331" s="57"/>
      <c r="AU1331" s="57"/>
      <c r="AV1331" s="57"/>
      <c r="AW1331" s="57"/>
      <c r="AX1331" s="57"/>
      <c r="AY1331" s="57"/>
      <c r="AZ1331" s="57"/>
      <c r="BA1331" s="57"/>
      <c r="BB1331" s="57"/>
      <c r="BC1331" s="57"/>
      <c r="BD1331" s="57"/>
      <c r="BE1331" s="57"/>
      <c r="BF1331" s="57"/>
    </row>
    <row r="1332" spans="1:58" s="59" customFormat="1" x14ac:dyDescent="0.25">
      <c r="A1332" s="53"/>
      <c r="B1332" s="60"/>
      <c r="C1332" s="57">
        <f t="shared" si="104"/>
        <v>0</v>
      </c>
      <c r="D1332" s="56"/>
      <c r="E1332" s="57">
        <f>[1]DETAY!$A$2</f>
        <v>0</v>
      </c>
      <c r="F1332" s="90">
        <f t="shared" si="105"/>
        <v>0</v>
      </c>
      <c r="G1332" s="92">
        <f t="shared" si="106"/>
        <v>0</v>
      </c>
      <c r="H1332" s="62" t="e">
        <f t="shared" si="107"/>
        <v>#DIV/0!</v>
      </c>
      <c r="I1332" s="57"/>
      <c r="J1332" s="57"/>
      <c r="K1332" s="57"/>
      <c r="L1332" s="57"/>
      <c r="M1332" s="58"/>
      <c r="N1332" s="57"/>
      <c r="O1332" s="57"/>
      <c r="P1332" s="57"/>
      <c r="Q1332" s="57"/>
      <c r="R1332" s="57"/>
      <c r="S1332" s="61"/>
      <c r="T1332" s="57"/>
      <c r="U1332" s="57"/>
      <c r="V1332" s="57"/>
      <c r="W1332" s="57"/>
      <c r="X1332" s="57"/>
      <c r="Y1332" s="57"/>
      <c r="Z1332" s="57"/>
      <c r="AA1332" s="57"/>
      <c r="AB1332" s="57"/>
      <c r="AC1332" s="57"/>
      <c r="AD1332" s="57"/>
      <c r="AE1332" s="57"/>
      <c r="AF1332" s="57"/>
      <c r="AG1332" s="57"/>
      <c r="AH1332" s="57"/>
      <c r="AI1332" s="57"/>
      <c r="AJ1332" s="57"/>
      <c r="AK1332" s="57"/>
      <c r="AL1332" s="57"/>
      <c r="AM1332" s="57"/>
      <c r="AN1332" s="57"/>
      <c r="AO1332" s="57"/>
      <c r="AP1332" s="57"/>
      <c r="AQ1332" s="57"/>
      <c r="AR1332" s="57"/>
      <c r="AS1332" s="57"/>
      <c r="AT1332" s="57"/>
      <c r="AU1332" s="57"/>
      <c r="AV1332" s="57"/>
      <c r="AW1332" s="57"/>
      <c r="AX1332" s="57"/>
      <c r="AY1332" s="57"/>
      <c r="AZ1332" s="57"/>
      <c r="BA1332" s="57"/>
      <c r="BB1332" s="57"/>
      <c r="BC1332" s="57"/>
      <c r="BD1332" s="57"/>
      <c r="BE1332" s="57"/>
      <c r="BF1332" s="57"/>
    </row>
    <row r="1333" spans="1:58" s="59" customFormat="1" x14ac:dyDescent="0.25">
      <c r="A1333" s="53"/>
      <c r="B1333" s="60"/>
      <c r="C1333" s="57">
        <f t="shared" si="104"/>
        <v>0</v>
      </c>
      <c r="D1333" s="56"/>
      <c r="E1333" s="57">
        <f>[1]DETAY!$A$2</f>
        <v>0</v>
      </c>
      <c r="F1333" s="90">
        <f t="shared" si="105"/>
        <v>0</v>
      </c>
      <c r="G1333" s="92">
        <f t="shared" si="106"/>
        <v>0</v>
      </c>
      <c r="H1333" s="62" t="e">
        <f t="shared" si="107"/>
        <v>#DIV/0!</v>
      </c>
      <c r="I1333" s="57"/>
      <c r="J1333" s="57"/>
      <c r="K1333" s="57"/>
      <c r="L1333" s="57"/>
      <c r="M1333" s="58"/>
      <c r="N1333" s="57"/>
      <c r="O1333" s="57"/>
      <c r="P1333" s="57"/>
      <c r="Q1333" s="57"/>
      <c r="R1333" s="57"/>
      <c r="S1333" s="61"/>
      <c r="T1333" s="57"/>
      <c r="U1333" s="57"/>
      <c r="V1333" s="57"/>
      <c r="W1333" s="57"/>
      <c r="X1333" s="57"/>
      <c r="Y1333" s="57"/>
      <c r="Z1333" s="57"/>
      <c r="AA1333" s="57"/>
      <c r="AB1333" s="57"/>
      <c r="AC1333" s="57"/>
      <c r="AD1333" s="57"/>
      <c r="AE1333" s="57"/>
      <c r="AF1333" s="57"/>
      <c r="AG1333" s="57"/>
      <c r="AH1333" s="57"/>
      <c r="AI1333" s="57"/>
      <c r="AJ1333" s="57"/>
      <c r="AK1333" s="57"/>
      <c r="AL1333" s="57"/>
      <c r="AM1333" s="57"/>
      <c r="AN1333" s="57"/>
      <c r="AO1333" s="57"/>
      <c r="AP1333" s="57"/>
      <c r="AQ1333" s="57"/>
      <c r="AR1333" s="57"/>
      <c r="AS1333" s="57"/>
      <c r="AT1333" s="57"/>
      <c r="AU1333" s="57"/>
      <c r="AV1333" s="57"/>
      <c r="AW1333" s="57"/>
      <c r="AX1333" s="57"/>
      <c r="AY1333" s="57"/>
      <c r="AZ1333" s="57"/>
      <c r="BA1333" s="57"/>
      <c r="BB1333" s="57"/>
      <c r="BC1333" s="57"/>
      <c r="BD1333" s="57"/>
      <c r="BE1333" s="57"/>
      <c r="BF1333" s="57"/>
    </row>
    <row r="1334" spans="1:58" s="59" customFormat="1" x14ac:dyDescent="0.25">
      <c r="A1334" s="53"/>
      <c r="B1334" s="60"/>
      <c r="C1334" s="57">
        <f t="shared" si="104"/>
        <v>0</v>
      </c>
      <c r="D1334" s="56"/>
      <c r="E1334" s="57">
        <f>[1]DETAY!$A$2</f>
        <v>0</v>
      </c>
      <c r="F1334" s="90">
        <f t="shared" si="105"/>
        <v>0</v>
      </c>
      <c r="G1334" s="92">
        <f t="shared" si="106"/>
        <v>0</v>
      </c>
      <c r="H1334" s="62" t="e">
        <f t="shared" si="107"/>
        <v>#DIV/0!</v>
      </c>
      <c r="I1334" s="57"/>
      <c r="J1334" s="57"/>
      <c r="K1334" s="57"/>
      <c r="L1334" s="57"/>
      <c r="M1334" s="58"/>
      <c r="N1334" s="57"/>
      <c r="O1334" s="57"/>
      <c r="P1334" s="57"/>
      <c r="Q1334" s="57"/>
      <c r="R1334" s="57"/>
      <c r="S1334" s="61"/>
      <c r="T1334" s="57"/>
      <c r="U1334" s="57"/>
      <c r="V1334" s="57"/>
      <c r="W1334" s="57"/>
      <c r="X1334" s="57"/>
      <c r="Y1334" s="57"/>
      <c r="Z1334" s="57"/>
      <c r="AA1334" s="57"/>
      <c r="AB1334" s="57"/>
      <c r="AC1334" s="57"/>
      <c r="AD1334" s="57"/>
      <c r="AE1334" s="57"/>
      <c r="AF1334" s="57"/>
      <c r="AG1334" s="57"/>
      <c r="AH1334" s="57"/>
      <c r="AI1334" s="57"/>
      <c r="AJ1334" s="57"/>
      <c r="AK1334" s="57"/>
      <c r="AL1334" s="57"/>
      <c r="AM1334" s="57"/>
      <c r="AN1334" s="57"/>
      <c r="AO1334" s="57"/>
      <c r="AP1334" s="57"/>
      <c r="AQ1334" s="57"/>
      <c r="AR1334" s="57"/>
      <c r="AS1334" s="57"/>
      <c r="AT1334" s="57"/>
      <c r="AU1334" s="57"/>
      <c r="AV1334" s="57"/>
      <c r="AW1334" s="57"/>
      <c r="AX1334" s="57"/>
      <c r="AY1334" s="57"/>
      <c r="AZ1334" s="57"/>
      <c r="BA1334" s="57"/>
      <c r="BB1334" s="57"/>
      <c r="BC1334" s="57"/>
      <c r="BD1334" s="57"/>
      <c r="BE1334" s="57"/>
      <c r="BF1334" s="57"/>
    </row>
    <row r="1335" spans="1:58" s="59" customFormat="1" x14ac:dyDescent="0.25">
      <c r="A1335" s="53"/>
      <c r="B1335" s="60"/>
      <c r="C1335" s="57">
        <f t="shared" si="104"/>
        <v>0</v>
      </c>
      <c r="D1335" s="56"/>
      <c r="E1335" s="57">
        <f>[1]DETAY!$A$2</f>
        <v>0</v>
      </c>
      <c r="F1335" s="90">
        <f t="shared" si="105"/>
        <v>0</v>
      </c>
      <c r="G1335" s="92">
        <f t="shared" si="106"/>
        <v>0</v>
      </c>
      <c r="H1335" s="62" t="e">
        <f t="shared" si="107"/>
        <v>#DIV/0!</v>
      </c>
      <c r="I1335" s="57"/>
      <c r="J1335" s="57"/>
      <c r="K1335" s="57"/>
      <c r="L1335" s="57"/>
      <c r="M1335" s="58"/>
      <c r="N1335" s="57"/>
      <c r="O1335" s="57"/>
      <c r="P1335" s="57"/>
      <c r="Q1335" s="57"/>
      <c r="R1335" s="57"/>
      <c r="S1335" s="61"/>
      <c r="T1335" s="57"/>
      <c r="U1335" s="57"/>
      <c r="V1335" s="57"/>
      <c r="W1335" s="57"/>
      <c r="X1335" s="57"/>
      <c r="Y1335" s="57"/>
      <c r="Z1335" s="57"/>
      <c r="AA1335" s="57"/>
      <c r="AB1335" s="57"/>
      <c r="AC1335" s="57"/>
      <c r="AD1335" s="57"/>
      <c r="AE1335" s="57"/>
      <c r="AF1335" s="57"/>
      <c r="AG1335" s="57"/>
      <c r="AH1335" s="57"/>
      <c r="AI1335" s="57"/>
      <c r="AJ1335" s="57"/>
      <c r="AK1335" s="57"/>
      <c r="AL1335" s="57"/>
      <c r="AM1335" s="57"/>
      <c r="AN1335" s="57"/>
      <c r="AO1335" s="57"/>
      <c r="AP1335" s="57"/>
      <c r="AQ1335" s="57"/>
      <c r="AR1335" s="57"/>
      <c r="AS1335" s="57"/>
      <c r="AT1335" s="57"/>
      <c r="AU1335" s="57"/>
      <c r="AV1335" s="57"/>
      <c r="AW1335" s="57"/>
      <c r="AX1335" s="57"/>
      <c r="AY1335" s="57"/>
      <c r="AZ1335" s="57"/>
      <c r="BA1335" s="57"/>
      <c r="BB1335" s="57"/>
      <c r="BC1335" s="57"/>
      <c r="BD1335" s="57"/>
      <c r="BE1335" s="57"/>
      <c r="BF1335" s="57"/>
    </row>
    <row r="1336" spans="1:58" s="59" customFormat="1" x14ac:dyDescent="0.25">
      <c r="A1336" s="53"/>
      <c r="B1336" s="60"/>
      <c r="C1336" s="57">
        <f t="shared" si="104"/>
        <v>0</v>
      </c>
      <c r="D1336" s="56"/>
      <c r="E1336" s="57">
        <f>[1]DETAY!$A$2</f>
        <v>0</v>
      </c>
      <c r="F1336" s="90">
        <f t="shared" si="105"/>
        <v>0</v>
      </c>
      <c r="G1336" s="92">
        <f t="shared" si="106"/>
        <v>0</v>
      </c>
      <c r="H1336" s="62" t="e">
        <f t="shared" si="107"/>
        <v>#DIV/0!</v>
      </c>
      <c r="I1336" s="57"/>
      <c r="J1336" s="57"/>
      <c r="K1336" s="57"/>
      <c r="L1336" s="57"/>
      <c r="M1336" s="58"/>
      <c r="N1336" s="57"/>
      <c r="O1336" s="57"/>
      <c r="P1336" s="57"/>
      <c r="Q1336" s="57"/>
      <c r="R1336" s="57"/>
      <c r="S1336" s="61"/>
      <c r="T1336" s="57"/>
      <c r="U1336" s="57"/>
      <c r="V1336" s="57"/>
      <c r="W1336" s="57"/>
      <c r="X1336" s="57"/>
      <c r="Y1336" s="57"/>
      <c r="Z1336" s="57"/>
      <c r="AA1336" s="57"/>
      <c r="AB1336" s="57"/>
      <c r="AC1336" s="57"/>
      <c r="AD1336" s="57"/>
      <c r="AE1336" s="57"/>
      <c r="AF1336" s="57"/>
      <c r="AG1336" s="57"/>
      <c r="AH1336" s="57"/>
      <c r="AI1336" s="57"/>
      <c r="AJ1336" s="57"/>
      <c r="AK1336" s="57"/>
      <c r="AL1336" s="57"/>
      <c r="AM1336" s="57"/>
      <c r="AN1336" s="57"/>
      <c r="AO1336" s="57"/>
      <c r="AP1336" s="57"/>
      <c r="AQ1336" s="57"/>
      <c r="AR1336" s="57"/>
      <c r="AS1336" s="57"/>
      <c r="AT1336" s="57"/>
      <c r="AU1336" s="57"/>
      <c r="AV1336" s="57"/>
      <c r="AW1336" s="57"/>
      <c r="AX1336" s="57"/>
      <c r="AY1336" s="57"/>
      <c r="AZ1336" s="57"/>
      <c r="BA1336" s="57"/>
      <c r="BB1336" s="57"/>
      <c r="BC1336" s="57"/>
      <c r="BD1336" s="57"/>
      <c r="BE1336" s="57"/>
      <c r="BF1336" s="57"/>
    </row>
    <row r="1337" spans="1:58" s="59" customFormat="1" x14ac:dyDescent="0.25">
      <c r="A1337" s="53"/>
      <c r="B1337" s="60"/>
      <c r="C1337" s="57">
        <f t="shared" si="104"/>
        <v>0</v>
      </c>
      <c r="D1337" s="56"/>
      <c r="E1337" s="57">
        <f>[1]DETAY!$A$2</f>
        <v>0</v>
      </c>
      <c r="F1337" s="90">
        <f t="shared" si="105"/>
        <v>0</v>
      </c>
      <c r="G1337" s="92">
        <f t="shared" si="106"/>
        <v>0</v>
      </c>
      <c r="H1337" s="62" t="e">
        <f t="shared" si="107"/>
        <v>#DIV/0!</v>
      </c>
      <c r="I1337" s="57"/>
      <c r="J1337" s="57"/>
      <c r="K1337" s="57"/>
      <c r="L1337" s="57"/>
      <c r="M1337" s="58"/>
      <c r="N1337" s="57"/>
      <c r="O1337" s="57"/>
      <c r="P1337" s="57"/>
      <c r="Q1337" s="57"/>
      <c r="R1337" s="57"/>
      <c r="S1337" s="61"/>
      <c r="T1337" s="57"/>
      <c r="U1337" s="57"/>
      <c r="V1337" s="57"/>
      <c r="W1337" s="57"/>
      <c r="X1337" s="57"/>
      <c r="Y1337" s="57"/>
      <c r="Z1337" s="57"/>
      <c r="AA1337" s="57"/>
      <c r="AB1337" s="57"/>
      <c r="AC1337" s="57"/>
      <c r="AD1337" s="57"/>
      <c r="AE1337" s="57"/>
      <c r="AF1337" s="57"/>
      <c r="AG1337" s="57"/>
      <c r="AH1337" s="57"/>
      <c r="AI1337" s="57"/>
      <c r="AJ1337" s="57"/>
      <c r="AK1337" s="57"/>
      <c r="AL1337" s="57"/>
      <c r="AM1337" s="57"/>
      <c r="AN1337" s="57"/>
      <c r="AO1337" s="57"/>
      <c r="AP1337" s="57"/>
      <c r="AQ1337" s="57"/>
      <c r="AR1337" s="57"/>
      <c r="AS1337" s="57"/>
      <c r="AT1337" s="57"/>
      <c r="AU1337" s="57"/>
      <c r="AV1337" s="57"/>
      <c r="AW1337" s="57"/>
      <c r="AX1337" s="57"/>
      <c r="AY1337" s="57"/>
      <c r="AZ1337" s="57"/>
      <c r="BA1337" s="57"/>
      <c r="BB1337" s="57"/>
      <c r="BC1337" s="57"/>
      <c r="BD1337" s="57"/>
      <c r="BE1337" s="57"/>
      <c r="BF1337" s="57"/>
    </row>
    <row r="1338" spans="1:58" s="59" customFormat="1" x14ac:dyDescent="0.25">
      <c r="A1338" s="53"/>
      <c r="B1338" s="60"/>
      <c r="C1338" s="57">
        <f t="shared" si="104"/>
        <v>0</v>
      </c>
      <c r="D1338" s="56"/>
      <c r="E1338" s="57">
        <f>[1]DETAY!$A$2</f>
        <v>0</v>
      </c>
      <c r="F1338" s="90">
        <f t="shared" si="105"/>
        <v>0</v>
      </c>
      <c r="G1338" s="92">
        <f t="shared" si="106"/>
        <v>0</v>
      </c>
      <c r="H1338" s="62" t="e">
        <f t="shared" si="107"/>
        <v>#DIV/0!</v>
      </c>
      <c r="I1338" s="57"/>
      <c r="J1338" s="57"/>
      <c r="K1338" s="57"/>
      <c r="L1338" s="57"/>
      <c r="M1338" s="58"/>
      <c r="N1338" s="57"/>
      <c r="O1338" s="57"/>
      <c r="P1338" s="57"/>
      <c r="Q1338" s="57"/>
      <c r="R1338" s="57"/>
      <c r="S1338" s="61"/>
      <c r="T1338" s="57"/>
      <c r="U1338" s="57"/>
      <c r="V1338" s="57"/>
      <c r="W1338" s="57"/>
      <c r="X1338" s="57"/>
      <c r="Y1338" s="57"/>
      <c r="Z1338" s="57"/>
      <c r="AA1338" s="57"/>
      <c r="AB1338" s="57"/>
      <c r="AC1338" s="57"/>
      <c r="AD1338" s="57"/>
      <c r="AE1338" s="57"/>
      <c r="AF1338" s="57"/>
      <c r="AG1338" s="57"/>
      <c r="AH1338" s="57"/>
      <c r="AI1338" s="57"/>
      <c r="AJ1338" s="57"/>
      <c r="AK1338" s="57"/>
      <c r="AL1338" s="57"/>
      <c r="AM1338" s="57"/>
      <c r="AN1338" s="57"/>
      <c r="AO1338" s="57"/>
      <c r="AP1338" s="57"/>
      <c r="AQ1338" s="57"/>
      <c r="AR1338" s="57"/>
      <c r="AS1338" s="57"/>
      <c r="AT1338" s="57"/>
      <c r="AU1338" s="57"/>
      <c r="AV1338" s="57"/>
      <c r="AW1338" s="57"/>
      <c r="AX1338" s="57"/>
      <c r="AY1338" s="57"/>
      <c r="AZ1338" s="57"/>
      <c r="BA1338" s="57"/>
      <c r="BB1338" s="57"/>
      <c r="BC1338" s="57"/>
      <c r="BD1338" s="57"/>
      <c r="BE1338" s="57"/>
      <c r="BF1338" s="57"/>
    </row>
    <row r="1339" spans="1:58" s="59" customFormat="1" x14ac:dyDescent="0.25">
      <c r="A1339" s="53"/>
      <c r="B1339" s="60"/>
      <c r="C1339" s="57">
        <f t="shared" si="104"/>
        <v>0</v>
      </c>
      <c r="D1339" s="56"/>
      <c r="E1339" s="57">
        <f>[1]DETAY!$A$2</f>
        <v>0</v>
      </c>
      <c r="F1339" s="90">
        <f t="shared" si="105"/>
        <v>0</v>
      </c>
      <c r="G1339" s="92">
        <f t="shared" si="106"/>
        <v>0</v>
      </c>
      <c r="H1339" s="62" t="e">
        <f t="shared" si="107"/>
        <v>#DIV/0!</v>
      </c>
      <c r="I1339" s="57"/>
      <c r="J1339" s="57"/>
      <c r="K1339" s="57"/>
      <c r="L1339" s="57"/>
      <c r="M1339" s="58"/>
      <c r="N1339" s="57"/>
      <c r="O1339" s="57"/>
      <c r="P1339" s="57"/>
      <c r="Q1339" s="57"/>
      <c r="R1339" s="57"/>
      <c r="S1339" s="61"/>
      <c r="T1339" s="57"/>
      <c r="U1339" s="57"/>
      <c r="V1339" s="57"/>
      <c r="W1339" s="57"/>
      <c r="X1339" s="57"/>
      <c r="Y1339" s="57"/>
      <c r="Z1339" s="57"/>
      <c r="AA1339" s="57"/>
      <c r="AB1339" s="57"/>
      <c r="AC1339" s="57"/>
      <c r="AD1339" s="57"/>
      <c r="AE1339" s="57"/>
      <c r="AF1339" s="57"/>
      <c r="AG1339" s="57"/>
      <c r="AH1339" s="57"/>
      <c r="AI1339" s="57"/>
      <c r="AJ1339" s="57"/>
      <c r="AK1339" s="57"/>
      <c r="AL1339" s="57"/>
      <c r="AM1339" s="57"/>
      <c r="AN1339" s="57"/>
      <c r="AO1339" s="57"/>
      <c r="AP1339" s="57"/>
      <c r="AQ1339" s="57"/>
      <c r="AR1339" s="57"/>
      <c r="AS1339" s="57"/>
      <c r="AT1339" s="57"/>
      <c r="AU1339" s="57"/>
      <c r="AV1339" s="57"/>
      <c r="AW1339" s="57"/>
      <c r="AX1339" s="57"/>
      <c r="AY1339" s="57"/>
      <c r="AZ1339" s="57"/>
      <c r="BA1339" s="57"/>
      <c r="BB1339" s="57"/>
      <c r="BC1339" s="57"/>
      <c r="BD1339" s="57"/>
      <c r="BE1339" s="57"/>
      <c r="BF1339" s="57"/>
    </row>
    <row r="1340" spans="1:58" s="59" customFormat="1" x14ac:dyDescent="0.25">
      <c r="A1340" s="53"/>
      <c r="B1340" s="60"/>
      <c r="C1340" s="57">
        <f t="shared" si="104"/>
        <v>0</v>
      </c>
      <c r="D1340" s="56"/>
      <c r="E1340" s="57">
        <f>[1]DETAY!$A$2</f>
        <v>0</v>
      </c>
      <c r="F1340" s="90">
        <f t="shared" si="105"/>
        <v>0</v>
      </c>
      <c r="G1340" s="92">
        <f t="shared" si="106"/>
        <v>0</v>
      </c>
      <c r="H1340" s="62" t="e">
        <f t="shared" si="107"/>
        <v>#DIV/0!</v>
      </c>
      <c r="I1340" s="57"/>
      <c r="J1340" s="57"/>
      <c r="K1340" s="57"/>
      <c r="L1340" s="57"/>
      <c r="M1340" s="58"/>
      <c r="N1340" s="57"/>
      <c r="O1340" s="57"/>
      <c r="P1340" s="57"/>
      <c r="Q1340" s="57"/>
      <c r="R1340" s="57"/>
      <c r="S1340" s="61"/>
      <c r="T1340" s="57"/>
      <c r="U1340" s="57"/>
      <c r="V1340" s="57"/>
      <c r="W1340" s="57"/>
      <c r="X1340" s="57"/>
      <c r="Y1340" s="57"/>
      <c r="Z1340" s="57"/>
      <c r="AA1340" s="57"/>
      <c r="AB1340" s="57"/>
      <c r="AC1340" s="57"/>
      <c r="AD1340" s="57"/>
      <c r="AE1340" s="57"/>
      <c r="AF1340" s="57"/>
      <c r="AG1340" s="57"/>
      <c r="AH1340" s="57"/>
      <c r="AI1340" s="57"/>
      <c r="AJ1340" s="57"/>
      <c r="AK1340" s="57"/>
      <c r="AL1340" s="57"/>
      <c r="AM1340" s="57"/>
      <c r="AN1340" s="57"/>
      <c r="AO1340" s="57"/>
      <c r="AP1340" s="57"/>
      <c r="AQ1340" s="57"/>
      <c r="AR1340" s="57"/>
      <c r="AS1340" s="57"/>
      <c r="AT1340" s="57"/>
      <c r="AU1340" s="57"/>
      <c r="AV1340" s="57"/>
      <c r="AW1340" s="57"/>
      <c r="AX1340" s="57"/>
      <c r="AY1340" s="57"/>
      <c r="AZ1340" s="57"/>
      <c r="BA1340" s="57"/>
      <c r="BB1340" s="57"/>
      <c r="BC1340" s="57"/>
      <c r="BD1340" s="57"/>
      <c r="BE1340" s="57"/>
      <c r="BF1340" s="57"/>
    </row>
    <row r="1341" spans="1:58" s="59" customFormat="1" x14ac:dyDescent="0.25">
      <c r="A1341" s="53"/>
      <c r="B1341" s="60"/>
      <c r="C1341" s="57">
        <f t="shared" si="104"/>
        <v>0</v>
      </c>
      <c r="D1341" s="56"/>
      <c r="E1341" s="57">
        <f>[1]DETAY!$A$2</f>
        <v>0</v>
      </c>
      <c r="F1341" s="90">
        <f t="shared" si="105"/>
        <v>0</v>
      </c>
      <c r="G1341" s="92">
        <f t="shared" si="106"/>
        <v>0</v>
      </c>
      <c r="H1341" s="62" t="e">
        <f t="shared" si="107"/>
        <v>#DIV/0!</v>
      </c>
      <c r="I1341" s="57"/>
      <c r="J1341" s="57"/>
      <c r="K1341" s="57"/>
      <c r="L1341" s="57"/>
      <c r="M1341" s="58"/>
      <c r="N1341" s="57"/>
      <c r="O1341" s="57"/>
      <c r="P1341" s="57"/>
      <c r="Q1341" s="57"/>
      <c r="R1341" s="57"/>
      <c r="S1341" s="61"/>
      <c r="T1341" s="57"/>
      <c r="U1341" s="57"/>
      <c r="V1341" s="57"/>
      <c r="W1341" s="57"/>
      <c r="X1341" s="57"/>
      <c r="Y1341" s="57"/>
      <c r="Z1341" s="57"/>
      <c r="AA1341" s="57"/>
      <c r="AB1341" s="57"/>
      <c r="AC1341" s="57"/>
      <c r="AD1341" s="57"/>
      <c r="AE1341" s="57"/>
      <c r="AF1341" s="57"/>
      <c r="AG1341" s="57"/>
      <c r="AH1341" s="57"/>
      <c r="AI1341" s="57"/>
      <c r="AJ1341" s="57"/>
      <c r="AK1341" s="57"/>
      <c r="AL1341" s="57"/>
      <c r="AM1341" s="57"/>
      <c r="AN1341" s="57"/>
      <c r="AO1341" s="57"/>
      <c r="AP1341" s="57"/>
      <c r="AQ1341" s="57"/>
      <c r="AR1341" s="57"/>
      <c r="AS1341" s="57"/>
      <c r="AT1341" s="57"/>
      <c r="AU1341" s="57"/>
      <c r="AV1341" s="57"/>
      <c r="AW1341" s="57"/>
      <c r="AX1341" s="57"/>
      <c r="AY1341" s="57"/>
      <c r="AZ1341" s="57"/>
      <c r="BA1341" s="57"/>
      <c r="BB1341" s="57"/>
      <c r="BC1341" s="57"/>
      <c r="BD1341" s="57"/>
      <c r="BE1341" s="57"/>
      <c r="BF1341" s="57"/>
    </row>
    <row r="1342" spans="1:58" s="59" customFormat="1" x14ac:dyDescent="0.25">
      <c r="A1342" s="53"/>
      <c r="B1342" s="60"/>
      <c r="C1342" s="57">
        <f t="shared" si="104"/>
        <v>0</v>
      </c>
      <c r="D1342" s="56"/>
      <c r="E1342" s="57">
        <f>[1]DETAY!$A$2</f>
        <v>0</v>
      </c>
      <c r="F1342" s="90">
        <f t="shared" si="105"/>
        <v>0</v>
      </c>
      <c r="G1342" s="92">
        <f t="shared" si="106"/>
        <v>0</v>
      </c>
      <c r="H1342" s="62" t="e">
        <f t="shared" si="107"/>
        <v>#DIV/0!</v>
      </c>
      <c r="I1342" s="57"/>
      <c r="J1342" s="57"/>
      <c r="K1342" s="57"/>
      <c r="L1342" s="57"/>
      <c r="M1342" s="58"/>
      <c r="N1342" s="57"/>
      <c r="O1342" s="57"/>
      <c r="P1342" s="57"/>
      <c r="Q1342" s="57"/>
      <c r="R1342" s="57"/>
      <c r="S1342" s="61"/>
      <c r="T1342" s="57"/>
      <c r="U1342" s="57"/>
      <c r="V1342" s="57"/>
      <c r="W1342" s="57"/>
      <c r="X1342" s="57"/>
      <c r="Y1342" s="57"/>
      <c r="Z1342" s="57"/>
      <c r="AA1342" s="57"/>
      <c r="AB1342" s="57"/>
      <c r="AC1342" s="57"/>
      <c r="AD1342" s="57"/>
      <c r="AE1342" s="57"/>
      <c r="AF1342" s="57"/>
      <c r="AG1342" s="57"/>
      <c r="AH1342" s="57"/>
      <c r="AI1342" s="57"/>
      <c r="AJ1342" s="57"/>
      <c r="AK1342" s="57"/>
      <c r="AL1342" s="57"/>
      <c r="AM1342" s="57"/>
      <c r="AN1342" s="57"/>
      <c r="AO1342" s="57"/>
      <c r="AP1342" s="57"/>
      <c r="AQ1342" s="57"/>
      <c r="AR1342" s="57"/>
      <c r="AS1342" s="57"/>
      <c r="AT1342" s="57"/>
      <c r="AU1342" s="57"/>
      <c r="AV1342" s="57"/>
      <c r="AW1342" s="57"/>
      <c r="AX1342" s="57"/>
      <c r="AY1342" s="57"/>
      <c r="AZ1342" s="57"/>
      <c r="BA1342" s="57"/>
      <c r="BB1342" s="57"/>
      <c r="BC1342" s="57"/>
      <c r="BD1342" s="57"/>
      <c r="BE1342" s="57"/>
      <c r="BF1342" s="57"/>
    </row>
    <row r="1343" spans="1:58" s="59" customFormat="1" x14ac:dyDescent="0.25">
      <c r="A1343" s="53"/>
      <c r="B1343" s="60"/>
      <c r="C1343" s="57">
        <f t="shared" si="104"/>
        <v>0</v>
      </c>
      <c r="D1343" s="56"/>
      <c r="E1343" s="57">
        <f>[1]DETAY!$A$2</f>
        <v>0</v>
      </c>
      <c r="F1343" s="90">
        <f t="shared" si="105"/>
        <v>0</v>
      </c>
      <c r="G1343" s="92">
        <f t="shared" si="106"/>
        <v>0</v>
      </c>
      <c r="H1343" s="62" t="e">
        <f t="shared" si="107"/>
        <v>#DIV/0!</v>
      </c>
      <c r="I1343" s="57"/>
      <c r="J1343" s="57"/>
      <c r="K1343" s="57"/>
      <c r="L1343" s="57"/>
      <c r="M1343" s="58"/>
      <c r="N1343" s="57"/>
      <c r="O1343" s="57"/>
      <c r="P1343" s="57"/>
      <c r="Q1343" s="57"/>
      <c r="R1343" s="57"/>
      <c r="S1343" s="61"/>
      <c r="T1343" s="57"/>
      <c r="U1343" s="57"/>
      <c r="V1343" s="57"/>
      <c r="W1343" s="57"/>
      <c r="X1343" s="57"/>
      <c r="Y1343" s="57"/>
      <c r="Z1343" s="57"/>
      <c r="AA1343" s="57"/>
      <c r="AB1343" s="57"/>
      <c r="AC1343" s="57"/>
      <c r="AD1343" s="57"/>
      <c r="AE1343" s="57"/>
      <c r="AF1343" s="57"/>
      <c r="AG1343" s="57"/>
      <c r="AH1343" s="57"/>
      <c r="AI1343" s="57"/>
      <c r="AJ1343" s="57"/>
      <c r="AK1343" s="57"/>
      <c r="AL1343" s="57"/>
      <c r="AM1343" s="57"/>
      <c r="AN1343" s="57"/>
      <c r="AO1343" s="57"/>
      <c r="AP1343" s="57"/>
      <c r="AQ1343" s="57"/>
      <c r="AR1343" s="57"/>
      <c r="AS1343" s="57"/>
      <c r="AT1343" s="57"/>
      <c r="AU1343" s="57"/>
      <c r="AV1343" s="57"/>
      <c r="AW1343" s="57"/>
      <c r="AX1343" s="57"/>
      <c r="AY1343" s="57"/>
      <c r="AZ1343" s="57"/>
      <c r="BA1343" s="57"/>
      <c r="BB1343" s="57"/>
      <c r="BC1343" s="57"/>
      <c r="BD1343" s="57"/>
      <c r="BE1343" s="57"/>
      <c r="BF1343" s="57"/>
    </row>
    <row r="1344" spans="1:58" s="59" customFormat="1" x14ac:dyDescent="0.25">
      <c r="A1344" s="53"/>
      <c r="B1344" s="60"/>
      <c r="C1344" s="57">
        <f t="shared" si="104"/>
        <v>0</v>
      </c>
      <c r="D1344" s="56"/>
      <c r="E1344" s="57">
        <f>[1]DETAY!$A$2</f>
        <v>0</v>
      </c>
      <c r="F1344" s="90">
        <f t="shared" si="105"/>
        <v>0</v>
      </c>
      <c r="G1344" s="92">
        <f t="shared" si="106"/>
        <v>0</v>
      </c>
      <c r="H1344" s="62" t="e">
        <f t="shared" si="107"/>
        <v>#DIV/0!</v>
      </c>
      <c r="I1344" s="57"/>
      <c r="J1344" s="57"/>
      <c r="K1344" s="57"/>
      <c r="L1344" s="57"/>
      <c r="M1344" s="58"/>
      <c r="N1344" s="57"/>
      <c r="O1344" s="57"/>
      <c r="P1344" s="57"/>
      <c r="Q1344" s="57"/>
      <c r="R1344" s="57"/>
      <c r="S1344" s="61"/>
      <c r="T1344" s="57"/>
      <c r="U1344" s="57"/>
      <c r="V1344" s="57"/>
      <c r="W1344" s="57"/>
      <c r="X1344" s="57"/>
      <c r="Y1344" s="57"/>
      <c r="Z1344" s="57"/>
      <c r="AA1344" s="57"/>
      <c r="AB1344" s="57"/>
      <c r="AC1344" s="57"/>
      <c r="AD1344" s="57"/>
      <c r="AE1344" s="57"/>
      <c r="AF1344" s="57"/>
      <c r="AG1344" s="57"/>
      <c r="AH1344" s="57"/>
      <c r="AI1344" s="57"/>
      <c r="AJ1344" s="57"/>
      <c r="AK1344" s="57"/>
      <c r="AL1344" s="57"/>
      <c r="AM1344" s="57"/>
      <c r="AN1344" s="57"/>
      <c r="AO1344" s="57"/>
      <c r="AP1344" s="57"/>
      <c r="AQ1344" s="57"/>
      <c r="AR1344" s="57"/>
      <c r="AS1344" s="57"/>
      <c r="AT1344" s="57"/>
      <c r="AU1344" s="57"/>
      <c r="AV1344" s="57"/>
      <c r="AW1344" s="57"/>
      <c r="AX1344" s="57"/>
      <c r="AY1344" s="57"/>
      <c r="AZ1344" s="57"/>
      <c r="BA1344" s="57"/>
      <c r="BB1344" s="57"/>
      <c r="BC1344" s="57"/>
      <c r="BD1344" s="57"/>
      <c r="BE1344" s="57"/>
      <c r="BF1344" s="57"/>
    </row>
    <row r="1345" spans="1:58" s="59" customFormat="1" x14ac:dyDescent="0.25">
      <c r="A1345" s="53"/>
      <c r="B1345" s="60"/>
      <c r="C1345" s="57">
        <f t="shared" si="104"/>
        <v>0</v>
      </c>
      <c r="D1345" s="56"/>
      <c r="E1345" s="57">
        <f>[1]DETAY!$A$2</f>
        <v>0</v>
      </c>
      <c r="F1345" s="90">
        <f t="shared" si="105"/>
        <v>0</v>
      </c>
      <c r="G1345" s="92">
        <f t="shared" si="106"/>
        <v>0</v>
      </c>
      <c r="H1345" s="62" t="e">
        <f t="shared" si="107"/>
        <v>#DIV/0!</v>
      </c>
      <c r="I1345" s="57"/>
      <c r="J1345" s="57"/>
      <c r="K1345" s="57"/>
      <c r="L1345" s="57"/>
      <c r="M1345" s="58"/>
      <c r="N1345" s="57"/>
      <c r="O1345" s="57"/>
      <c r="P1345" s="57"/>
      <c r="Q1345" s="57"/>
      <c r="R1345" s="57"/>
      <c r="S1345" s="61"/>
      <c r="T1345" s="57"/>
      <c r="U1345" s="57"/>
      <c r="V1345" s="57"/>
      <c r="W1345" s="57"/>
      <c r="X1345" s="57"/>
      <c r="Y1345" s="57"/>
      <c r="Z1345" s="57"/>
      <c r="AA1345" s="57"/>
      <c r="AB1345" s="57"/>
      <c r="AC1345" s="57"/>
      <c r="AD1345" s="57"/>
      <c r="AE1345" s="57"/>
      <c r="AF1345" s="57"/>
      <c r="AG1345" s="57"/>
      <c r="AH1345" s="57"/>
      <c r="AI1345" s="57"/>
      <c r="AJ1345" s="57"/>
      <c r="AK1345" s="57"/>
      <c r="AL1345" s="57"/>
      <c r="AM1345" s="57"/>
      <c r="AN1345" s="57"/>
      <c r="AO1345" s="57"/>
      <c r="AP1345" s="57"/>
      <c r="AQ1345" s="57"/>
      <c r="AR1345" s="57"/>
      <c r="AS1345" s="57"/>
      <c r="AT1345" s="57"/>
      <c r="AU1345" s="57"/>
      <c r="AV1345" s="57"/>
      <c r="AW1345" s="57"/>
      <c r="AX1345" s="57"/>
      <c r="AY1345" s="57"/>
      <c r="AZ1345" s="57"/>
      <c r="BA1345" s="57"/>
      <c r="BB1345" s="57"/>
      <c r="BC1345" s="57"/>
      <c r="BD1345" s="57"/>
      <c r="BE1345" s="57"/>
      <c r="BF1345" s="57"/>
    </row>
    <row r="1346" spans="1:58" s="59" customFormat="1" x14ac:dyDescent="0.25">
      <c r="A1346" s="53"/>
      <c r="B1346" s="60"/>
      <c r="C1346" s="57">
        <f t="shared" si="104"/>
        <v>0</v>
      </c>
      <c r="D1346" s="56"/>
      <c r="E1346" s="57">
        <f>[1]DETAY!$A$2</f>
        <v>0</v>
      </c>
      <c r="F1346" s="90">
        <f t="shared" si="105"/>
        <v>0</v>
      </c>
      <c r="G1346" s="92">
        <f t="shared" si="106"/>
        <v>0</v>
      </c>
      <c r="H1346" s="62" t="e">
        <f t="shared" si="107"/>
        <v>#DIV/0!</v>
      </c>
      <c r="I1346" s="57"/>
      <c r="J1346" s="57"/>
      <c r="K1346" s="57"/>
      <c r="L1346" s="57"/>
      <c r="M1346" s="58"/>
      <c r="N1346" s="57"/>
      <c r="O1346" s="57"/>
      <c r="P1346" s="57"/>
      <c r="Q1346" s="57"/>
      <c r="R1346" s="57"/>
      <c r="S1346" s="61"/>
      <c r="T1346" s="57"/>
      <c r="U1346" s="57"/>
      <c r="V1346" s="57"/>
      <c r="W1346" s="57"/>
      <c r="X1346" s="57"/>
      <c r="Y1346" s="57"/>
      <c r="Z1346" s="57"/>
      <c r="AA1346" s="57"/>
      <c r="AB1346" s="57"/>
      <c r="AC1346" s="57"/>
      <c r="AD1346" s="57"/>
      <c r="AE1346" s="57"/>
      <c r="AF1346" s="57"/>
      <c r="AG1346" s="57"/>
      <c r="AH1346" s="57"/>
      <c r="AI1346" s="57"/>
      <c r="AJ1346" s="57"/>
      <c r="AK1346" s="57"/>
      <c r="AL1346" s="57"/>
      <c r="AM1346" s="57"/>
      <c r="AN1346" s="57"/>
      <c r="AO1346" s="57"/>
      <c r="AP1346" s="57"/>
      <c r="AQ1346" s="57"/>
      <c r="AR1346" s="57"/>
      <c r="AS1346" s="57"/>
      <c r="AT1346" s="57"/>
      <c r="AU1346" s="57"/>
      <c r="AV1346" s="57"/>
      <c r="AW1346" s="57"/>
      <c r="AX1346" s="57"/>
      <c r="AY1346" s="57"/>
      <c r="AZ1346" s="57"/>
      <c r="BA1346" s="57"/>
      <c r="BB1346" s="57"/>
      <c r="BC1346" s="57"/>
      <c r="BD1346" s="57"/>
      <c r="BE1346" s="57"/>
      <c r="BF1346" s="57"/>
    </row>
    <row r="1347" spans="1:58" s="59" customFormat="1" x14ac:dyDescent="0.25">
      <c r="A1347" s="53"/>
      <c r="B1347" s="60"/>
      <c r="C1347" s="57">
        <f t="shared" si="104"/>
        <v>0</v>
      </c>
      <c r="D1347" s="56"/>
      <c r="E1347" s="57">
        <f>[1]DETAY!$A$2</f>
        <v>0</v>
      </c>
      <c r="F1347" s="90">
        <f t="shared" si="105"/>
        <v>0</v>
      </c>
      <c r="G1347" s="92">
        <f t="shared" si="106"/>
        <v>0</v>
      </c>
      <c r="H1347" s="62" t="e">
        <f t="shared" si="107"/>
        <v>#DIV/0!</v>
      </c>
      <c r="I1347" s="57"/>
      <c r="J1347" s="57"/>
      <c r="K1347" s="57"/>
      <c r="L1347" s="57"/>
      <c r="M1347" s="58"/>
      <c r="N1347" s="57"/>
      <c r="O1347" s="57"/>
      <c r="P1347" s="57"/>
      <c r="Q1347" s="57"/>
      <c r="R1347" s="57"/>
      <c r="S1347" s="61"/>
      <c r="T1347" s="57"/>
      <c r="U1347" s="57"/>
      <c r="V1347" s="57"/>
      <c r="W1347" s="57"/>
      <c r="X1347" s="57"/>
      <c r="Y1347" s="57"/>
      <c r="Z1347" s="57"/>
      <c r="AA1347" s="57"/>
      <c r="AB1347" s="57"/>
      <c r="AC1347" s="57"/>
      <c r="AD1347" s="57"/>
      <c r="AE1347" s="57"/>
      <c r="AF1347" s="57"/>
      <c r="AG1347" s="57"/>
      <c r="AH1347" s="57"/>
      <c r="AI1347" s="57"/>
      <c r="AJ1347" s="57"/>
      <c r="AK1347" s="57"/>
      <c r="AL1347" s="57"/>
      <c r="AM1347" s="57"/>
      <c r="AN1347" s="57"/>
      <c r="AO1347" s="57"/>
      <c r="AP1347" s="57"/>
      <c r="AQ1347" s="57"/>
      <c r="AR1347" s="57"/>
      <c r="AS1347" s="57"/>
      <c r="AT1347" s="57"/>
      <c r="AU1347" s="57"/>
      <c r="AV1347" s="57"/>
      <c r="AW1347" s="57"/>
      <c r="AX1347" s="57"/>
      <c r="AY1347" s="57"/>
      <c r="AZ1347" s="57"/>
      <c r="BA1347" s="57"/>
      <c r="BB1347" s="57"/>
      <c r="BC1347" s="57"/>
      <c r="BD1347" s="57"/>
      <c r="BE1347" s="57"/>
      <c r="BF1347" s="57"/>
    </row>
    <row r="1348" spans="1:58" s="59" customFormat="1" x14ac:dyDescent="0.25">
      <c r="A1348" s="53"/>
      <c r="B1348" s="60"/>
      <c r="C1348" s="57">
        <f t="shared" si="104"/>
        <v>0</v>
      </c>
      <c r="D1348" s="56"/>
      <c r="E1348" s="57">
        <f>[1]DETAY!$A$2</f>
        <v>0</v>
      </c>
      <c r="F1348" s="90">
        <f t="shared" si="105"/>
        <v>0</v>
      </c>
      <c r="G1348" s="92">
        <f t="shared" si="106"/>
        <v>0</v>
      </c>
      <c r="H1348" s="62" t="e">
        <f t="shared" si="107"/>
        <v>#DIV/0!</v>
      </c>
      <c r="I1348" s="57"/>
      <c r="J1348" s="57"/>
      <c r="K1348" s="57"/>
      <c r="L1348" s="57"/>
      <c r="M1348" s="58"/>
      <c r="N1348" s="57"/>
      <c r="O1348" s="57"/>
      <c r="P1348" s="57"/>
      <c r="Q1348" s="57"/>
      <c r="R1348" s="57"/>
      <c r="S1348" s="61"/>
      <c r="T1348" s="57"/>
      <c r="U1348" s="57"/>
      <c r="V1348" s="57"/>
      <c r="W1348" s="57"/>
      <c r="X1348" s="57"/>
      <c r="Y1348" s="57"/>
      <c r="Z1348" s="57"/>
      <c r="AA1348" s="57"/>
      <c r="AB1348" s="57"/>
      <c r="AC1348" s="57"/>
      <c r="AD1348" s="57"/>
      <c r="AE1348" s="57"/>
      <c r="AF1348" s="57"/>
      <c r="AG1348" s="57"/>
      <c r="AH1348" s="57"/>
      <c r="AI1348" s="57"/>
      <c r="AJ1348" s="57"/>
      <c r="AK1348" s="57"/>
      <c r="AL1348" s="57"/>
      <c r="AM1348" s="57"/>
      <c r="AN1348" s="57"/>
      <c r="AO1348" s="57"/>
      <c r="AP1348" s="57"/>
      <c r="AQ1348" s="57"/>
      <c r="AR1348" s="57"/>
      <c r="AS1348" s="57"/>
      <c r="AT1348" s="57"/>
      <c r="AU1348" s="57"/>
      <c r="AV1348" s="57"/>
      <c r="AW1348" s="57"/>
      <c r="AX1348" s="57"/>
      <c r="AY1348" s="57"/>
      <c r="AZ1348" s="57"/>
      <c r="BA1348" s="57"/>
      <c r="BB1348" s="57"/>
      <c r="BC1348" s="57"/>
      <c r="BD1348" s="57"/>
      <c r="BE1348" s="57"/>
      <c r="BF1348" s="57"/>
    </row>
    <row r="1349" spans="1:58" s="59" customFormat="1" x14ac:dyDescent="0.25">
      <c r="A1349" s="53"/>
      <c r="B1349" s="60"/>
      <c r="C1349" s="57">
        <f t="shared" si="104"/>
        <v>0</v>
      </c>
      <c r="D1349" s="56"/>
      <c r="E1349" s="57">
        <f>[1]DETAY!$A$2</f>
        <v>0</v>
      </c>
      <c r="F1349" s="90">
        <f t="shared" si="105"/>
        <v>0</v>
      </c>
      <c r="G1349" s="92">
        <f t="shared" si="106"/>
        <v>0</v>
      </c>
      <c r="H1349" s="62" t="e">
        <f t="shared" si="107"/>
        <v>#DIV/0!</v>
      </c>
      <c r="I1349" s="57"/>
      <c r="J1349" s="57"/>
      <c r="K1349" s="57"/>
      <c r="L1349" s="57"/>
      <c r="M1349" s="58"/>
      <c r="N1349" s="57"/>
      <c r="O1349" s="57"/>
      <c r="P1349" s="57"/>
      <c r="Q1349" s="57"/>
      <c r="R1349" s="57"/>
      <c r="S1349" s="61"/>
      <c r="T1349" s="57"/>
      <c r="U1349" s="57"/>
      <c r="V1349" s="57"/>
      <c r="W1349" s="57"/>
      <c r="X1349" s="57"/>
      <c r="Y1349" s="57"/>
      <c r="Z1349" s="57"/>
      <c r="AA1349" s="57"/>
      <c r="AB1349" s="57"/>
      <c r="AC1349" s="57"/>
      <c r="AD1349" s="57"/>
      <c r="AE1349" s="57"/>
      <c r="AF1349" s="57"/>
      <c r="AG1349" s="57"/>
      <c r="AH1349" s="57"/>
      <c r="AI1349" s="57"/>
      <c r="AJ1349" s="57"/>
      <c r="AK1349" s="57"/>
      <c r="AL1349" s="57"/>
      <c r="AM1349" s="57"/>
      <c r="AN1349" s="57"/>
      <c r="AO1349" s="57"/>
      <c r="AP1349" s="57"/>
      <c r="AQ1349" s="57"/>
      <c r="AR1349" s="57"/>
      <c r="AS1349" s="57"/>
      <c r="AT1349" s="57"/>
      <c r="AU1349" s="57"/>
      <c r="AV1349" s="57"/>
      <c r="AW1349" s="57"/>
      <c r="AX1349" s="57"/>
      <c r="AY1349" s="57"/>
      <c r="AZ1349" s="57"/>
      <c r="BA1349" s="57"/>
      <c r="BB1349" s="57"/>
      <c r="BC1349" s="57"/>
      <c r="BD1349" s="57"/>
      <c r="BE1349" s="57"/>
      <c r="BF1349" s="57"/>
    </row>
    <row r="1350" spans="1:58" s="59" customFormat="1" x14ac:dyDescent="0.25">
      <c r="A1350" s="53"/>
      <c r="B1350" s="60"/>
      <c r="C1350" s="57">
        <f t="shared" si="104"/>
        <v>0</v>
      </c>
      <c r="D1350" s="56"/>
      <c r="E1350" s="57">
        <f>[1]DETAY!$A$2</f>
        <v>0</v>
      </c>
      <c r="F1350" s="90">
        <f t="shared" si="105"/>
        <v>0</v>
      </c>
      <c r="G1350" s="92">
        <f t="shared" si="106"/>
        <v>0</v>
      </c>
      <c r="H1350" s="62" t="e">
        <f t="shared" si="107"/>
        <v>#DIV/0!</v>
      </c>
      <c r="I1350" s="57"/>
      <c r="J1350" s="57"/>
      <c r="K1350" s="57"/>
      <c r="L1350" s="57"/>
      <c r="M1350" s="58"/>
      <c r="N1350" s="57"/>
      <c r="O1350" s="57"/>
      <c r="P1350" s="57"/>
      <c r="Q1350" s="57"/>
      <c r="R1350" s="57"/>
      <c r="S1350" s="61"/>
      <c r="T1350" s="57"/>
      <c r="U1350" s="57"/>
      <c r="V1350" s="57"/>
      <c r="W1350" s="57"/>
      <c r="X1350" s="57"/>
      <c r="Y1350" s="57"/>
      <c r="Z1350" s="57"/>
      <c r="AA1350" s="57"/>
      <c r="AB1350" s="57"/>
      <c r="AC1350" s="57"/>
      <c r="AD1350" s="57"/>
      <c r="AE1350" s="57"/>
      <c r="AF1350" s="57"/>
      <c r="AG1350" s="57"/>
      <c r="AH1350" s="57"/>
      <c r="AI1350" s="57"/>
      <c r="AJ1350" s="57"/>
      <c r="AK1350" s="57"/>
      <c r="AL1350" s="57"/>
      <c r="AM1350" s="57"/>
      <c r="AN1350" s="57"/>
      <c r="AO1350" s="57"/>
      <c r="AP1350" s="57"/>
      <c r="AQ1350" s="57"/>
      <c r="AR1350" s="57"/>
      <c r="AS1350" s="57"/>
      <c r="AT1350" s="57"/>
      <c r="AU1350" s="57"/>
      <c r="AV1350" s="57"/>
      <c r="AW1350" s="57"/>
      <c r="AX1350" s="57"/>
      <c r="AY1350" s="57"/>
      <c r="AZ1350" s="57"/>
      <c r="BA1350" s="57"/>
      <c r="BB1350" s="57"/>
      <c r="BC1350" s="57"/>
      <c r="BD1350" s="57"/>
      <c r="BE1350" s="57"/>
      <c r="BF1350" s="57"/>
    </row>
    <row r="1351" spans="1:58" s="59" customFormat="1" x14ac:dyDescent="0.25">
      <c r="A1351" s="53"/>
      <c r="B1351" s="60"/>
      <c r="C1351" s="57">
        <f t="shared" si="104"/>
        <v>0</v>
      </c>
      <c r="D1351" s="56"/>
      <c r="E1351" s="57">
        <f>[1]DETAY!$A$2</f>
        <v>0</v>
      </c>
      <c r="F1351" s="90">
        <f t="shared" si="105"/>
        <v>0</v>
      </c>
      <c r="G1351" s="92">
        <f t="shared" si="106"/>
        <v>0</v>
      </c>
      <c r="H1351" s="62" t="e">
        <f t="shared" si="107"/>
        <v>#DIV/0!</v>
      </c>
      <c r="I1351" s="57"/>
      <c r="J1351" s="57"/>
      <c r="K1351" s="57"/>
      <c r="L1351" s="57"/>
      <c r="M1351" s="58"/>
      <c r="N1351" s="57"/>
      <c r="O1351" s="57"/>
      <c r="P1351" s="57"/>
      <c r="Q1351" s="57"/>
      <c r="R1351" s="57"/>
      <c r="S1351" s="61"/>
      <c r="T1351" s="57"/>
      <c r="U1351" s="57"/>
      <c r="V1351" s="57"/>
      <c r="W1351" s="57"/>
      <c r="X1351" s="57"/>
      <c r="Y1351" s="57"/>
      <c r="Z1351" s="57"/>
      <c r="AA1351" s="57"/>
      <c r="AB1351" s="57"/>
      <c r="AC1351" s="57"/>
      <c r="AD1351" s="57"/>
      <c r="AE1351" s="57"/>
      <c r="AF1351" s="57"/>
      <c r="AG1351" s="57"/>
      <c r="AH1351" s="57"/>
      <c r="AI1351" s="57"/>
      <c r="AJ1351" s="57"/>
      <c r="AK1351" s="57"/>
      <c r="AL1351" s="57"/>
      <c r="AM1351" s="57"/>
      <c r="AN1351" s="57"/>
      <c r="AO1351" s="57"/>
      <c r="AP1351" s="57"/>
      <c r="AQ1351" s="57"/>
      <c r="AR1351" s="57"/>
      <c r="AS1351" s="57"/>
      <c r="AT1351" s="57"/>
      <c r="AU1351" s="57"/>
      <c r="AV1351" s="57"/>
      <c r="AW1351" s="57"/>
      <c r="AX1351" s="57"/>
      <c r="AY1351" s="57"/>
      <c r="AZ1351" s="57"/>
      <c r="BA1351" s="57"/>
      <c r="BB1351" s="57"/>
      <c r="BC1351" s="57"/>
      <c r="BD1351" s="57"/>
      <c r="BE1351" s="57"/>
      <c r="BF1351" s="57"/>
    </row>
    <row r="1352" spans="1:58" s="59" customFormat="1" x14ac:dyDescent="0.25">
      <c r="A1352" s="53"/>
      <c r="B1352" s="60"/>
      <c r="C1352" s="57">
        <f t="shared" ref="C1352:C1415" si="108">WEEKNUM(B1352)</f>
        <v>0</v>
      </c>
      <c r="D1352" s="56"/>
      <c r="E1352" s="57">
        <f>[1]DETAY!$A$2</f>
        <v>0</v>
      </c>
      <c r="F1352" s="90">
        <f t="shared" ref="F1352:F1415" si="109">D1352-G1352</f>
        <v>0</v>
      </c>
      <c r="G1352" s="92">
        <f t="shared" ref="G1352:G1415" si="110">SUBTOTAL(9,I1352:BD1352)</f>
        <v>0</v>
      </c>
      <c r="H1352" s="62" t="e">
        <f t="shared" ref="H1352:H1415" si="111">F1352/D1352</f>
        <v>#DIV/0!</v>
      </c>
      <c r="I1352" s="57"/>
      <c r="J1352" s="57"/>
      <c r="K1352" s="57"/>
      <c r="L1352" s="57"/>
      <c r="M1352" s="58"/>
      <c r="N1352" s="57"/>
      <c r="O1352" s="57"/>
      <c r="P1352" s="57"/>
      <c r="Q1352" s="57"/>
      <c r="R1352" s="57"/>
      <c r="S1352" s="61"/>
      <c r="T1352" s="57"/>
      <c r="U1352" s="57"/>
      <c r="V1352" s="57"/>
      <c r="W1352" s="57"/>
      <c r="X1352" s="57"/>
      <c r="Y1352" s="57"/>
      <c r="Z1352" s="57"/>
      <c r="AA1352" s="57"/>
      <c r="AB1352" s="57"/>
      <c r="AC1352" s="57"/>
      <c r="AD1352" s="57"/>
      <c r="AE1352" s="57"/>
      <c r="AF1352" s="57"/>
      <c r="AG1352" s="57"/>
      <c r="AH1352" s="57"/>
      <c r="AI1352" s="57"/>
      <c r="AJ1352" s="57"/>
      <c r="AK1352" s="57"/>
      <c r="AL1352" s="57"/>
      <c r="AM1352" s="57"/>
      <c r="AN1352" s="57"/>
      <c r="AO1352" s="57"/>
      <c r="AP1352" s="57"/>
      <c r="AQ1352" s="57"/>
      <c r="AR1352" s="57"/>
      <c r="AS1352" s="57"/>
      <c r="AT1352" s="57"/>
      <c r="AU1352" s="57"/>
      <c r="AV1352" s="57"/>
      <c r="AW1352" s="57"/>
      <c r="AX1352" s="57"/>
      <c r="AY1352" s="57"/>
      <c r="AZ1352" s="57"/>
      <c r="BA1352" s="57"/>
      <c r="BB1352" s="57"/>
      <c r="BC1352" s="57"/>
      <c r="BD1352" s="57"/>
      <c r="BE1352" s="57"/>
      <c r="BF1352" s="57"/>
    </row>
    <row r="1353" spans="1:58" s="59" customFormat="1" x14ac:dyDescent="0.25">
      <c r="A1353" s="53"/>
      <c r="B1353" s="60"/>
      <c r="C1353" s="57">
        <f t="shared" si="108"/>
        <v>0</v>
      </c>
      <c r="D1353" s="56"/>
      <c r="E1353" s="57">
        <f>[1]DETAY!$A$2</f>
        <v>0</v>
      </c>
      <c r="F1353" s="90">
        <f t="shared" si="109"/>
        <v>0</v>
      </c>
      <c r="G1353" s="92">
        <f t="shared" si="110"/>
        <v>0</v>
      </c>
      <c r="H1353" s="62" t="e">
        <f t="shared" si="111"/>
        <v>#DIV/0!</v>
      </c>
      <c r="I1353" s="57"/>
      <c r="J1353" s="57"/>
      <c r="K1353" s="57"/>
      <c r="L1353" s="57"/>
      <c r="M1353" s="58"/>
      <c r="N1353" s="57"/>
      <c r="O1353" s="57"/>
      <c r="P1353" s="57"/>
      <c r="Q1353" s="57"/>
      <c r="R1353" s="57"/>
      <c r="S1353" s="61"/>
      <c r="T1353" s="57"/>
      <c r="U1353" s="57"/>
      <c r="V1353" s="57"/>
      <c r="W1353" s="57"/>
      <c r="X1353" s="57"/>
      <c r="Y1353" s="57"/>
      <c r="Z1353" s="57"/>
      <c r="AA1353" s="57"/>
      <c r="AB1353" s="57"/>
      <c r="AC1353" s="57"/>
      <c r="AD1353" s="57"/>
      <c r="AE1353" s="57"/>
      <c r="AF1353" s="57"/>
      <c r="AG1353" s="57"/>
      <c r="AH1353" s="57"/>
      <c r="AI1353" s="57"/>
      <c r="AJ1353" s="57"/>
      <c r="AK1353" s="57"/>
      <c r="AL1353" s="57"/>
      <c r="AM1353" s="57"/>
      <c r="AN1353" s="57"/>
      <c r="AO1353" s="57"/>
      <c r="AP1353" s="57"/>
      <c r="AQ1353" s="57"/>
      <c r="AR1353" s="57"/>
      <c r="AS1353" s="57"/>
      <c r="AT1353" s="57"/>
      <c r="AU1353" s="57"/>
      <c r="AV1353" s="57"/>
      <c r="AW1353" s="57"/>
      <c r="AX1353" s="57"/>
      <c r="AY1353" s="57"/>
      <c r="AZ1353" s="57"/>
      <c r="BA1353" s="57"/>
      <c r="BB1353" s="57"/>
      <c r="BC1353" s="57"/>
      <c r="BD1353" s="57"/>
      <c r="BE1353" s="57"/>
      <c r="BF1353" s="57"/>
    </row>
    <row r="1354" spans="1:58" s="59" customFormat="1" x14ac:dyDescent="0.25">
      <c r="A1354" s="53"/>
      <c r="B1354" s="60"/>
      <c r="C1354" s="57">
        <f t="shared" si="108"/>
        <v>0</v>
      </c>
      <c r="D1354" s="56"/>
      <c r="E1354" s="57">
        <f>[1]DETAY!$A$2</f>
        <v>0</v>
      </c>
      <c r="F1354" s="90">
        <f t="shared" si="109"/>
        <v>0</v>
      </c>
      <c r="G1354" s="92">
        <f t="shared" si="110"/>
        <v>0</v>
      </c>
      <c r="H1354" s="62" t="e">
        <f t="shared" si="111"/>
        <v>#DIV/0!</v>
      </c>
      <c r="I1354" s="57"/>
      <c r="J1354" s="57"/>
      <c r="K1354" s="57"/>
      <c r="L1354" s="57"/>
      <c r="M1354" s="58"/>
      <c r="N1354" s="57"/>
      <c r="O1354" s="57"/>
      <c r="P1354" s="57"/>
      <c r="Q1354" s="57"/>
      <c r="R1354" s="57"/>
      <c r="S1354" s="61"/>
      <c r="T1354" s="57"/>
      <c r="U1354" s="57"/>
      <c r="V1354" s="57"/>
      <c r="W1354" s="57"/>
      <c r="X1354" s="57"/>
      <c r="Y1354" s="57"/>
      <c r="Z1354" s="57"/>
      <c r="AA1354" s="57"/>
      <c r="AB1354" s="57"/>
      <c r="AC1354" s="57"/>
      <c r="AD1354" s="57"/>
      <c r="AE1354" s="57"/>
      <c r="AF1354" s="57"/>
      <c r="AG1354" s="57"/>
      <c r="AH1354" s="57"/>
      <c r="AI1354" s="57"/>
      <c r="AJ1354" s="57"/>
      <c r="AK1354" s="57"/>
      <c r="AL1354" s="57"/>
      <c r="AM1354" s="57"/>
      <c r="AN1354" s="57"/>
      <c r="AO1354" s="57"/>
      <c r="AP1354" s="57"/>
      <c r="AQ1354" s="57"/>
      <c r="AR1354" s="57"/>
      <c r="AS1354" s="57"/>
      <c r="AT1354" s="57"/>
      <c r="AU1354" s="57"/>
      <c r="AV1354" s="57"/>
      <c r="AW1354" s="57"/>
      <c r="AX1354" s="57"/>
      <c r="AY1354" s="57"/>
      <c r="AZ1354" s="57"/>
      <c r="BA1354" s="57"/>
      <c r="BB1354" s="57"/>
      <c r="BC1354" s="57"/>
      <c r="BD1354" s="57"/>
      <c r="BE1354" s="57"/>
      <c r="BF1354" s="57"/>
    </row>
    <row r="1355" spans="1:58" s="59" customFormat="1" x14ac:dyDescent="0.25">
      <c r="A1355" s="53"/>
      <c r="B1355" s="60"/>
      <c r="C1355" s="57">
        <f t="shared" si="108"/>
        <v>0</v>
      </c>
      <c r="D1355" s="56"/>
      <c r="E1355" s="57">
        <f>[1]DETAY!$A$2</f>
        <v>0</v>
      </c>
      <c r="F1355" s="90">
        <f t="shared" si="109"/>
        <v>0</v>
      </c>
      <c r="G1355" s="92">
        <f t="shared" si="110"/>
        <v>0</v>
      </c>
      <c r="H1355" s="62" t="e">
        <f t="shared" si="111"/>
        <v>#DIV/0!</v>
      </c>
      <c r="I1355" s="57"/>
      <c r="J1355" s="57"/>
      <c r="K1355" s="57"/>
      <c r="L1355" s="57"/>
      <c r="M1355" s="58"/>
      <c r="N1355" s="57"/>
      <c r="O1355" s="57"/>
      <c r="P1355" s="57"/>
      <c r="Q1355" s="57"/>
      <c r="R1355" s="57"/>
      <c r="S1355" s="61"/>
      <c r="T1355" s="57"/>
      <c r="U1355" s="57"/>
      <c r="V1355" s="57"/>
      <c r="W1355" s="57"/>
      <c r="X1355" s="57"/>
      <c r="Y1355" s="57"/>
      <c r="Z1355" s="57"/>
      <c r="AA1355" s="57"/>
      <c r="AB1355" s="57"/>
      <c r="AC1355" s="57"/>
      <c r="AD1355" s="57"/>
      <c r="AE1355" s="57"/>
      <c r="AF1355" s="57"/>
      <c r="AG1355" s="57"/>
      <c r="AH1355" s="57"/>
      <c r="AI1355" s="57"/>
      <c r="AJ1355" s="57"/>
      <c r="AK1355" s="57"/>
      <c r="AL1355" s="57"/>
      <c r="AM1355" s="57"/>
      <c r="AN1355" s="57"/>
      <c r="AO1355" s="57"/>
      <c r="AP1355" s="57"/>
      <c r="AQ1355" s="57"/>
      <c r="AR1355" s="57"/>
      <c r="AS1355" s="57"/>
      <c r="AT1355" s="57"/>
      <c r="AU1355" s="57"/>
      <c r="AV1355" s="57"/>
      <c r="AW1355" s="57"/>
      <c r="AX1355" s="57"/>
      <c r="AY1355" s="57"/>
      <c r="AZ1355" s="57"/>
      <c r="BA1355" s="57"/>
      <c r="BB1355" s="57"/>
      <c r="BC1355" s="57"/>
      <c r="BD1355" s="57"/>
      <c r="BE1355" s="57"/>
      <c r="BF1355" s="57"/>
    </row>
    <row r="1356" spans="1:58" s="59" customFormat="1" x14ac:dyDescent="0.25">
      <c r="A1356" s="53"/>
      <c r="B1356" s="60"/>
      <c r="C1356" s="57">
        <f t="shared" si="108"/>
        <v>0</v>
      </c>
      <c r="D1356" s="56"/>
      <c r="E1356" s="57">
        <f>[1]DETAY!$A$2</f>
        <v>0</v>
      </c>
      <c r="F1356" s="90">
        <f t="shared" si="109"/>
        <v>0</v>
      </c>
      <c r="G1356" s="92">
        <f t="shared" si="110"/>
        <v>0</v>
      </c>
      <c r="H1356" s="62" t="e">
        <f t="shared" si="111"/>
        <v>#DIV/0!</v>
      </c>
      <c r="I1356" s="57"/>
      <c r="J1356" s="57"/>
      <c r="K1356" s="57"/>
      <c r="L1356" s="57"/>
      <c r="M1356" s="58"/>
      <c r="N1356" s="57"/>
      <c r="O1356" s="57"/>
      <c r="P1356" s="57"/>
      <c r="Q1356" s="57"/>
      <c r="R1356" s="57"/>
      <c r="S1356" s="61"/>
      <c r="T1356" s="57"/>
      <c r="U1356" s="57"/>
      <c r="V1356" s="57"/>
      <c r="W1356" s="57"/>
      <c r="X1356" s="57"/>
      <c r="Y1356" s="57"/>
      <c r="Z1356" s="57"/>
      <c r="AA1356" s="57"/>
      <c r="AB1356" s="57"/>
      <c r="AC1356" s="57"/>
      <c r="AD1356" s="57"/>
      <c r="AE1356" s="57"/>
      <c r="AF1356" s="57"/>
      <c r="AG1356" s="57"/>
      <c r="AH1356" s="57"/>
      <c r="AI1356" s="57"/>
      <c r="AJ1356" s="57"/>
      <c r="AK1356" s="57"/>
      <c r="AL1356" s="57"/>
      <c r="AM1356" s="57"/>
      <c r="AN1356" s="57"/>
      <c r="AO1356" s="57"/>
      <c r="AP1356" s="57"/>
      <c r="AQ1356" s="57"/>
      <c r="AR1356" s="57"/>
      <c r="AS1356" s="57"/>
      <c r="AT1356" s="57"/>
      <c r="AU1356" s="57"/>
      <c r="AV1356" s="57"/>
      <c r="AW1356" s="57"/>
      <c r="AX1356" s="57"/>
      <c r="AY1356" s="57"/>
      <c r="AZ1356" s="57"/>
      <c r="BA1356" s="57"/>
      <c r="BB1356" s="57"/>
      <c r="BC1356" s="57"/>
      <c r="BD1356" s="57"/>
      <c r="BE1356" s="57"/>
      <c r="BF1356" s="57"/>
    </row>
    <row r="1357" spans="1:58" s="59" customFormat="1" x14ac:dyDescent="0.25">
      <c r="A1357" s="53"/>
      <c r="B1357" s="60"/>
      <c r="C1357" s="57">
        <f t="shared" si="108"/>
        <v>0</v>
      </c>
      <c r="D1357" s="56"/>
      <c r="E1357" s="57">
        <f>[1]DETAY!$A$2</f>
        <v>0</v>
      </c>
      <c r="F1357" s="90">
        <f t="shared" si="109"/>
        <v>0</v>
      </c>
      <c r="G1357" s="92">
        <f t="shared" si="110"/>
        <v>0</v>
      </c>
      <c r="H1357" s="62" t="e">
        <f t="shared" si="111"/>
        <v>#DIV/0!</v>
      </c>
      <c r="I1357" s="57"/>
      <c r="J1357" s="57"/>
      <c r="K1357" s="57"/>
      <c r="L1357" s="57"/>
      <c r="M1357" s="58"/>
      <c r="N1357" s="57"/>
      <c r="O1357" s="57"/>
      <c r="P1357" s="57"/>
      <c r="Q1357" s="57"/>
      <c r="R1357" s="57"/>
      <c r="S1357" s="61"/>
      <c r="T1357" s="57"/>
      <c r="U1357" s="57"/>
      <c r="V1357" s="57"/>
      <c r="W1357" s="57"/>
      <c r="X1357" s="57"/>
      <c r="Y1357" s="57"/>
      <c r="Z1357" s="57"/>
      <c r="AA1357" s="57"/>
      <c r="AB1357" s="57"/>
      <c r="AC1357" s="57"/>
      <c r="AD1357" s="57"/>
      <c r="AE1357" s="57"/>
      <c r="AF1357" s="57"/>
      <c r="AG1357" s="57"/>
      <c r="AH1357" s="57"/>
      <c r="AI1357" s="57"/>
      <c r="AJ1357" s="57"/>
      <c r="AK1357" s="57"/>
      <c r="AL1357" s="57"/>
      <c r="AM1357" s="57"/>
      <c r="AN1357" s="57"/>
      <c r="AO1357" s="57"/>
      <c r="AP1357" s="57"/>
      <c r="AQ1357" s="57"/>
      <c r="AR1357" s="57"/>
      <c r="AS1357" s="57"/>
      <c r="AT1357" s="57"/>
      <c r="AU1357" s="57"/>
      <c r="AV1357" s="57"/>
      <c r="AW1357" s="57"/>
      <c r="AX1357" s="57"/>
      <c r="AY1357" s="57"/>
      <c r="AZ1357" s="57"/>
      <c r="BA1357" s="57"/>
      <c r="BB1357" s="57"/>
      <c r="BC1357" s="57"/>
      <c r="BD1357" s="57"/>
      <c r="BE1357" s="57"/>
      <c r="BF1357" s="57"/>
    </row>
    <row r="1358" spans="1:58" s="59" customFormat="1" x14ac:dyDescent="0.25">
      <c r="A1358" s="53"/>
      <c r="B1358" s="60"/>
      <c r="C1358" s="57">
        <f t="shared" si="108"/>
        <v>0</v>
      </c>
      <c r="D1358" s="56"/>
      <c r="E1358" s="57">
        <f>[1]DETAY!$A$2</f>
        <v>0</v>
      </c>
      <c r="F1358" s="90">
        <f t="shared" si="109"/>
        <v>0</v>
      </c>
      <c r="G1358" s="92">
        <f t="shared" si="110"/>
        <v>0</v>
      </c>
      <c r="H1358" s="62" t="e">
        <f t="shared" si="111"/>
        <v>#DIV/0!</v>
      </c>
      <c r="I1358" s="57"/>
      <c r="J1358" s="57"/>
      <c r="K1358" s="57"/>
      <c r="L1358" s="57"/>
      <c r="M1358" s="58"/>
      <c r="N1358" s="57"/>
      <c r="O1358" s="57"/>
      <c r="P1358" s="57"/>
      <c r="Q1358" s="57"/>
      <c r="R1358" s="57"/>
      <c r="S1358" s="61"/>
      <c r="T1358" s="57"/>
      <c r="U1358" s="57"/>
      <c r="V1358" s="57"/>
      <c r="W1358" s="57"/>
      <c r="X1358" s="57"/>
      <c r="Y1358" s="57"/>
      <c r="Z1358" s="57"/>
      <c r="AA1358" s="57"/>
      <c r="AB1358" s="57"/>
      <c r="AC1358" s="57"/>
      <c r="AD1358" s="57"/>
      <c r="AE1358" s="57"/>
      <c r="AF1358" s="57"/>
      <c r="AG1358" s="57"/>
      <c r="AH1358" s="57"/>
      <c r="AI1358" s="57"/>
      <c r="AJ1358" s="57"/>
      <c r="AK1358" s="57"/>
      <c r="AL1358" s="57"/>
      <c r="AM1358" s="57"/>
      <c r="AN1358" s="57"/>
      <c r="AO1358" s="57"/>
      <c r="AP1358" s="57"/>
      <c r="AQ1358" s="57"/>
      <c r="AR1358" s="57"/>
      <c r="AS1358" s="57"/>
      <c r="AT1358" s="57"/>
      <c r="AU1358" s="57"/>
      <c r="AV1358" s="57"/>
      <c r="AW1358" s="57"/>
      <c r="AX1358" s="57"/>
      <c r="AY1358" s="57"/>
      <c r="AZ1358" s="57"/>
      <c r="BA1358" s="57"/>
      <c r="BB1358" s="57"/>
      <c r="BC1358" s="57"/>
      <c r="BD1358" s="57"/>
      <c r="BE1358" s="57"/>
      <c r="BF1358" s="57"/>
    </row>
    <row r="1359" spans="1:58" s="59" customFormat="1" x14ac:dyDescent="0.25">
      <c r="A1359" s="53"/>
      <c r="B1359" s="60"/>
      <c r="C1359" s="57">
        <f t="shared" si="108"/>
        <v>0</v>
      </c>
      <c r="D1359" s="56"/>
      <c r="E1359" s="57">
        <f>[1]DETAY!$A$2</f>
        <v>0</v>
      </c>
      <c r="F1359" s="90">
        <f t="shared" si="109"/>
        <v>0</v>
      </c>
      <c r="G1359" s="92">
        <f t="shared" si="110"/>
        <v>0</v>
      </c>
      <c r="H1359" s="62" t="e">
        <f t="shared" si="111"/>
        <v>#DIV/0!</v>
      </c>
      <c r="I1359" s="57"/>
      <c r="J1359" s="57"/>
      <c r="K1359" s="57"/>
      <c r="L1359" s="57"/>
      <c r="M1359" s="58"/>
      <c r="N1359" s="57"/>
      <c r="O1359" s="57"/>
      <c r="P1359" s="57"/>
      <c r="Q1359" s="57"/>
      <c r="R1359" s="57"/>
      <c r="S1359" s="61"/>
      <c r="T1359" s="57"/>
      <c r="U1359" s="57"/>
      <c r="V1359" s="57"/>
      <c r="W1359" s="57"/>
      <c r="X1359" s="57"/>
      <c r="Y1359" s="57"/>
      <c r="Z1359" s="57"/>
      <c r="AA1359" s="57"/>
      <c r="AB1359" s="57"/>
      <c r="AC1359" s="57"/>
      <c r="AD1359" s="57"/>
      <c r="AE1359" s="57"/>
      <c r="AF1359" s="57"/>
      <c r="AG1359" s="57"/>
      <c r="AH1359" s="57"/>
      <c r="AI1359" s="57"/>
      <c r="AJ1359" s="57"/>
      <c r="AK1359" s="57"/>
      <c r="AL1359" s="57"/>
      <c r="AM1359" s="57"/>
      <c r="AN1359" s="57"/>
      <c r="AO1359" s="57"/>
      <c r="AP1359" s="57"/>
      <c r="AQ1359" s="57"/>
      <c r="AR1359" s="57"/>
      <c r="AS1359" s="57"/>
      <c r="AT1359" s="57"/>
      <c r="AU1359" s="57"/>
      <c r="AV1359" s="57"/>
      <c r="AW1359" s="57"/>
      <c r="AX1359" s="57"/>
      <c r="AY1359" s="57"/>
      <c r="AZ1359" s="57"/>
      <c r="BA1359" s="57"/>
      <c r="BB1359" s="57"/>
      <c r="BC1359" s="57"/>
      <c r="BD1359" s="57"/>
      <c r="BE1359" s="57"/>
      <c r="BF1359" s="57"/>
    </row>
    <row r="1360" spans="1:58" s="59" customFormat="1" x14ac:dyDescent="0.25">
      <c r="A1360" s="53"/>
      <c r="B1360" s="60"/>
      <c r="C1360" s="57">
        <f t="shared" si="108"/>
        <v>0</v>
      </c>
      <c r="D1360" s="56"/>
      <c r="E1360" s="57">
        <f>[1]DETAY!$A$2</f>
        <v>0</v>
      </c>
      <c r="F1360" s="90">
        <f t="shared" si="109"/>
        <v>0</v>
      </c>
      <c r="G1360" s="92">
        <f t="shared" si="110"/>
        <v>0</v>
      </c>
      <c r="H1360" s="62" t="e">
        <f t="shared" si="111"/>
        <v>#DIV/0!</v>
      </c>
      <c r="I1360" s="57"/>
      <c r="J1360" s="57"/>
      <c r="K1360" s="57"/>
      <c r="L1360" s="57"/>
      <c r="M1360" s="58"/>
      <c r="N1360" s="57"/>
      <c r="O1360" s="57"/>
      <c r="P1360" s="57"/>
      <c r="Q1360" s="57"/>
      <c r="R1360" s="57"/>
      <c r="S1360" s="61"/>
      <c r="T1360" s="57"/>
      <c r="U1360" s="57"/>
      <c r="V1360" s="57"/>
      <c r="W1360" s="57"/>
      <c r="X1360" s="57"/>
      <c r="Y1360" s="57"/>
      <c r="Z1360" s="57"/>
      <c r="AA1360" s="57"/>
      <c r="AB1360" s="57"/>
      <c r="AC1360" s="57"/>
      <c r="AD1360" s="57"/>
      <c r="AE1360" s="57"/>
      <c r="AF1360" s="57"/>
      <c r="AG1360" s="57"/>
      <c r="AH1360" s="57"/>
      <c r="AI1360" s="57"/>
      <c r="AJ1360" s="57"/>
      <c r="AK1360" s="57"/>
      <c r="AL1360" s="57"/>
      <c r="AM1360" s="57"/>
      <c r="AN1360" s="57"/>
      <c r="AO1360" s="57"/>
      <c r="AP1360" s="57"/>
      <c r="AQ1360" s="57"/>
      <c r="AR1360" s="57"/>
      <c r="AS1360" s="57"/>
      <c r="AT1360" s="57"/>
      <c r="AU1360" s="57"/>
      <c r="AV1360" s="57"/>
      <c r="AW1360" s="57"/>
      <c r="AX1360" s="57"/>
      <c r="AY1360" s="57"/>
      <c r="AZ1360" s="57"/>
      <c r="BA1360" s="57"/>
      <c r="BB1360" s="57"/>
      <c r="BC1360" s="57"/>
      <c r="BD1360" s="57"/>
      <c r="BE1360" s="57"/>
      <c r="BF1360" s="57"/>
    </row>
    <row r="1361" spans="1:58" s="59" customFormat="1" x14ac:dyDescent="0.25">
      <c r="A1361" s="53"/>
      <c r="B1361" s="60"/>
      <c r="C1361" s="57">
        <f t="shared" si="108"/>
        <v>0</v>
      </c>
      <c r="D1361" s="56"/>
      <c r="E1361" s="57">
        <f>[1]DETAY!$A$2</f>
        <v>0</v>
      </c>
      <c r="F1361" s="90">
        <f t="shared" si="109"/>
        <v>0</v>
      </c>
      <c r="G1361" s="92">
        <f t="shared" si="110"/>
        <v>0</v>
      </c>
      <c r="H1361" s="62" t="e">
        <f t="shared" si="111"/>
        <v>#DIV/0!</v>
      </c>
      <c r="I1361" s="57"/>
      <c r="J1361" s="57"/>
      <c r="K1361" s="57"/>
      <c r="L1361" s="57"/>
      <c r="M1361" s="58"/>
      <c r="N1361" s="57"/>
      <c r="O1361" s="57"/>
      <c r="P1361" s="57"/>
      <c r="Q1361" s="57"/>
      <c r="R1361" s="57"/>
      <c r="S1361" s="61"/>
      <c r="T1361" s="57"/>
      <c r="U1361" s="57"/>
      <c r="V1361" s="57"/>
      <c r="W1361" s="57"/>
      <c r="X1361" s="57"/>
      <c r="Y1361" s="57"/>
      <c r="Z1361" s="57"/>
      <c r="AA1361" s="57"/>
      <c r="AB1361" s="57"/>
      <c r="AC1361" s="57"/>
      <c r="AD1361" s="57"/>
      <c r="AE1361" s="57"/>
      <c r="AF1361" s="57"/>
      <c r="AG1361" s="57"/>
      <c r="AH1361" s="57"/>
      <c r="AI1361" s="57"/>
      <c r="AJ1361" s="57"/>
      <c r="AK1361" s="57"/>
      <c r="AL1361" s="57"/>
      <c r="AM1361" s="57"/>
      <c r="AN1361" s="57"/>
      <c r="AO1361" s="57"/>
      <c r="AP1361" s="57"/>
      <c r="AQ1361" s="57"/>
      <c r="AR1361" s="57"/>
      <c r="AS1361" s="57"/>
      <c r="AT1361" s="57"/>
      <c r="AU1361" s="57"/>
      <c r="AV1361" s="57"/>
      <c r="AW1361" s="57"/>
      <c r="AX1361" s="57"/>
      <c r="AY1361" s="57"/>
      <c r="AZ1361" s="57"/>
      <c r="BA1361" s="57"/>
      <c r="BB1361" s="57"/>
      <c r="BC1361" s="57"/>
      <c r="BD1361" s="57"/>
      <c r="BE1361" s="57"/>
      <c r="BF1361" s="57"/>
    </row>
    <row r="1362" spans="1:58" s="59" customFormat="1" x14ac:dyDescent="0.25">
      <c r="A1362" s="53"/>
      <c r="B1362" s="60"/>
      <c r="C1362" s="57">
        <f t="shared" si="108"/>
        <v>0</v>
      </c>
      <c r="D1362" s="56"/>
      <c r="E1362" s="57">
        <f>[1]DETAY!$A$2</f>
        <v>0</v>
      </c>
      <c r="F1362" s="90">
        <f t="shared" si="109"/>
        <v>0</v>
      </c>
      <c r="G1362" s="92">
        <f t="shared" si="110"/>
        <v>0</v>
      </c>
      <c r="H1362" s="62" t="e">
        <f t="shared" si="111"/>
        <v>#DIV/0!</v>
      </c>
      <c r="I1362" s="57"/>
      <c r="J1362" s="57"/>
      <c r="K1362" s="57"/>
      <c r="L1362" s="57"/>
      <c r="M1362" s="58"/>
      <c r="N1362" s="57"/>
      <c r="O1362" s="57"/>
      <c r="P1362" s="57"/>
      <c r="Q1362" s="57"/>
      <c r="R1362" s="57"/>
      <c r="S1362" s="61"/>
      <c r="T1362" s="57"/>
      <c r="U1362" s="57"/>
      <c r="V1362" s="57"/>
      <c r="W1362" s="57"/>
      <c r="X1362" s="57"/>
      <c r="Y1362" s="57"/>
      <c r="Z1362" s="57"/>
      <c r="AA1362" s="57"/>
      <c r="AB1362" s="57"/>
      <c r="AC1362" s="57"/>
      <c r="AD1362" s="57"/>
      <c r="AE1362" s="57"/>
      <c r="AF1362" s="57"/>
      <c r="AG1362" s="57"/>
      <c r="AH1362" s="57"/>
      <c r="AI1362" s="57"/>
      <c r="AJ1362" s="57"/>
      <c r="AK1362" s="57"/>
      <c r="AL1362" s="57"/>
      <c r="AM1362" s="57"/>
      <c r="AN1362" s="57"/>
      <c r="AO1362" s="57"/>
      <c r="AP1362" s="57"/>
      <c r="AQ1362" s="57"/>
      <c r="AR1362" s="57"/>
      <c r="AS1362" s="57"/>
      <c r="AT1362" s="57"/>
      <c r="AU1362" s="57"/>
      <c r="AV1362" s="57"/>
      <c r="AW1362" s="57"/>
      <c r="AX1362" s="57"/>
      <c r="AY1362" s="57"/>
      <c r="AZ1362" s="57"/>
      <c r="BA1362" s="57"/>
      <c r="BB1362" s="57"/>
      <c r="BC1362" s="57"/>
      <c r="BD1362" s="57"/>
      <c r="BE1362" s="57"/>
      <c r="BF1362" s="57"/>
    </row>
    <row r="1363" spans="1:58" s="59" customFormat="1" x14ac:dyDescent="0.25">
      <c r="A1363" s="53"/>
      <c r="B1363" s="60"/>
      <c r="C1363" s="57">
        <f t="shared" si="108"/>
        <v>0</v>
      </c>
      <c r="D1363" s="56"/>
      <c r="E1363" s="57">
        <f>[1]DETAY!$A$2</f>
        <v>0</v>
      </c>
      <c r="F1363" s="90">
        <f t="shared" si="109"/>
        <v>0</v>
      </c>
      <c r="G1363" s="92">
        <f t="shared" si="110"/>
        <v>0</v>
      </c>
      <c r="H1363" s="62" t="e">
        <f t="shared" si="111"/>
        <v>#DIV/0!</v>
      </c>
      <c r="I1363" s="57"/>
      <c r="J1363" s="57"/>
      <c r="K1363" s="57"/>
      <c r="L1363" s="57"/>
      <c r="M1363" s="58"/>
      <c r="N1363" s="57"/>
      <c r="O1363" s="57"/>
      <c r="P1363" s="57"/>
      <c r="Q1363" s="57"/>
      <c r="R1363" s="57"/>
      <c r="S1363" s="61"/>
      <c r="T1363" s="57"/>
      <c r="U1363" s="57"/>
      <c r="V1363" s="57"/>
      <c r="W1363" s="57"/>
      <c r="X1363" s="57"/>
      <c r="Y1363" s="57"/>
      <c r="Z1363" s="57"/>
      <c r="AA1363" s="57"/>
      <c r="AB1363" s="57"/>
      <c r="AC1363" s="57"/>
      <c r="AD1363" s="57"/>
      <c r="AE1363" s="57"/>
      <c r="AF1363" s="57"/>
      <c r="AG1363" s="57"/>
      <c r="AH1363" s="57"/>
      <c r="AI1363" s="57"/>
      <c r="AJ1363" s="57"/>
      <c r="AK1363" s="57"/>
      <c r="AL1363" s="57"/>
      <c r="AM1363" s="57"/>
      <c r="AN1363" s="57"/>
      <c r="AO1363" s="57"/>
      <c r="AP1363" s="57"/>
      <c r="AQ1363" s="57"/>
      <c r="AR1363" s="57"/>
      <c r="AS1363" s="57"/>
      <c r="AT1363" s="57"/>
      <c r="AU1363" s="57"/>
      <c r="AV1363" s="57"/>
      <c r="AW1363" s="57"/>
      <c r="AX1363" s="57"/>
      <c r="AY1363" s="57"/>
      <c r="AZ1363" s="57"/>
      <c r="BA1363" s="57"/>
      <c r="BB1363" s="57"/>
      <c r="BC1363" s="57"/>
      <c r="BD1363" s="57"/>
      <c r="BE1363" s="57"/>
      <c r="BF1363" s="57"/>
    </row>
    <row r="1364" spans="1:58" s="59" customFormat="1" x14ac:dyDescent="0.25">
      <c r="A1364" s="53"/>
      <c r="B1364" s="60"/>
      <c r="C1364" s="57">
        <f t="shared" si="108"/>
        <v>0</v>
      </c>
      <c r="D1364" s="56"/>
      <c r="E1364" s="57">
        <f>[1]DETAY!$A$2</f>
        <v>0</v>
      </c>
      <c r="F1364" s="90">
        <f t="shared" si="109"/>
        <v>0</v>
      </c>
      <c r="G1364" s="92">
        <f t="shared" si="110"/>
        <v>0</v>
      </c>
      <c r="H1364" s="62" t="e">
        <f t="shared" si="111"/>
        <v>#DIV/0!</v>
      </c>
      <c r="I1364" s="57"/>
      <c r="J1364" s="57"/>
      <c r="K1364" s="57"/>
      <c r="L1364" s="57"/>
      <c r="M1364" s="58"/>
      <c r="N1364" s="57"/>
      <c r="O1364" s="57"/>
      <c r="P1364" s="57"/>
      <c r="Q1364" s="57"/>
      <c r="R1364" s="57"/>
      <c r="S1364" s="61"/>
      <c r="T1364" s="57"/>
      <c r="U1364" s="57"/>
      <c r="V1364" s="57"/>
      <c r="W1364" s="57"/>
      <c r="X1364" s="57"/>
      <c r="Y1364" s="57"/>
      <c r="Z1364" s="57"/>
      <c r="AA1364" s="57"/>
      <c r="AB1364" s="57"/>
      <c r="AC1364" s="57"/>
      <c r="AD1364" s="57"/>
      <c r="AE1364" s="57"/>
      <c r="AF1364" s="57"/>
      <c r="AG1364" s="57"/>
      <c r="AH1364" s="57"/>
      <c r="AI1364" s="57"/>
      <c r="AJ1364" s="57"/>
      <c r="AK1364" s="57"/>
      <c r="AL1364" s="57"/>
      <c r="AM1364" s="57"/>
      <c r="AN1364" s="57"/>
      <c r="AO1364" s="57"/>
      <c r="AP1364" s="57"/>
      <c r="AQ1364" s="57"/>
      <c r="AR1364" s="57"/>
      <c r="AS1364" s="57"/>
      <c r="AT1364" s="57"/>
      <c r="AU1364" s="57"/>
      <c r="AV1364" s="57"/>
      <c r="AW1364" s="57"/>
      <c r="AX1364" s="57"/>
      <c r="AY1364" s="57"/>
      <c r="AZ1364" s="57"/>
      <c r="BA1364" s="57"/>
      <c r="BB1364" s="57"/>
      <c r="BC1364" s="57"/>
      <c r="BD1364" s="57"/>
      <c r="BE1364" s="57"/>
      <c r="BF1364" s="57"/>
    </row>
    <row r="1365" spans="1:58" s="59" customFormat="1" x14ac:dyDescent="0.25">
      <c r="A1365" s="53"/>
      <c r="B1365" s="60"/>
      <c r="C1365" s="57">
        <f t="shared" si="108"/>
        <v>0</v>
      </c>
      <c r="D1365" s="56"/>
      <c r="E1365" s="57">
        <f>[1]DETAY!$A$2</f>
        <v>0</v>
      </c>
      <c r="F1365" s="90">
        <f t="shared" si="109"/>
        <v>0</v>
      </c>
      <c r="G1365" s="92">
        <f t="shared" si="110"/>
        <v>0</v>
      </c>
      <c r="H1365" s="62" t="e">
        <f t="shared" si="111"/>
        <v>#DIV/0!</v>
      </c>
      <c r="I1365" s="57"/>
      <c r="J1365" s="57"/>
      <c r="K1365" s="57"/>
      <c r="L1365" s="57"/>
      <c r="M1365" s="58"/>
      <c r="N1365" s="57"/>
      <c r="O1365" s="57"/>
      <c r="P1365" s="57"/>
      <c r="Q1365" s="57"/>
      <c r="R1365" s="57"/>
      <c r="S1365" s="61"/>
      <c r="T1365" s="57"/>
      <c r="U1365" s="57"/>
      <c r="V1365" s="57"/>
      <c r="W1365" s="57"/>
      <c r="X1365" s="57"/>
      <c r="Y1365" s="57"/>
      <c r="Z1365" s="57"/>
      <c r="AA1365" s="57"/>
      <c r="AB1365" s="57"/>
      <c r="AC1365" s="57"/>
      <c r="AD1365" s="57"/>
      <c r="AE1365" s="57"/>
      <c r="AF1365" s="57"/>
      <c r="AG1365" s="57"/>
      <c r="AH1365" s="57"/>
      <c r="AI1365" s="57"/>
      <c r="AJ1365" s="57"/>
      <c r="AK1365" s="57"/>
      <c r="AL1365" s="57"/>
      <c r="AM1365" s="57"/>
      <c r="AN1365" s="57"/>
      <c r="AO1365" s="57"/>
      <c r="AP1365" s="57"/>
      <c r="AQ1365" s="57"/>
      <c r="AR1365" s="57"/>
      <c r="AS1365" s="57"/>
      <c r="AT1365" s="57"/>
      <c r="AU1365" s="57"/>
      <c r="AV1365" s="57"/>
      <c r="AW1365" s="57"/>
      <c r="AX1365" s="57"/>
      <c r="AY1365" s="57"/>
      <c r="AZ1365" s="57"/>
      <c r="BA1365" s="57"/>
      <c r="BB1365" s="57"/>
      <c r="BC1365" s="57"/>
      <c r="BD1365" s="57"/>
      <c r="BE1365" s="57"/>
      <c r="BF1365" s="57"/>
    </row>
    <row r="1366" spans="1:58" s="59" customFormat="1" x14ac:dyDescent="0.25">
      <c r="A1366" s="53"/>
      <c r="B1366" s="60"/>
      <c r="C1366" s="57">
        <f t="shared" si="108"/>
        <v>0</v>
      </c>
      <c r="D1366" s="56"/>
      <c r="E1366" s="57">
        <f>[1]DETAY!$A$2</f>
        <v>0</v>
      </c>
      <c r="F1366" s="90">
        <f t="shared" si="109"/>
        <v>0</v>
      </c>
      <c r="G1366" s="92">
        <f t="shared" si="110"/>
        <v>0</v>
      </c>
      <c r="H1366" s="62" t="e">
        <f t="shared" si="111"/>
        <v>#DIV/0!</v>
      </c>
      <c r="I1366" s="57"/>
      <c r="J1366" s="57"/>
      <c r="K1366" s="57"/>
      <c r="L1366" s="57"/>
      <c r="M1366" s="58"/>
      <c r="N1366" s="57"/>
      <c r="O1366" s="57"/>
      <c r="P1366" s="57"/>
      <c r="Q1366" s="57"/>
      <c r="R1366" s="57"/>
      <c r="S1366" s="61"/>
      <c r="T1366" s="57"/>
      <c r="U1366" s="57"/>
      <c r="V1366" s="57"/>
      <c r="W1366" s="57"/>
      <c r="X1366" s="57"/>
      <c r="Y1366" s="57"/>
      <c r="Z1366" s="57"/>
      <c r="AA1366" s="57"/>
      <c r="AB1366" s="57"/>
      <c r="AC1366" s="57"/>
      <c r="AD1366" s="57"/>
      <c r="AE1366" s="57"/>
      <c r="AF1366" s="57"/>
      <c r="AG1366" s="57"/>
      <c r="AH1366" s="57"/>
      <c r="AI1366" s="57"/>
      <c r="AJ1366" s="57"/>
      <c r="AK1366" s="57"/>
      <c r="AL1366" s="57"/>
      <c r="AM1366" s="57"/>
      <c r="AN1366" s="57"/>
      <c r="AO1366" s="57"/>
      <c r="AP1366" s="57"/>
      <c r="AQ1366" s="57"/>
      <c r="AR1366" s="57"/>
      <c r="AS1366" s="57"/>
      <c r="AT1366" s="57"/>
      <c r="AU1366" s="57"/>
      <c r="AV1366" s="57"/>
      <c r="AW1366" s="57"/>
      <c r="AX1366" s="57"/>
      <c r="AY1366" s="57"/>
      <c r="AZ1366" s="57"/>
      <c r="BA1366" s="57"/>
      <c r="BB1366" s="57"/>
      <c r="BC1366" s="57"/>
      <c r="BD1366" s="57"/>
      <c r="BE1366" s="57"/>
      <c r="BF1366" s="57"/>
    </row>
    <row r="1367" spans="1:58" s="59" customFormat="1" x14ac:dyDescent="0.25">
      <c r="A1367" s="53"/>
      <c r="B1367" s="60"/>
      <c r="C1367" s="57">
        <f t="shared" si="108"/>
        <v>0</v>
      </c>
      <c r="D1367" s="56"/>
      <c r="E1367" s="57">
        <f>[1]DETAY!$A$2</f>
        <v>0</v>
      </c>
      <c r="F1367" s="90">
        <f t="shared" si="109"/>
        <v>0</v>
      </c>
      <c r="G1367" s="92">
        <f t="shared" si="110"/>
        <v>0</v>
      </c>
      <c r="H1367" s="62" t="e">
        <f t="shared" si="111"/>
        <v>#DIV/0!</v>
      </c>
      <c r="I1367" s="57"/>
      <c r="J1367" s="57"/>
      <c r="K1367" s="57"/>
      <c r="L1367" s="57"/>
      <c r="M1367" s="58"/>
      <c r="N1367" s="57"/>
      <c r="O1367" s="57"/>
      <c r="P1367" s="57"/>
      <c r="Q1367" s="57"/>
      <c r="R1367" s="57"/>
      <c r="S1367" s="61"/>
      <c r="T1367" s="57"/>
      <c r="U1367" s="57"/>
      <c r="V1367" s="57"/>
      <c r="W1367" s="57"/>
      <c r="X1367" s="57"/>
      <c r="Y1367" s="57"/>
      <c r="Z1367" s="57"/>
      <c r="AA1367" s="57"/>
      <c r="AB1367" s="57"/>
      <c r="AC1367" s="57"/>
      <c r="AD1367" s="57"/>
      <c r="AE1367" s="57"/>
      <c r="AF1367" s="57"/>
      <c r="AG1367" s="57"/>
      <c r="AH1367" s="57"/>
      <c r="AI1367" s="57"/>
      <c r="AJ1367" s="57"/>
      <c r="AK1367" s="57"/>
      <c r="AL1367" s="57"/>
      <c r="AM1367" s="57"/>
      <c r="AN1367" s="57"/>
      <c r="AO1367" s="57"/>
      <c r="AP1367" s="57"/>
      <c r="AQ1367" s="57"/>
      <c r="AR1367" s="57"/>
      <c r="AS1367" s="57"/>
      <c r="AT1367" s="57"/>
      <c r="AU1367" s="57"/>
      <c r="AV1367" s="57"/>
      <c r="AW1367" s="57"/>
      <c r="AX1367" s="57"/>
      <c r="AY1367" s="57"/>
      <c r="AZ1367" s="57"/>
      <c r="BA1367" s="57"/>
      <c r="BB1367" s="57"/>
      <c r="BC1367" s="57"/>
      <c r="BD1367" s="57"/>
      <c r="BE1367" s="57"/>
      <c r="BF1367" s="57"/>
    </row>
    <row r="1368" spans="1:58" s="59" customFormat="1" x14ac:dyDescent="0.25">
      <c r="A1368" s="53"/>
      <c r="B1368" s="60"/>
      <c r="C1368" s="57">
        <f t="shared" si="108"/>
        <v>0</v>
      </c>
      <c r="D1368" s="56"/>
      <c r="E1368" s="57">
        <f>[1]DETAY!$A$2</f>
        <v>0</v>
      </c>
      <c r="F1368" s="90">
        <f t="shared" si="109"/>
        <v>0</v>
      </c>
      <c r="G1368" s="92">
        <f t="shared" si="110"/>
        <v>0</v>
      </c>
      <c r="H1368" s="62" t="e">
        <f t="shared" si="111"/>
        <v>#DIV/0!</v>
      </c>
      <c r="I1368" s="57"/>
      <c r="J1368" s="57"/>
      <c r="K1368" s="57"/>
      <c r="L1368" s="57"/>
      <c r="M1368" s="58"/>
      <c r="N1368" s="57"/>
      <c r="O1368" s="57"/>
      <c r="P1368" s="57"/>
      <c r="Q1368" s="57"/>
      <c r="R1368" s="57"/>
      <c r="S1368" s="61"/>
      <c r="T1368" s="57"/>
      <c r="U1368" s="57"/>
      <c r="V1368" s="57"/>
      <c r="W1368" s="57"/>
      <c r="X1368" s="57"/>
      <c r="Y1368" s="57"/>
      <c r="Z1368" s="57"/>
      <c r="AA1368" s="57"/>
      <c r="AB1368" s="57"/>
      <c r="AC1368" s="57"/>
      <c r="AD1368" s="57"/>
      <c r="AE1368" s="57"/>
      <c r="AF1368" s="57"/>
      <c r="AG1368" s="57"/>
      <c r="AH1368" s="57"/>
      <c r="AI1368" s="57"/>
      <c r="AJ1368" s="57"/>
      <c r="AK1368" s="57"/>
      <c r="AL1368" s="57"/>
      <c r="AM1368" s="57"/>
      <c r="AN1368" s="57"/>
      <c r="AO1368" s="57"/>
      <c r="AP1368" s="57"/>
      <c r="AQ1368" s="57"/>
      <c r="AR1368" s="57"/>
      <c r="AS1368" s="57"/>
      <c r="AT1368" s="57"/>
      <c r="AU1368" s="57"/>
      <c r="AV1368" s="57"/>
      <c r="AW1368" s="57"/>
      <c r="AX1368" s="57"/>
      <c r="AY1368" s="57"/>
      <c r="AZ1368" s="57"/>
      <c r="BA1368" s="57"/>
      <c r="BB1368" s="57"/>
      <c r="BC1368" s="57"/>
      <c r="BD1368" s="57"/>
      <c r="BE1368" s="57"/>
      <c r="BF1368" s="57"/>
    </row>
    <row r="1369" spans="1:58" s="59" customFormat="1" x14ac:dyDescent="0.25">
      <c r="A1369" s="53"/>
      <c r="B1369" s="60"/>
      <c r="C1369" s="57">
        <f t="shared" si="108"/>
        <v>0</v>
      </c>
      <c r="D1369" s="56"/>
      <c r="E1369" s="57">
        <f>[1]DETAY!$A$2</f>
        <v>0</v>
      </c>
      <c r="F1369" s="90">
        <f t="shared" si="109"/>
        <v>0</v>
      </c>
      <c r="G1369" s="92">
        <f t="shared" si="110"/>
        <v>0</v>
      </c>
      <c r="H1369" s="62" t="e">
        <f t="shared" si="111"/>
        <v>#DIV/0!</v>
      </c>
      <c r="I1369" s="57"/>
      <c r="J1369" s="57"/>
      <c r="K1369" s="57"/>
      <c r="L1369" s="57"/>
      <c r="M1369" s="58"/>
      <c r="N1369" s="57"/>
      <c r="O1369" s="57"/>
      <c r="P1369" s="57"/>
      <c r="Q1369" s="57"/>
      <c r="R1369" s="57"/>
      <c r="S1369" s="61"/>
      <c r="T1369" s="57"/>
      <c r="U1369" s="57"/>
      <c r="V1369" s="57"/>
      <c r="W1369" s="57"/>
      <c r="X1369" s="57"/>
      <c r="Y1369" s="57"/>
      <c r="Z1369" s="57"/>
      <c r="AA1369" s="57"/>
      <c r="AB1369" s="57"/>
      <c r="AC1369" s="57"/>
      <c r="AD1369" s="57"/>
      <c r="AE1369" s="57"/>
      <c r="AF1369" s="57"/>
      <c r="AG1369" s="57"/>
      <c r="AH1369" s="57"/>
      <c r="AI1369" s="57"/>
      <c r="AJ1369" s="57"/>
      <c r="AK1369" s="57"/>
      <c r="AL1369" s="57"/>
      <c r="AM1369" s="57"/>
      <c r="AN1369" s="57"/>
      <c r="AO1369" s="57"/>
      <c r="AP1369" s="57"/>
      <c r="AQ1369" s="57"/>
      <c r="AR1369" s="57"/>
      <c r="AS1369" s="57"/>
      <c r="AT1369" s="57"/>
      <c r="AU1369" s="57"/>
      <c r="AV1369" s="57"/>
      <c r="AW1369" s="57"/>
      <c r="AX1369" s="57"/>
      <c r="AY1369" s="57"/>
      <c r="AZ1369" s="57"/>
      <c r="BA1369" s="57"/>
      <c r="BB1369" s="57"/>
      <c r="BC1369" s="57"/>
      <c r="BD1369" s="57"/>
      <c r="BE1369" s="57"/>
      <c r="BF1369" s="57"/>
    </row>
    <row r="1370" spans="1:58" s="59" customFormat="1" x14ac:dyDescent="0.25">
      <c r="A1370" s="53"/>
      <c r="B1370" s="60"/>
      <c r="C1370" s="57">
        <f t="shared" si="108"/>
        <v>0</v>
      </c>
      <c r="D1370" s="56"/>
      <c r="E1370" s="57">
        <f>[1]DETAY!$A$2</f>
        <v>0</v>
      </c>
      <c r="F1370" s="90">
        <f t="shared" si="109"/>
        <v>0</v>
      </c>
      <c r="G1370" s="92">
        <f t="shared" si="110"/>
        <v>0</v>
      </c>
      <c r="H1370" s="62" t="e">
        <f t="shared" si="111"/>
        <v>#DIV/0!</v>
      </c>
      <c r="I1370" s="57"/>
      <c r="J1370" s="57"/>
      <c r="K1370" s="57"/>
      <c r="L1370" s="57"/>
      <c r="M1370" s="58"/>
      <c r="N1370" s="57"/>
      <c r="O1370" s="57"/>
      <c r="P1370" s="57"/>
      <c r="Q1370" s="57"/>
      <c r="R1370" s="57"/>
      <c r="S1370" s="61"/>
      <c r="T1370" s="57"/>
      <c r="U1370" s="57"/>
      <c r="V1370" s="57"/>
      <c r="W1370" s="57"/>
      <c r="X1370" s="57"/>
      <c r="Y1370" s="57"/>
      <c r="Z1370" s="57"/>
      <c r="AA1370" s="57"/>
      <c r="AB1370" s="57"/>
      <c r="AC1370" s="57"/>
      <c r="AD1370" s="57"/>
      <c r="AE1370" s="57"/>
      <c r="AF1370" s="57"/>
      <c r="AG1370" s="57"/>
      <c r="AH1370" s="57"/>
      <c r="AI1370" s="57"/>
      <c r="AJ1370" s="57"/>
      <c r="AK1370" s="57"/>
      <c r="AL1370" s="57"/>
      <c r="AM1370" s="57"/>
      <c r="AN1370" s="57"/>
      <c r="AO1370" s="57"/>
      <c r="AP1370" s="57"/>
      <c r="AQ1370" s="57"/>
      <c r="AR1370" s="57"/>
      <c r="AS1370" s="57"/>
      <c r="AT1370" s="57"/>
      <c r="AU1370" s="57"/>
      <c r="AV1370" s="57"/>
      <c r="AW1370" s="57"/>
      <c r="AX1370" s="57"/>
      <c r="AY1370" s="57"/>
      <c r="AZ1370" s="57"/>
      <c r="BA1370" s="57"/>
      <c r="BB1370" s="57"/>
      <c r="BC1370" s="57"/>
      <c r="BD1370" s="57"/>
      <c r="BE1370" s="57"/>
      <c r="BF1370" s="57"/>
    </row>
    <row r="1371" spans="1:58" s="59" customFormat="1" x14ac:dyDescent="0.25">
      <c r="A1371" s="53"/>
      <c r="B1371" s="60"/>
      <c r="C1371" s="57">
        <f t="shared" si="108"/>
        <v>0</v>
      </c>
      <c r="D1371" s="56"/>
      <c r="E1371" s="57">
        <f>[1]DETAY!$A$2</f>
        <v>0</v>
      </c>
      <c r="F1371" s="90">
        <f t="shared" si="109"/>
        <v>0</v>
      </c>
      <c r="G1371" s="92">
        <f t="shared" si="110"/>
        <v>0</v>
      </c>
      <c r="H1371" s="62" t="e">
        <f t="shared" si="111"/>
        <v>#DIV/0!</v>
      </c>
      <c r="I1371" s="57"/>
      <c r="J1371" s="57"/>
      <c r="K1371" s="57"/>
      <c r="L1371" s="57"/>
      <c r="M1371" s="58"/>
      <c r="N1371" s="57"/>
      <c r="O1371" s="57"/>
      <c r="P1371" s="57"/>
      <c r="Q1371" s="57"/>
      <c r="R1371" s="57"/>
      <c r="S1371" s="61"/>
      <c r="T1371" s="57"/>
      <c r="U1371" s="57"/>
      <c r="V1371" s="57"/>
      <c r="W1371" s="57"/>
      <c r="X1371" s="57"/>
      <c r="Y1371" s="57"/>
      <c r="Z1371" s="57"/>
      <c r="AA1371" s="57"/>
      <c r="AB1371" s="57"/>
      <c r="AC1371" s="57"/>
      <c r="AD1371" s="57"/>
      <c r="AE1371" s="57"/>
      <c r="AF1371" s="57"/>
      <c r="AG1371" s="57"/>
      <c r="AH1371" s="57"/>
      <c r="AI1371" s="57"/>
      <c r="AJ1371" s="57"/>
      <c r="AK1371" s="57"/>
      <c r="AL1371" s="57"/>
      <c r="AM1371" s="57"/>
      <c r="AN1371" s="57"/>
      <c r="AO1371" s="57"/>
      <c r="AP1371" s="57"/>
      <c r="AQ1371" s="57"/>
      <c r="AR1371" s="57"/>
      <c r="AS1371" s="57"/>
      <c r="AT1371" s="57"/>
      <c r="AU1371" s="57"/>
      <c r="AV1371" s="57"/>
      <c r="AW1371" s="57"/>
      <c r="AX1371" s="57"/>
      <c r="AY1371" s="57"/>
      <c r="AZ1371" s="57"/>
      <c r="BA1371" s="57"/>
      <c r="BB1371" s="57"/>
      <c r="BC1371" s="57"/>
      <c r="BD1371" s="57"/>
      <c r="BE1371" s="57"/>
      <c r="BF1371" s="57"/>
    </row>
    <row r="1372" spans="1:58" s="59" customFormat="1" x14ac:dyDescent="0.25">
      <c r="A1372" s="53"/>
      <c r="B1372" s="60"/>
      <c r="C1372" s="57">
        <f t="shared" si="108"/>
        <v>0</v>
      </c>
      <c r="D1372" s="56"/>
      <c r="E1372" s="57">
        <f>[1]DETAY!$A$2</f>
        <v>0</v>
      </c>
      <c r="F1372" s="90">
        <f t="shared" si="109"/>
        <v>0</v>
      </c>
      <c r="G1372" s="92">
        <f t="shared" si="110"/>
        <v>0</v>
      </c>
      <c r="H1372" s="62" t="e">
        <f t="shared" si="111"/>
        <v>#DIV/0!</v>
      </c>
      <c r="I1372" s="57"/>
      <c r="J1372" s="57"/>
      <c r="K1372" s="57"/>
      <c r="L1372" s="57"/>
      <c r="M1372" s="58"/>
      <c r="N1372" s="57"/>
      <c r="O1372" s="57"/>
      <c r="P1372" s="57"/>
      <c r="Q1372" s="57"/>
      <c r="R1372" s="57"/>
      <c r="S1372" s="61"/>
      <c r="T1372" s="57"/>
      <c r="U1372" s="57"/>
      <c r="V1372" s="57"/>
      <c r="W1372" s="57"/>
      <c r="X1372" s="57"/>
      <c r="Y1372" s="57"/>
      <c r="Z1372" s="57"/>
      <c r="AA1372" s="57"/>
      <c r="AB1372" s="57"/>
      <c r="AC1372" s="57"/>
      <c r="AD1372" s="57"/>
      <c r="AE1372" s="57"/>
      <c r="AF1372" s="57"/>
      <c r="AG1372" s="57"/>
      <c r="AH1372" s="57"/>
      <c r="AI1372" s="57"/>
      <c r="AJ1372" s="57"/>
      <c r="AK1372" s="57"/>
      <c r="AL1372" s="57"/>
      <c r="AM1372" s="57"/>
      <c r="AN1372" s="57"/>
      <c r="AO1372" s="57"/>
      <c r="AP1372" s="57"/>
      <c r="AQ1372" s="57"/>
      <c r="AR1372" s="57"/>
      <c r="AS1372" s="57"/>
      <c r="AT1372" s="57"/>
      <c r="AU1372" s="57"/>
      <c r="AV1372" s="57"/>
      <c r="AW1372" s="57"/>
      <c r="AX1372" s="57"/>
      <c r="AY1372" s="57"/>
      <c r="AZ1372" s="57"/>
      <c r="BA1372" s="57"/>
      <c r="BB1372" s="57"/>
      <c r="BC1372" s="57"/>
      <c r="BD1372" s="57"/>
      <c r="BE1372" s="57"/>
      <c r="BF1372" s="57"/>
    </row>
    <row r="1373" spans="1:58" s="59" customFormat="1" x14ac:dyDescent="0.25">
      <c r="A1373" s="53"/>
      <c r="B1373" s="60"/>
      <c r="C1373" s="57">
        <f t="shared" si="108"/>
        <v>0</v>
      </c>
      <c r="D1373" s="56"/>
      <c r="E1373" s="57">
        <f>[1]DETAY!$A$2</f>
        <v>0</v>
      </c>
      <c r="F1373" s="90">
        <f t="shared" si="109"/>
        <v>0</v>
      </c>
      <c r="G1373" s="92">
        <f t="shared" si="110"/>
        <v>0</v>
      </c>
      <c r="H1373" s="62" t="e">
        <f t="shared" si="111"/>
        <v>#DIV/0!</v>
      </c>
      <c r="I1373" s="57"/>
      <c r="J1373" s="57"/>
      <c r="K1373" s="57"/>
      <c r="L1373" s="57"/>
      <c r="M1373" s="58"/>
      <c r="N1373" s="57"/>
      <c r="O1373" s="57"/>
      <c r="P1373" s="57"/>
      <c r="Q1373" s="57"/>
      <c r="R1373" s="57"/>
      <c r="S1373" s="61"/>
      <c r="T1373" s="57"/>
      <c r="U1373" s="57"/>
      <c r="V1373" s="57"/>
      <c r="W1373" s="57"/>
      <c r="X1373" s="57"/>
      <c r="Y1373" s="57"/>
      <c r="Z1373" s="57"/>
      <c r="AA1373" s="57"/>
      <c r="AB1373" s="57"/>
      <c r="AC1373" s="57"/>
      <c r="AD1373" s="57"/>
      <c r="AE1373" s="57"/>
      <c r="AF1373" s="57"/>
      <c r="AG1373" s="57"/>
      <c r="AH1373" s="57"/>
      <c r="AI1373" s="57"/>
      <c r="AJ1373" s="57"/>
      <c r="AK1373" s="57"/>
      <c r="AL1373" s="57"/>
      <c r="AM1373" s="57"/>
      <c r="AN1373" s="57"/>
      <c r="AO1373" s="57"/>
      <c r="AP1373" s="57"/>
      <c r="AQ1373" s="57"/>
      <c r="AR1373" s="57"/>
      <c r="AS1373" s="57"/>
      <c r="AT1373" s="57"/>
      <c r="AU1373" s="57"/>
      <c r="AV1373" s="57"/>
      <c r="AW1373" s="57"/>
      <c r="AX1373" s="57"/>
      <c r="AY1373" s="57"/>
      <c r="AZ1373" s="57"/>
      <c r="BA1373" s="57"/>
      <c r="BB1373" s="57"/>
      <c r="BC1373" s="57"/>
      <c r="BD1373" s="57"/>
      <c r="BE1373" s="57"/>
      <c r="BF1373" s="57"/>
    </row>
    <row r="1374" spans="1:58" s="59" customFormat="1" x14ac:dyDescent="0.25">
      <c r="A1374" s="53"/>
      <c r="B1374" s="60"/>
      <c r="C1374" s="57">
        <f t="shared" si="108"/>
        <v>0</v>
      </c>
      <c r="D1374" s="56"/>
      <c r="E1374" s="57">
        <f>[1]DETAY!$A$2</f>
        <v>0</v>
      </c>
      <c r="F1374" s="90">
        <f t="shared" si="109"/>
        <v>0</v>
      </c>
      <c r="G1374" s="92">
        <f t="shared" si="110"/>
        <v>0</v>
      </c>
      <c r="H1374" s="62" t="e">
        <f t="shared" si="111"/>
        <v>#DIV/0!</v>
      </c>
      <c r="I1374" s="57"/>
      <c r="J1374" s="57"/>
      <c r="K1374" s="57"/>
      <c r="L1374" s="57"/>
      <c r="M1374" s="58"/>
      <c r="N1374" s="57"/>
      <c r="O1374" s="57"/>
      <c r="P1374" s="57"/>
      <c r="Q1374" s="57"/>
      <c r="R1374" s="57"/>
      <c r="S1374" s="61"/>
      <c r="T1374" s="57"/>
      <c r="U1374" s="57"/>
      <c r="V1374" s="57"/>
      <c r="W1374" s="57"/>
      <c r="X1374" s="57"/>
      <c r="Y1374" s="57"/>
      <c r="Z1374" s="57"/>
      <c r="AA1374" s="57"/>
      <c r="AB1374" s="57"/>
      <c r="AC1374" s="57"/>
      <c r="AD1374" s="57"/>
      <c r="AE1374" s="57"/>
      <c r="AF1374" s="57"/>
      <c r="AG1374" s="57"/>
      <c r="AH1374" s="57"/>
      <c r="AI1374" s="57"/>
      <c r="AJ1374" s="57"/>
      <c r="AK1374" s="57"/>
      <c r="AL1374" s="57"/>
      <c r="AM1374" s="57"/>
      <c r="AN1374" s="57"/>
      <c r="AO1374" s="57"/>
      <c r="AP1374" s="57"/>
      <c r="AQ1374" s="57"/>
      <c r="AR1374" s="57"/>
      <c r="AS1374" s="57"/>
      <c r="AT1374" s="57"/>
      <c r="AU1374" s="57"/>
      <c r="AV1374" s="57"/>
      <c r="AW1374" s="57"/>
      <c r="AX1374" s="57"/>
      <c r="AY1374" s="57"/>
      <c r="AZ1374" s="57"/>
      <c r="BA1374" s="57"/>
      <c r="BB1374" s="57"/>
      <c r="BC1374" s="57"/>
      <c r="BD1374" s="57"/>
      <c r="BE1374" s="57"/>
      <c r="BF1374" s="57"/>
    </row>
    <row r="1375" spans="1:58" s="59" customFormat="1" x14ac:dyDescent="0.25">
      <c r="A1375" s="53"/>
      <c r="B1375" s="60"/>
      <c r="C1375" s="57">
        <f t="shared" si="108"/>
        <v>0</v>
      </c>
      <c r="D1375" s="56"/>
      <c r="E1375" s="57">
        <f>[1]DETAY!$A$2</f>
        <v>0</v>
      </c>
      <c r="F1375" s="90">
        <f t="shared" si="109"/>
        <v>0</v>
      </c>
      <c r="G1375" s="92">
        <f t="shared" si="110"/>
        <v>0</v>
      </c>
      <c r="H1375" s="62" t="e">
        <f t="shared" si="111"/>
        <v>#DIV/0!</v>
      </c>
      <c r="I1375" s="57"/>
      <c r="J1375" s="57"/>
      <c r="K1375" s="57"/>
      <c r="L1375" s="57"/>
      <c r="M1375" s="58"/>
      <c r="N1375" s="57"/>
      <c r="O1375" s="57"/>
      <c r="P1375" s="57"/>
      <c r="Q1375" s="57"/>
      <c r="R1375" s="57"/>
      <c r="S1375" s="61"/>
      <c r="T1375" s="57"/>
      <c r="U1375" s="57"/>
      <c r="V1375" s="57"/>
      <c r="W1375" s="57"/>
      <c r="X1375" s="57"/>
      <c r="Y1375" s="57"/>
      <c r="Z1375" s="57"/>
      <c r="AA1375" s="57"/>
      <c r="AB1375" s="57"/>
      <c r="AC1375" s="57"/>
      <c r="AD1375" s="57"/>
      <c r="AE1375" s="57"/>
      <c r="AF1375" s="57"/>
      <c r="AG1375" s="57"/>
      <c r="AH1375" s="57"/>
      <c r="AI1375" s="57"/>
      <c r="AJ1375" s="57"/>
      <c r="AK1375" s="57"/>
      <c r="AL1375" s="57"/>
      <c r="AM1375" s="57"/>
      <c r="AN1375" s="57"/>
      <c r="AO1375" s="57"/>
      <c r="AP1375" s="57"/>
      <c r="AQ1375" s="57"/>
      <c r="AR1375" s="57"/>
      <c r="AS1375" s="57"/>
      <c r="AT1375" s="57"/>
      <c r="AU1375" s="57"/>
      <c r="AV1375" s="57"/>
      <c r="AW1375" s="57"/>
      <c r="AX1375" s="57"/>
      <c r="AY1375" s="57"/>
      <c r="AZ1375" s="57"/>
      <c r="BA1375" s="57"/>
      <c r="BB1375" s="57"/>
      <c r="BC1375" s="57"/>
      <c r="BD1375" s="57"/>
      <c r="BE1375" s="57"/>
      <c r="BF1375" s="57"/>
    </row>
    <row r="1376" spans="1:58" s="59" customFormat="1" x14ac:dyDescent="0.25">
      <c r="A1376" s="53"/>
      <c r="B1376" s="60"/>
      <c r="C1376" s="57">
        <f t="shared" si="108"/>
        <v>0</v>
      </c>
      <c r="D1376" s="56"/>
      <c r="E1376" s="57">
        <f>[1]DETAY!$A$2</f>
        <v>0</v>
      </c>
      <c r="F1376" s="90">
        <f t="shared" si="109"/>
        <v>0</v>
      </c>
      <c r="G1376" s="92">
        <f t="shared" si="110"/>
        <v>0</v>
      </c>
      <c r="H1376" s="62" t="e">
        <f t="shared" si="111"/>
        <v>#DIV/0!</v>
      </c>
      <c r="I1376" s="57"/>
      <c r="J1376" s="57"/>
      <c r="K1376" s="57"/>
      <c r="L1376" s="57"/>
      <c r="M1376" s="58"/>
      <c r="N1376" s="57"/>
      <c r="O1376" s="57"/>
      <c r="P1376" s="57"/>
      <c r="Q1376" s="57"/>
      <c r="R1376" s="57"/>
      <c r="S1376" s="61"/>
      <c r="T1376" s="57"/>
      <c r="U1376" s="57"/>
      <c r="V1376" s="57"/>
      <c r="W1376" s="57"/>
      <c r="X1376" s="57"/>
      <c r="Y1376" s="57"/>
      <c r="Z1376" s="57"/>
      <c r="AA1376" s="57"/>
      <c r="AB1376" s="57"/>
      <c r="AC1376" s="57"/>
      <c r="AD1376" s="57"/>
      <c r="AE1376" s="57"/>
      <c r="AF1376" s="57"/>
      <c r="AG1376" s="57"/>
      <c r="AH1376" s="57"/>
      <c r="AI1376" s="57"/>
      <c r="AJ1376" s="57"/>
      <c r="AK1376" s="57"/>
      <c r="AL1376" s="57"/>
      <c r="AM1376" s="57"/>
      <c r="AN1376" s="57"/>
      <c r="AO1376" s="57"/>
      <c r="AP1376" s="57"/>
      <c r="AQ1376" s="57"/>
      <c r="AR1376" s="57"/>
      <c r="AS1376" s="57"/>
      <c r="AT1376" s="57"/>
      <c r="AU1376" s="57"/>
      <c r="AV1376" s="57"/>
      <c r="AW1376" s="57"/>
      <c r="AX1376" s="57"/>
      <c r="AY1376" s="57"/>
      <c r="AZ1376" s="57"/>
      <c r="BA1376" s="57"/>
      <c r="BB1376" s="57"/>
      <c r="BC1376" s="57"/>
      <c r="BD1376" s="57"/>
      <c r="BE1376" s="57"/>
      <c r="BF1376" s="57"/>
    </row>
    <row r="1377" spans="1:58" s="59" customFormat="1" x14ac:dyDescent="0.25">
      <c r="A1377" s="53"/>
      <c r="B1377" s="60"/>
      <c r="C1377" s="57">
        <f t="shared" si="108"/>
        <v>0</v>
      </c>
      <c r="D1377" s="56"/>
      <c r="E1377" s="57">
        <f>[1]DETAY!$A$2</f>
        <v>0</v>
      </c>
      <c r="F1377" s="90">
        <f t="shared" si="109"/>
        <v>0</v>
      </c>
      <c r="G1377" s="92">
        <f t="shared" si="110"/>
        <v>0</v>
      </c>
      <c r="H1377" s="62" t="e">
        <f t="shared" si="111"/>
        <v>#DIV/0!</v>
      </c>
      <c r="I1377" s="57"/>
      <c r="J1377" s="57"/>
      <c r="K1377" s="57"/>
      <c r="L1377" s="57"/>
      <c r="M1377" s="58"/>
      <c r="N1377" s="57"/>
      <c r="O1377" s="57"/>
      <c r="P1377" s="57"/>
      <c r="Q1377" s="57"/>
      <c r="R1377" s="57"/>
      <c r="S1377" s="61"/>
      <c r="T1377" s="57"/>
      <c r="U1377" s="57"/>
      <c r="V1377" s="57"/>
      <c r="W1377" s="57"/>
      <c r="X1377" s="57"/>
      <c r="Y1377" s="57"/>
      <c r="Z1377" s="57"/>
      <c r="AA1377" s="57"/>
      <c r="AB1377" s="57"/>
      <c r="AC1377" s="57"/>
      <c r="AD1377" s="57"/>
      <c r="AE1377" s="57"/>
      <c r="AF1377" s="57"/>
      <c r="AG1377" s="57"/>
      <c r="AH1377" s="57"/>
      <c r="AI1377" s="57"/>
      <c r="AJ1377" s="57"/>
      <c r="AK1377" s="57"/>
      <c r="AL1377" s="57"/>
      <c r="AM1377" s="57"/>
      <c r="AN1377" s="57"/>
      <c r="AO1377" s="57"/>
      <c r="AP1377" s="57"/>
      <c r="AQ1377" s="57"/>
      <c r="AR1377" s="57"/>
      <c r="AS1377" s="57"/>
      <c r="AT1377" s="57"/>
      <c r="AU1377" s="57"/>
      <c r="AV1377" s="57"/>
      <c r="AW1377" s="57"/>
      <c r="AX1377" s="57"/>
      <c r="AY1377" s="57"/>
      <c r="AZ1377" s="57"/>
      <c r="BA1377" s="57"/>
      <c r="BB1377" s="57"/>
      <c r="BC1377" s="57"/>
      <c r="BD1377" s="57"/>
      <c r="BE1377" s="57"/>
      <c r="BF1377" s="57"/>
    </row>
    <row r="1378" spans="1:58" s="59" customFormat="1" x14ac:dyDescent="0.25">
      <c r="A1378" s="53"/>
      <c r="B1378" s="60"/>
      <c r="C1378" s="57">
        <f t="shared" si="108"/>
        <v>0</v>
      </c>
      <c r="D1378" s="56"/>
      <c r="E1378" s="57">
        <f>[1]DETAY!$A$2</f>
        <v>0</v>
      </c>
      <c r="F1378" s="90">
        <f t="shared" si="109"/>
        <v>0</v>
      </c>
      <c r="G1378" s="92">
        <f t="shared" si="110"/>
        <v>0</v>
      </c>
      <c r="H1378" s="62" t="e">
        <f t="shared" si="111"/>
        <v>#DIV/0!</v>
      </c>
      <c r="I1378" s="57"/>
      <c r="J1378" s="57"/>
      <c r="K1378" s="57"/>
      <c r="L1378" s="57"/>
      <c r="M1378" s="58"/>
      <c r="N1378" s="57"/>
      <c r="O1378" s="57"/>
      <c r="P1378" s="57"/>
      <c r="Q1378" s="57"/>
      <c r="R1378" s="57"/>
      <c r="S1378" s="61"/>
      <c r="T1378" s="57"/>
      <c r="U1378" s="57"/>
      <c r="V1378" s="57"/>
      <c r="W1378" s="57"/>
      <c r="X1378" s="57"/>
      <c r="Y1378" s="57"/>
      <c r="Z1378" s="57"/>
      <c r="AA1378" s="57"/>
      <c r="AB1378" s="57"/>
      <c r="AC1378" s="57"/>
      <c r="AD1378" s="57"/>
      <c r="AE1378" s="57"/>
      <c r="AF1378" s="57"/>
      <c r="AG1378" s="57"/>
      <c r="AH1378" s="57"/>
      <c r="AI1378" s="57"/>
      <c r="AJ1378" s="57"/>
      <c r="AK1378" s="57"/>
      <c r="AL1378" s="57"/>
      <c r="AM1378" s="57"/>
      <c r="AN1378" s="57"/>
      <c r="AO1378" s="57"/>
      <c r="AP1378" s="57"/>
      <c r="AQ1378" s="57"/>
      <c r="AR1378" s="57"/>
      <c r="AS1378" s="57"/>
      <c r="AT1378" s="57"/>
      <c r="AU1378" s="57"/>
      <c r="AV1378" s="57"/>
      <c r="AW1378" s="57"/>
      <c r="AX1378" s="57"/>
      <c r="AY1378" s="57"/>
      <c r="AZ1378" s="57"/>
      <c r="BA1378" s="57"/>
      <c r="BB1378" s="57"/>
      <c r="BC1378" s="57"/>
      <c r="BD1378" s="57"/>
      <c r="BE1378" s="57"/>
      <c r="BF1378" s="57"/>
    </row>
    <row r="1379" spans="1:58" s="59" customFormat="1" x14ac:dyDescent="0.25">
      <c r="A1379" s="53"/>
      <c r="B1379" s="60"/>
      <c r="C1379" s="57">
        <f t="shared" si="108"/>
        <v>0</v>
      </c>
      <c r="D1379" s="56"/>
      <c r="E1379" s="57">
        <f>[1]DETAY!$A$2</f>
        <v>0</v>
      </c>
      <c r="F1379" s="90">
        <f t="shared" si="109"/>
        <v>0</v>
      </c>
      <c r="G1379" s="92">
        <f t="shared" si="110"/>
        <v>0</v>
      </c>
      <c r="H1379" s="62" t="e">
        <f t="shared" si="111"/>
        <v>#DIV/0!</v>
      </c>
      <c r="I1379" s="57"/>
      <c r="J1379" s="57"/>
      <c r="K1379" s="57"/>
      <c r="L1379" s="57"/>
      <c r="M1379" s="58"/>
      <c r="N1379" s="57"/>
      <c r="O1379" s="57"/>
      <c r="P1379" s="57"/>
      <c r="Q1379" s="57"/>
      <c r="R1379" s="57"/>
      <c r="S1379" s="61"/>
      <c r="T1379" s="57"/>
      <c r="U1379" s="57"/>
      <c r="V1379" s="57"/>
      <c r="W1379" s="57"/>
      <c r="X1379" s="57"/>
      <c r="Y1379" s="57"/>
      <c r="Z1379" s="57"/>
      <c r="AA1379" s="57"/>
      <c r="AB1379" s="57"/>
      <c r="AC1379" s="57"/>
      <c r="AD1379" s="57"/>
      <c r="AE1379" s="57"/>
      <c r="AF1379" s="57"/>
      <c r="AG1379" s="57"/>
      <c r="AH1379" s="57"/>
      <c r="AI1379" s="57"/>
      <c r="AJ1379" s="57"/>
      <c r="AK1379" s="57"/>
      <c r="AL1379" s="57"/>
      <c r="AM1379" s="57"/>
      <c r="AN1379" s="57"/>
      <c r="AO1379" s="57"/>
      <c r="AP1379" s="57"/>
      <c r="AQ1379" s="57"/>
      <c r="AR1379" s="57"/>
      <c r="AS1379" s="57"/>
      <c r="AT1379" s="57"/>
      <c r="AU1379" s="57"/>
      <c r="AV1379" s="57"/>
      <c r="AW1379" s="57"/>
      <c r="AX1379" s="57"/>
      <c r="AY1379" s="57"/>
      <c r="AZ1379" s="57"/>
      <c r="BA1379" s="57"/>
      <c r="BB1379" s="57"/>
      <c r="BC1379" s="57"/>
      <c r="BD1379" s="57"/>
      <c r="BE1379" s="57"/>
      <c r="BF1379" s="57"/>
    </row>
    <row r="1380" spans="1:58" s="59" customFormat="1" x14ac:dyDescent="0.25">
      <c r="A1380" s="53"/>
      <c r="B1380" s="60"/>
      <c r="C1380" s="57">
        <f t="shared" si="108"/>
        <v>0</v>
      </c>
      <c r="D1380" s="56"/>
      <c r="E1380" s="57">
        <f>[1]DETAY!$A$2</f>
        <v>0</v>
      </c>
      <c r="F1380" s="90">
        <f t="shared" si="109"/>
        <v>0</v>
      </c>
      <c r="G1380" s="92">
        <f t="shared" si="110"/>
        <v>0</v>
      </c>
      <c r="H1380" s="62" t="e">
        <f t="shared" si="111"/>
        <v>#DIV/0!</v>
      </c>
      <c r="I1380" s="57"/>
      <c r="J1380" s="57"/>
      <c r="K1380" s="57"/>
      <c r="L1380" s="57"/>
      <c r="M1380" s="58"/>
      <c r="N1380" s="57"/>
      <c r="O1380" s="57"/>
      <c r="P1380" s="57"/>
      <c r="Q1380" s="57"/>
      <c r="R1380" s="57"/>
      <c r="S1380" s="61"/>
      <c r="T1380" s="57"/>
      <c r="U1380" s="57"/>
      <c r="V1380" s="57"/>
      <c r="W1380" s="57"/>
      <c r="X1380" s="57"/>
      <c r="Y1380" s="57"/>
      <c r="Z1380" s="57"/>
      <c r="AA1380" s="57"/>
      <c r="AB1380" s="57"/>
      <c r="AC1380" s="57"/>
      <c r="AD1380" s="57"/>
      <c r="AE1380" s="57"/>
      <c r="AF1380" s="57"/>
      <c r="AG1380" s="57"/>
      <c r="AH1380" s="57"/>
      <c r="AI1380" s="57"/>
      <c r="AJ1380" s="57"/>
      <c r="AK1380" s="57"/>
      <c r="AL1380" s="57"/>
      <c r="AM1380" s="57"/>
      <c r="AN1380" s="57"/>
      <c r="AO1380" s="57"/>
      <c r="AP1380" s="57"/>
      <c r="AQ1380" s="57"/>
      <c r="AR1380" s="57"/>
      <c r="AS1380" s="57"/>
      <c r="AT1380" s="57"/>
      <c r="AU1380" s="57"/>
      <c r="AV1380" s="57"/>
      <c r="AW1380" s="57"/>
      <c r="AX1380" s="57"/>
      <c r="AY1380" s="57"/>
      <c r="AZ1380" s="57"/>
      <c r="BA1380" s="57"/>
      <c r="BB1380" s="57"/>
      <c r="BC1380" s="57"/>
      <c r="BD1380" s="57"/>
      <c r="BE1380" s="57"/>
      <c r="BF1380" s="57"/>
    </row>
    <row r="1381" spans="1:58" s="59" customFormat="1" x14ac:dyDescent="0.25">
      <c r="A1381" s="53"/>
      <c r="B1381" s="60"/>
      <c r="C1381" s="57">
        <f t="shared" si="108"/>
        <v>0</v>
      </c>
      <c r="D1381" s="56"/>
      <c r="E1381" s="57">
        <f>[1]DETAY!$A$2</f>
        <v>0</v>
      </c>
      <c r="F1381" s="90">
        <f t="shared" si="109"/>
        <v>0</v>
      </c>
      <c r="G1381" s="92">
        <f t="shared" si="110"/>
        <v>0</v>
      </c>
      <c r="H1381" s="62" t="e">
        <f t="shared" si="111"/>
        <v>#DIV/0!</v>
      </c>
      <c r="I1381" s="57"/>
      <c r="J1381" s="57"/>
      <c r="K1381" s="57"/>
      <c r="L1381" s="57"/>
      <c r="M1381" s="58"/>
      <c r="N1381" s="57"/>
      <c r="O1381" s="57"/>
      <c r="P1381" s="57"/>
      <c r="Q1381" s="57"/>
      <c r="R1381" s="57"/>
      <c r="S1381" s="61"/>
      <c r="T1381" s="57"/>
      <c r="U1381" s="57"/>
      <c r="V1381" s="57"/>
      <c r="W1381" s="57"/>
      <c r="X1381" s="57"/>
      <c r="Y1381" s="57"/>
      <c r="Z1381" s="57"/>
      <c r="AA1381" s="57"/>
      <c r="AB1381" s="57"/>
      <c r="AC1381" s="57"/>
      <c r="AD1381" s="57"/>
      <c r="AE1381" s="57"/>
      <c r="AF1381" s="57"/>
      <c r="AG1381" s="57"/>
      <c r="AH1381" s="57"/>
      <c r="AI1381" s="57"/>
      <c r="AJ1381" s="57"/>
      <c r="AK1381" s="57"/>
      <c r="AL1381" s="57"/>
      <c r="AM1381" s="57"/>
      <c r="AN1381" s="57"/>
      <c r="AO1381" s="57"/>
      <c r="AP1381" s="57"/>
      <c r="AQ1381" s="57"/>
      <c r="AR1381" s="57"/>
      <c r="AS1381" s="57"/>
      <c r="AT1381" s="57"/>
      <c r="AU1381" s="57"/>
      <c r="AV1381" s="57"/>
      <c r="AW1381" s="57"/>
      <c r="AX1381" s="57"/>
      <c r="AY1381" s="57"/>
      <c r="AZ1381" s="57"/>
      <c r="BA1381" s="57"/>
      <c r="BB1381" s="57"/>
      <c r="BC1381" s="57"/>
      <c r="BD1381" s="57"/>
      <c r="BE1381" s="57"/>
      <c r="BF1381" s="57"/>
    </row>
    <row r="1382" spans="1:58" s="59" customFormat="1" x14ac:dyDescent="0.25">
      <c r="A1382" s="53"/>
      <c r="B1382" s="60"/>
      <c r="C1382" s="57">
        <f t="shared" si="108"/>
        <v>0</v>
      </c>
      <c r="D1382" s="56"/>
      <c r="E1382" s="57">
        <f>[1]DETAY!$A$2</f>
        <v>0</v>
      </c>
      <c r="F1382" s="90">
        <f t="shared" si="109"/>
        <v>0</v>
      </c>
      <c r="G1382" s="92">
        <f t="shared" si="110"/>
        <v>0</v>
      </c>
      <c r="H1382" s="62" t="e">
        <f t="shared" si="111"/>
        <v>#DIV/0!</v>
      </c>
      <c r="I1382" s="57"/>
      <c r="J1382" s="57"/>
      <c r="K1382" s="57"/>
      <c r="L1382" s="57"/>
      <c r="M1382" s="58"/>
      <c r="N1382" s="57"/>
      <c r="O1382" s="57"/>
      <c r="P1382" s="57"/>
      <c r="Q1382" s="57"/>
      <c r="R1382" s="57"/>
      <c r="S1382" s="61"/>
      <c r="T1382" s="57"/>
      <c r="U1382" s="57"/>
      <c r="V1382" s="57"/>
      <c r="W1382" s="57"/>
      <c r="X1382" s="57"/>
      <c r="Y1382" s="57"/>
      <c r="Z1382" s="57"/>
      <c r="AA1382" s="57"/>
      <c r="AB1382" s="57"/>
      <c r="AC1382" s="57"/>
      <c r="AD1382" s="57"/>
      <c r="AE1382" s="57"/>
      <c r="AF1382" s="57"/>
      <c r="AG1382" s="57"/>
      <c r="AH1382" s="57"/>
      <c r="AI1382" s="57"/>
      <c r="AJ1382" s="57"/>
      <c r="AK1382" s="57"/>
      <c r="AL1382" s="57"/>
      <c r="AM1382" s="57"/>
      <c r="AN1382" s="57"/>
      <c r="AO1382" s="57"/>
      <c r="AP1382" s="57"/>
      <c r="AQ1382" s="57"/>
      <c r="AR1382" s="57"/>
      <c r="AS1382" s="57"/>
      <c r="AT1382" s="57"/>
      <c r="AU1382" s="57"/>
      <c r="AV1382" s="57"/>
      <c r="AW1382" s="57"/>
      <c r="AX1382" s="57"/>
      <c r="AY1382" s="57"/>
      <c r="AZ1382" s="57"/>
      <c r="BA1382" s="57"/>
      <c r="BB1382" s="57"/>
      <c r="BC1382" s="57"/>
      <c r="BD1382" s="57"/>
      <c r="BE1382" s="57"/>
      <c r="BF1382" s="57"/>
    </row>
    <row r="1383" spans="1:58" s="59" customFormat="1" x14ac:dyDescent="0.25">
      <c r="A1383" s="53"/>
      <c r="B1383" s="60"/>
      <c r="C1383" s="57">
        <f t="shared" si="108"/>
        <v>0</v>
      </c>
      <c r="D1383" s="56"/>
      <c r="E1383" s="57">
        <f>[1]DETAY!$A$2</f>
        <v>0</v>
      </c>
      <c r="F1383" s="90">
        <f t="shared" si="109"/>
        <v>0</v>
      </c>
      <c r="G1383" s="92">
        <f t="shared" si="110"/>
        <v>0</v>
      </c>
      <c r="H1383" s="62" t="e">
        <f t="shared" si="111"/>
        <v>#DIV/0!</v>
      </c>
      <c r="I1383" s="57"/>
      <c r="J1383" s="57"/>
      <c r="K1383" s="57"/>
      <c r="L1383" s="57"/>
      <c r="M1383" s="58"/>
      <c r="N1383" s="57"/>
      <c r="O1383" s="57"/>
      <c r="P1383" s="57"/>
      <c r="Q1383" s="57"/>
      <c r="R1383" s="57"/>
      <c r="S1383" s="61"/>
      <c r="T1383" s="57"/>
      <c r="U1383" s="57"/>
      <c r="V1383" s="57"/>
      <c r="W1383" s="57"/>
      <c r="X1383" s="57"/>
      <c r="Y1383" s="57"/>
      <c r="Z1383" s="57"/>
      <c r="AA1383" s="57"/>
      <c r="AB1383" s="57"/>
      <c r="AC1383" s="57"/>
      <c r="AD1383" s="57"/>
      <c r="AE1383" s="57"/>
      <c r="AF1383" s="57"/>
      <c r="AG1383" s="57"/>
      <c r="AH1383" s="57"/>
      <c r="AI1383" s="57"/>
      <c r="AJ1383" s="57"/>
      <c r="AK1383" s="57"/>
      <c r="AL1383" s="57"/>
      <c r="AM1383" s="57"/>
      <c r="AN1383" s="57"/>
      <c r="AO1383" s="57"/>
      <c r="AP1383" s="57"/>
      <c r="AQ1383" s="57"/>
      <c r="AR1383" s="57"/>
      <c r="AS1383" s="57"/>
      <c r="AT1383" s="57"/>
      <c r="AU1383" s="57"/>
      <c r="AV1383" s="57"/>
      <c r="AW1383" s="57"/>
      <c r="AX1383" s="57"/>
      <c r="AY1383" s="57"/>
      <c r="AZ1383" s="57"/>
      <c r="BA1383" s="57"/>
      <c r="BB1383" s="57"/>
      <c r="BC1383" s="57"/>
      <c r="BD1383" s="57"/>
      <c r="BE1383" s="57"/>
      <c r="BF1383" s="57"/>
    </row>
    <row r="1384" spans="1:58" s="59" customFormat="1" x14ac:dyDescent="0.25">
      <c r="A1384" s="53"/>
      <c r="B1384" s="60"/>
      <c r="C1384" s="57">
        <f t="shared" si="108"/>
        <v>0</v>
      </c>
      <c r="D1384" s="56"/>
      <c r="E1384" s="57">
        <f>[1]DETAY!$A$2</f>
        <v>0</v>
      </c>
      <c r="F1384" s="90">
        <f t="shared" si="109"/>
        <v>0</v>
      </c>
      <c r="G1384" s="92">
        <f t="shared" si="110"/>
        <v>0</v>
      </c>
      <c r="H1384" s="62" t="e">
        <f t="shared" si="111"/>
        <v>#DIV/0!</v>
      </c>
      <c r="I1384" s="57"/>
      <c r="J1384" s="57"/>
      <c r="K1384" s="57"/>
      <c r="L1384" s="57"/>
      <c r="M1384" s="58"/>
      <c r="N1384" s="57"/>
      <c r="O1384" s="57"/>
      <c r="P1384" s="57"/>
      <c r="Q1384" s="57"/>
      <c r="R1384" s="57"/>
      <c r="S1384" s="61"/>
      <c r="T1384" s="57"/>
      <c r="U1384" s="57"/>
      <c r="V1384" s="57"/>
      <c r="W1384" s="57"/>
      <c r="X1384" s="57"/>
      <c r="Y1384" s="57"/>
      <c r="Z1384" s="57"/>
      <c r="AA1384" s="57"/>
      <c r="AB1384" s="57"/>
      <c r="AC1384" s="57"/>
      <c r="AD1384" s="57"/>
      <c r="AE1384" s="57"/>
      <c r="AF1384" s="57"/>
      <c r="AG1384" s="57"/>
      <c r="AH1384" s="57"/>
      <c r="AI1384" s="57"/>
      <c r="AJ1384" s="57"/>
      <c r="AK1384" s="57"/>
      <c r="AL1384" s="57"/>
      <c r="AM1384" s="57"/>
      <c r="AN1384" s="57"/>
      <c r="AO1384" s="57"/>
      <c r="AP1384" s="57"/>
      <c r="AQ1384" s="57"/>
      <c r="AR1384" s="57"/>
      <c r="AS1384" s="57"/>
      <c r="AT1384" s="57"/>
      <c r="AU1384" s="57"/>
      <c r="AV1384" s="57"/>
      <c r="AW1384" s="57"/>
      <c r="AX1384" s="57"/>
      <c r="AY1384" s="57"/>
      <c r="AZ1384" s="57"/>
      <c r="BA1384" s="57"/>
      <c r="BB1384" s="57"/>
      <c r="BC1384" s="57"/>
      <c r="BD1384" s="57"/>
      <c r="BE1384" s="57"/>
      <c r="BF1384" s="57"/>
    </row>
    <row r="1385" spans="1:58" s="59" customFormat="1" x14ac:dyDescent="0.25">
      <c r="A1385" s="53"/>
      <c r="B1385" s="60"/>
      <c r="C1385" s="57">
        <f t="shared" si="108"/>
        <v>0</v>
      </c>
      <c r="D1385" s="56"/>
      <c r="E1385" s="57">
        <f>[1]DETAY!$A$2</f>
        <v>0</v>
      </c>
      <c r="F1385" s="90">
        <f t="shared" si="109"/>
        <v>0</v>
      </c>
      <c r="G1385" s="92">
        <f t="shared" si="110"/>
        <v>0</v>
      </c>
      <c r="H1385" s="62" t="e">
        <f t="shared" si="111"/>
        <v>#DIV/0!</v>
      </c>
      <c r="I1385" s="57"/>
      <c r="J1385" s="57"/>
      <c r="K1385" s="57"/>
      <c r="L1385" s="57"/>
      <c r="M1385" s="58"/>
      <c r="N1385" s="57"/>
      <c r="O1385" s="57"/>
      <c r="P1385" s="57"/>
      <c r="Q1385" s="57"/>
      <c r="R1385" s="57"/>
      <c r="S1385" s="61"/>
      <c r="T1385" s="57"/>
      <c r="U1385" s="57"/>
      <c r="V1385" s="57"/>
      <c r="W1385" s="57"/>
      <c r="X1385" s="57"/>
      <c r="Y1385" s="57"/>
      <c r="Z1385" s="57"/>
      <c r="AA1385" s="57"/>
      <c r="AB1385" s="57"/>
      <c r="AC1385" s="57"/>
      <c r="AD1385" s="57"/>
      <c r="AE1385" s="57"/>
      <c r="AF1385" s="57"/>
      <c r="AG1385" s="57"/>
      <c r="AH1385" s="57"/>
      <c r="AI1385" s="57"/>
      <c r="AJ1385" s="57"/>
      <c r="AK1385" s="57"/>
      <c r="AL1385" s="57"/>
      <c r="AM1385" s="57"/>
      <c r="AN1385" s="57"/>
      <c r="AO1385" s="57"/>
      <c r="AP1385" s="57"/>
      <c r="AQ1385" s="57"/>
      <c r="AR1385" s="57"/>
      <c r="AS1385" s="57"/>
      <c r="AT1385" s="57"/>
      <c r="AU1385" s="57"/>
      <c r="AV1385" s="57"/>
      <c r="AW1385" s="57"/>
      <c r="AX1385" s="57"/>
      <c r="AY1385" s="57"/>
      <c r="AZ1385" s="57"/>
      <c r="BA1385" s="57"/>
      <c r="BB1385" s="57"/>
      <c r="BC1385" s="57"/>
      <c r="BD1385" s="57"/>
      <c r="BE1385" s="57"/>
      <c r="BF1385" s="57"/>
    </row>
    <row r="1386" spans="1:58" s="59" customFormat="1" x14ac:dyDescent="0.25">
      <c r="A1386" s="53"/>
      <c r="B1386" s="60"/>
      <c r="C1386" s="57">
        <f t="shared" si="108"/>
        <v>0</v>
      </c>
      <c r="D1386" s="56"/>
      <c r="E1386" s="57">
        <f>[1]DETAY!$A$2</f>
        <v>0</v>
      </c>
      <c r="F1386" s="90">
        <f t="shared" si="109"/>
        <v>0</v>
      </c>
      <c r="G1386" s="92">
        <f t="shared" si="110"/>
        <v>0</v>
      </c>
      <c r="H1386" s="62" t="e">
        <f t="shared" si="111"/>
        <v>#DIV/0!</v>
      </c>
      <c r="I1386" s="57"/>
      <c r="J1386" s="57"/>
      <c r="K1386" s="57"/>
      <c r="L1386" s="57"/>
      <c r="M1386" s="58"/>
      <c r="N1386" s="57"/>
      <c r="O1386" s="57"/>
      <c r="P1386" s="57"/>
      <c r="Q1386" s="57"/>
      <c r="R1386" s="57"/>
      <c r="S1386" s="61"/>
      <c r="T1386" s="57"/>
      <c r="U1386" s="57"/>
      <c r="V1386" s="57"/>
      <c r="W1386" s="57"/>
      <c r="X1386" s="57"/>
      <c r="Y1386" s="57"/>
      <c r="Z1386" s="57"/>
      <c r="AA1386" s="57"/>
      <c r="AB1386" s="57"/>
      <c r="AC1386" s="57"/>
      <c r="AD1386" s="57"/>
      <c r="AE1386" s="57"/>
      <c r="AF1386" s="57"/>
      <c r="AG1386" s="57"/>
      <c r="AH1386" s="57"/>
      <c r="AI1386" s="57"/>
      <c r="AJ1386" s="57"/>
      <c r="AK1386" s="57"/>
      <c r="AL1386" s="57"/>
      <c r="AM1386" s="57"/>
      <c r="AN1386" s="57"/>
      <c r="AO1386" s="57"/>
      <c r="AP1386" s="57"/>
      <c r="AQ1386" s="57"/>
      <c r="AR1386" s="57"/>
      <c r="AS1386" s="57"/>
      <c r="AT1386" s="57"/>
      <c r="AU1386" s="57"/>
      <c r="AV1386" s="57"/>
      <c r="AW1386" s="57"/>
      <c r="AX1386" s="57"/>
      <c r="AY1386" s="57"/>
      <c r="AZ1386" s="57"/>
      <c r="BA1386" s="57"/>
      <c r="BB1386" s="57"/>
      <c r="BC1386" s="57"/>
      <c r="BD1386" s="57"/>
      <c r="BE1386" s="57"/>
      <c r="BF1386" s="57"/>
    </row>
    <row r="1387" spans="1:58" s="59" customFormat="1" x14ac:dyDescent="0.25">
      <c r="A1387" s="53"/>
      <c r="B1387" s="60"/>
      <c r="C1387" s="57">
        <f t="shared" si="108"/>
        <v>0</v>
      </c>
      <c r="D1387" s="56"/>
      <c r="E1387" s="57">
        <f>[1]DETAY!$A$2</f>
        <v>0</v>
      </c>
      <c r="F1387" s="90">
        <f t="shared" si="109"/>
        <v>0</v>
      </c>
      <c r="G1387" s="92">
        <f t="shared" si="110"/>
        <v>0</v>
      </c>
      <c r="H1387" s="62" t="e">
        <f t="shared" si="111"/>
        <v>#DIV/0!</v>
      </c>
      <c r="I1387" s="57"/>
      <c r="J1387" s="57"/>
      <c r="K1387" s="57"/>
      <c r="L1387" s="57"/>
      <c r="M1387" s="58"/>
      <c r="N1387" s="57"/>
      <c r="O1387" s="57"/>
      <c r="P1387" s="57"/>
      <c r="Q1387" s="57"/>
      <c r="R1387" s="57"/>
      <c r="S1387" s="61"/>
      <c r="T1387" s="57"/>
      <c r="U1387" s="57"/>
      <c r="V1387" s="57"/>
      <c r="W1387" s="57"/>
      <c r="X1387" s="57"/>
      <c r="Y1387" s="57"/>
      <c r="Z1387" s="57"/>
      <c r="AA1387" s="57"/>
      <c r="AB1387" s="57"/>
      <c r="AC1387" s="57"/>
      <c r="AD1387" s="57"/>
      <c r="AE1387" s="57"/>
      <c r="AF1387" s="57"/>
      <c r="AG1387" s="57"/>
      <c r="AH1387" s="57"/>
      <c r="AI1387" s="57"/>
      <c r="AJ1387" s="57"/>
      <c r="AK1387" s="57"/>
      <c r="AL1387" s="57"/>
      <c r="AM1387" s="57"/>
      <c r="AN1387" s="57"/>
      <c r="AO1387" s="57"/>
      <c r="AP1387" s="57"/>
      <c r="AQ1387" s="57"/>
      <c r="AR1387" s="57"/>
      <c r="AS1387" s="57"/>
      <c r="AT1387" s="57"/>
      <c r="AU1387" s="57"/>
      <c r="AV1387" s="57"/>
      <c r="AW1387" s="57"/>
      <c r="AX1387" s="57"/>
      <c r="AY1387" s="57"/>
      <c r="AZ1387" s="57"/>
      <c r="BA1387" s="57"/>
      <c r="BB1387" s="57"/>
      <c r="BC1387" s="57"/>
      <c r="BD1387" s="57"/>
      <c r="BE1387" s="57"/>
      <c r="BF1387" s="57"/>
    </row>
    <row r="1388" spans="1:58" s="59" customFormat="1" x14ac:dyDescent="0.25">
      <c r="A1388" s="53"/>
      <c r="B1388" s="60"/>
      <c r="C1388" s="57">
        <f t="shared" si="108"/>
        <v>0</v>
      </c>
      <c r="D1388" s="56"/>
      <c r="E1388" s="57">
        <f>[1]DETAY!$A$2</f>
        <v>0</v>
      </c>
      <c r="F1388" s="90">
        <f t="shared" si="109"/>
        <v>0</v>
      </c>
      <c r="G1388" s="92">
        <f t="shared" si="110"/>
        <v>0</v>
      </c>
      <c r="H1388" s="62" t="e">
        <f t="shared" si="111"/>
        <v>#DIV/0!</v>
      </c>
      <c r="I1388" s="57"/>
      <c r="J1388" s="57"/>
      <c r="K1388" s="57"/>
      <c r="L1388" s="57"/>
      <c r="M1388" s="58"/>
      <c r="N1388" s="57"/>
      <c r="O1388" s="57"/>
      <c r="P1388" s="57"/>
      <c r="Q1388" s="57"/>
      <c r="R1388" s="57"/>
      <c r="S1388" s="61"/>
      <c r="T1388" s="57"/>
      <c r="U1388" s="57"/>
      <c r="V1388" s="57"/>
      <c r="W1388" s="57"/>
      <c r="X1388" s="57"/>
      <c r="Y1388" s="57"/>
      <c r="Z1388" s="57"/>
      <c r="AA1388" s="57"/>
      <c r="AB1388" s="57"/>
      <c r="AC1388" s="57"/>
      <c r="AD1388" s="57"/>
      <c r="AE1388" s="57"/>
      <c r="AF1388" s="57"/>
      <c r="AG1388" s="57"/>
      <c r="AH1388" s="57"/>
      <c r="AI1388" s="57"/>
      <c r="AJ1388" s="57"/>
      <c r="AK1388" s="57"/>
      <c r="AL1388" s="57"/>
      <c r="AM1388" s="57"/>
      <c r="AN1388" s="57"/>
      <c r="AO1388" s="57"/>
      <c r="AP1388" s="57"/>
      <c r="AQ1388" s="57"/>
      <c r="AR1388" s="57"/>
      <c r="AS1388" s="57"/>
      <c r="AT1388" s="57"/>
      <c r="AU1388" s="57"/>
      <c r="AV1388" s="57"/>
      <c r="AW1388" s="57"/>
      <c r="AX1388" s="57"/>
      <c r="AY1388" s="57"/>
      <c r="AZ1388" s="57"/>
      <c r="BA1388" s="57"/>
      <c r="BB1388" s="57"/>
      <c r="BC1388" s="57"/>
      <c r="BD1388" s="57"/>
      <c r="BE1388" s="57"/>
      <c r="BF1388" s="57"/>
    </row>
    <row r="1389" spans="1:58" s="59" customFormat="1" x14ac:dyDescent="0.25">
      <c r="A1389" s="53"/>
      <c r="B1389" s="60"/>
      <c r="C1389" s="57">
        <f t="shared" si="108"/>
        <v>0</v>
      </c>
      <c r="D1389" s="56"/>
      <c r="E1389" s="57">
        <f>[1]DETAY!$A$2</f>
        <v>0</v>
      </c>
      <c r="F1389" s="90">
        <f t="shared" si="109"/>
        <v>0</v>
      </c>
      <c r="G1389" s="92">
        <f t="shared" si="110"/>
        <v>0</v>
      </c>
      <c r="H1389" s="62" t="e">
        <f t="shared" si="111"/>
        <v>#DIV/0!</v>
      </c>
      <c r="I1389" s="57"/>
      <c r="J1389" s="57"/>
      <c r="K1389" s="57"/>
      <c r="L1389" s="57"/>
      <c r="M1389" s="58"/>
      <c r="N1389" s="57"/>
      <c r="O1389" s="57"/>
      <c r="P1389" s="57"/>
      <c r="Q1389" s="57"/>
      <c r="R1389" s="57"/>
      <c r="S1389" s="61"/>
      <c r="T1389" s="57"/>
      <c r="U1389" s="57"/>
      <c r="V1389" s="57"/>
      <c r="W1389" s="57"/>
      <c r="X1389" s="57"/>
      <c r="Y1389" s="57"/>
      <c r="Z1389" s="57"/>
      <c r="AA1389" s="57"/>
      <c r="AB1389" s="57"/>
      <c r="AC1389" s="57"/>
      <c r="AD1389" s="57"/>
      <c r="AE1389" s="57"/>
      <c r="AF1389" s="57"/>
      <c r="AG1389" s="57"/>
      <c r="AH1389" s="57"/>
      <c r="AI1389" s="57"/>
      <c r="AJ1389" s="57"/>
      <c r="AK1389" s="57"/>
      <c r="AL1389" s="57"/>
      <c r="AM1389" s="57"/>
      <c r="AN1389" s="57"/>
      <c r="AO1389" s="57"/>
      <c r="AP1389" s="57"/>
      <c r="AQ1389" s="57"/>
      <c r="AR1389" s="57"/>
      <c r="AS1389" s="57"/>
      <c r="AT1389" s="57"/>
      <c r="AU1389" s="57"/>
      <c r="AV1389" s="57"/>
      <c r="AW1389" s="57"/>
      <c r="AX1389" s="57"/>
      <c r="AY1389" s="57"/>
      <c r="AZ1389" s="57"/>
      <c r="BA1389" s="57"/>
      <c r="BB1389" s="57"/>
      <c r="BC1389" s="57"/>
      <c r="BD1389" s="57"/>
      <c r="BE1389" s="57"/>
      <c r="BF1389" s="57"/>
    </row>
    <row r="1390" spans="1:58" s="59" customFormat="1" x14ac:dyDescent="0.25">
      <c r="A1390" s="53"/>
      <c r="B1390" s="60"/>
      <c r="C1390" s="57">
        <f t="shared" si="108"/>
        <v>0</v>
      </c>
      <c r="D1390" s="56"/>
      <c r="E1390" s="57">
        <f>[1]DETAY!$A$2</f>
        <v>0</v>
      </c>
      <c r="F1390" s="90">
        <f t="shared" si="109"/>
        <v>0</v>
      </c>
      <c r="G1390" s="92">
        <f t="shared" si="110"/>
        <v>0</v>
      </c>
      <c r="H1390" s="62" t="e">
        <f t="shared" si="111"/>
        <v>#DIV/0!</v>
      </c>
      <c r="I1390" s="57"/>
      <c r="J1390" s="57"/>
      <c r="K1390" s="57"/>
      <c r="L1390" s="57"/>
      <c r="M1390" s="58"/>
      <c r="N1390" s="57"/>
      <c r="O1390" s="57"/>
      <c r="P1390" s="57"/>
      <c r="Q1390" s="57"/>
      <c r="R1390" s="57"/>
      <c r="S1390" s="61"/>
      <c r="T1390" s="57"/>
      <c r="U1390" s="57"/>
      <c r="V1390" s="57"/>
      <c r="W1390" s="57"/>
      <c r="X1390" s="57"/>
      <c r="Y1390" s="57"/>
      <c r="Z1390" s="57"/>
      <c r="AA1390" s="57"/>
      <c r="AB1390" s="57"/>
      <c r="AC1390" s="57"/>
      <c r="AD1390" s="57"/>
      <c r="AE1390" s="57"/>
      <c r="AF1390" s="57"/>
      <c r="AG1390" s="57"/>
      <c r="AH1390" s="57"/>
      <c r="AI1390" s="57"/>
      <c r="AJ1390" s="57"/>
      <c r="AK1390" s="57"/>
      <c r="AL1390" s="57"/>
      <c r="AM1390" s="57"/>
      <c r="AN1390" s="57"/>
      <c r="AO1390" s="57"/>
      <c r="AP1390" s="57"/>
      <c r="AQ1390" s="57"/>
      <c r="AR1390" s="57"/>
      <c r="AS1390" s="57"/>
      <c r="AT1390" s="57"/>
      <c r="AU1390" s="57"/>
      <c r="AV1390" s="57"/>
      <c r="AW1390" s="57"/>
      <c r="AX1390" s="57"/>
      <c r="AY1390" s="57"/>
      <c r="AZ1390" s="57"/>
      <c r="BA1390" s="57"/>
      <c r="BB1390" s="57"/>
      <c r="BC1390" s="57"/>
      <c r="BD1390" s="57"/>
      <c r="BE1390" s="57"/>
      <c r="BF1390" s="57"/>
    </row>
    <row r="1391" spans="1:58" s="59" customFormat="1" x14ac:dyDescent="0.25">
      <c r="A1391" s="53"/>
      <c r="B1391" s="60"/>
      <c r="C1391" s="57">
        <f t="shared" si="108"/>
        <v>0</v>
      </c>
      <c r="D1391" s="56"/>
      <c r="E1391" s="57">
        <f>[1]DETAY!$A$2</f>
        <v>0</v>
      </c>
      <c r="F1391" s="90">
        <f t="shared" si="109"/>
        <v>0</v>
      </c>
      <c r="G1391" s="92">
        <f t="shared" si="110"/>
        <v>0</v>
      </c>
      <c r="H1391" s="62" t="e">
        <f t="shared" si="111"/>
        <v>#DIV/0!</v>
      </c>
      <c r="I1391" s="57"/>
      <c r="J1391" s="57"/>
      <c r="K1391" s="57"/>
      <c r="L1391" s="57"/>
      <c r="M1391" s="58"/>
      <c r="N1391" s="57"/>
      <c r="O1391" s="57"/>
      <c r="P1391" s="57"/>
      <c r="Q1391" s="57"/>
      <c r="R1391" s="57"/>
      <c r="S1391" s="61"/>
      <c r="T1391" s="57"/>
      <c r="U1391" s="57"/>
      <c r="V1391" s="57"/>
      <c r="W1391" s="57"/>
      <c r="X1391" s="57"/>
      <c r="Y1391" s="57"/>
      <c r="Z1391" s="57"/>
      <c r="AA1391" s="57"/>
      <c r="AB1391" s="57"/>
      <c r="AC1391" s="57"/>
      <c r="AD1391" s="57"/>
      <c r="AE1391" s="57"/>
      <c r="AF1391" s="57"/>
      <c r="AG1391" s="57"/>
      <c r="AH1391" s="57"/>
      <c r="AI1391" s="57"/>
      <c r="AJ1391" s="57"/>
      <c r="AK1391" s="57"/>
      <c r="AL1391" s="57"/>
      <c r="AM1391" s="57"/>
      <c r="AN1391" s="57"/>
      <c r="AO1391" s="57"/>
      <c r="AP1391" s="57"/>
      <c r="AQ1391" s="57"/>
      <c r="AR1391" s="57"/>
      <c r="AS1391" s="57"/>
      <c r="AT1391" s="57"/>
      <c r="AU1391" s="57"/>
      <c r="AV1391" s="57"/>
      <c r="AW1391" s="57"/>
      <c r="AX1391" s="57"/>
      <c r="AY1391" s="57"/>
      <c r="AZ1391" s="57"/>
      <c r="BA1391" s="57"/>
      <c r="BB1391" s="57"/>
      <c r="BC1391" s="57"/>
      <c r="BD1391" s="57"/>
      <c r="BE1391" s="57"/>
      <c r="BF1391" s="57"/>
    </row>
    <row r="1392" spans="1:58" s="59" customFormat="1" x14ac:dyDescent="0.25">
      <c r="A1392" s="53"/>
      <c r="B1392" s="60"/>
      <c r="C1392" s="57">
        <f t="shared" si="108"/>
        <v>0</v>
      </c>
      <c r="D1392" s="56"/>
      <c r="E1392" s="57">
        <f>[1]DETAY!$A$2</f>
        <v>0</v>
      </c>
      <c r="F1392" s="90">
        <f t="shared" si="109"/>
        <v>0</v>
      </c>
      <c r="G1392" s="92">
        <f t="shared" si="110"/>
        <v>0</v>
      </c>
      <c r="H1392" s="62" t="e">
        <f t="shared" si="111"/>
        <v>#DIV/0!</v>
      </c>
      <c r="I1392" s="57"/>
      <c r="J1392" s="57"/>
      <c r="K1392" s="57"/>
      <c r="L1392" s="57"/>
      <c r="M1392" s="58"/>
      <c r="N1392" s="57"/>
      <c r="O1392" s="57"/>
      <c r="P1392" s="57"/>
      <c r="Q1392" s="57"/>
      <c r="R1392" s="57"/>
      <c r="S1392" s="61"/>
      <c r="T1392" s="57"/>
      <c r="U1392" s="57"/>
      <c r="V1392" s="57"/>
      <c r="W1392" s="57"/>
      <c r="X1392" s="57"/>
      <c r="Y1392" s="57"/>
      <c r="Z1392" s="57"/>
      <c r="AA1392" s="57"/>
      <c r="AB1392" s="57"/>
      <c r="AC1392" s="57"/>
      <c r="AD1392" s="57"/>
      <c r="AE1392" s="57"/>
      <c r="AF1392" s="57"/>
      <c r="AG1392" s="57"/>
      <c r="AH1392" s="57"/>
      <c r="AI1392" s="57"/>
      <c r="AJ1392" s="57"/>
      <c r="AK1392" s="57"/>
      <c r="AL1392" s="57"/>
      <c r="AM1392" s="57"/>
      <c r="AN1392" s="57"/>
      <c r="AO1392" s="57"/>
      <c r="AP1392" s="57"/>
      <c r="AQ1392" s="57"/>
      <c r="AR1392" s="57"/>
      <c r="AS1392" s="57"/>
      <c r="AT1392" s="57"/>
      <c r="AU1392" s="57"/>
      <c r="AV1392" s="57"/>
      <c r="AW1392" s="57"/>
      <c r="AX1392" s="57"/>
      <c r="AY1392" s="57"/>
      <c r="AZ1392" s="57"/>
      <c r="BA1392" s="57"/>
      <c r="BB1392" s="57"/>
      <c r="BC1392" s="57"/>
      <c r="BD1392" s="57"/>
      <c r="BE1392" s="57"/>
      <c r="BF1392" s="57"/>
    </row>
    <row r="1393" spans="1:58" s="59" customFormat="1" x14ac:dyDescent="0.25">
      <c r="A1393" s="53"/>
      <c r="B1393" s="60"/>
      <c r="C1393" s="57">
        <f t="shared" si="108"/>
        <v>0</v>
      </c>
      <c r="D1393" s="56"/>
      <c r="E1393" s="57">
        <f>[1]DETAY!$A$2</f>
        <v>0</v>
      </c>
      <c r="F1393" s="90">
        <f t="shared" si="109"/>
        <v>0</v>
      </c>
      <c r="G1393" s="92">
        <f t="shared" si="110"/>
        <v>0</v>
      </c>
      <c r="H1393" s="62" t="e">
        <f t="shared" si="111"/>
        <v>#DIV/0!</v>
      </c>
      <c r="I1393" s="57"/>
      <c r="J1393" s="57"/>
      <c r="K1393" s="57"/>
      <c r="L1393" s="57"/>
      <c r="M1393" s="58"/>
      <c r="N1393" s="57"/>
      <c r="O1393" s="57"/>
      <c r="P1393" s="57"/>
      <c r="Q1393" s="57"/>
      <c r="R1393" s="57"/>
      <c r="S1393" s="61"/>
      <c r="T1393" s="57"/>
      <c r="U1393" s="57"/>
      <c r="V1393" s="57"/>
      <c r="W1393" s="57"/>
      <c r="X1393" s="57"/>
      <c r="Y1393" s="57"/>
      <c r="Z1393" s="57"/>
      <c r="AA1393" s="57"/>
      <c r="AB1393" s="57"/>
      <c r="AC1393" s="57"/>
      <c r="AD1393" s="57"/>
      <c r="AE1393" s="57"/>
      <c r="AF1393" s="57"/>
      <c r="AG1393" s="57"/>
      <c r="AH1393" s="57"/>
      <c r="AI1393" s="57"/>
      <c r="AJ1393" s="57"/>
      <c r="AK1393" s="57"/>
      <c r="AL1393" s="57"/>
      <c r="AM1393" s="57"/>
      <c r="AN1393" s="57"/>
      <c r="AO1393" s="57"/>
      <c r="AP1393" s="57"/>
      <c r="AQ1393" s="57"/>
      <c r="AR1393" s="57"/>
      <c r="AS1393" s="57"/>
      <c r="AT1393" s="57"/>
      <c r="AU1393" s="57"/>
      <c r="AV1393" s="57"/>
      <c r="AW1393" s="57"/>
      <c r="AX1393" s="57"/>
      <c r="AY1393" s="57"/>
      <c r="AZ1393" s="57"/>
      <c r="BA1393" s="57"/>
      <c r="BB1393" s="57"/>
      <c r="BC1393" s="57"/>
      <c r="BD1393" s="57"/>
      <c r="BE1393" s="57"/>
      <c r="BF1393" s="57"/>
    </row>
    <row r="1394" spans="1:58" s="59" customFormat="1" x14ac:dyDescent="0.25">
      <c r="A1394" s="53"/>
      <c r="B1394" s="60"/>
      <c r="C1394" s="57">
        <f t="shared" si="108"/>
        <v>0</v>
      </c>
      <c r="D1394" s="56"/>
      <c r="E1394" s="57">
        <f>[1]DETAY!$A$2</f>
        <v>0</v>
      </c>
      <c r="F1394" s="90">
        <f t="shared" si="109"/>
        <v>0</v>
      </c>
      <c r="G1394" s="92">
        <f t="shared" si="110"/>
        <v>0</v>
      </c>
      <c r="H1394" s="62" t="e">
        <f t="shared" si="111"/>
        <v>#DIV/0!</v>
      </c>
      <c r="I1394" s="57"/>
      <c r="J1394" s="57"/>
      <c r="K1394" s="57"/>
      <c r="L1394" s="57"/>
      <c r="M1394" s="58"/>
      <c r="N1394" s="57"/>
      <c r="O1394" s="57"/>
      <c r="P1394" s="57"/>
      <c r="Q1394" s="57"/>
      <c r="R1394" s="57"/>
      <c r="S1394" s="61"/>
      <c r="T1394" s="57"/>
      <c r="U1394" s="57"/>
      <c r="V1394" s="57"/>
      <c r="W1394" s="57"/>
      <c r="X1394" s="57"/>
      <c r="Y1394" s="57"/>
      <c r="Z1394" s="57"/>
      <c r="AA1394" s="57"/>
      <c r="AB1394" s="57"/>
      <c r="AC1394" s="57"/>
      <c r="AD1394" s="57"/>
      <c r="AE1394" s="57"/>
      <c r="AF1394" s="57"/>
      <c r="AG1394" s="57"/>
      <c r="AH1394" s="57"/>
      <c r="AI1394" s="57"/>
      <c r="AJ1394" s="57"/>
      <c r="AK1394" s="57"/>
      <c r="AL1394" s="57"/>
      <c r="AM1394" s="57"/>
      <c r="AN1394" s="57"/>
      <c r="AO1394" s="57"/>
      <c r="AP1394" s="57"/>
      <c r="AQ1394" s="57"/>
      <c r="AR1394" s="57"/>
      <c r="AS1394" s="57"/>
      <c r="AT1394" s="57"/>
      <c r="AU1394" s="57"/>
      <c r="AV1394" s="57"/>
      <c r="AW1394" s="57"/>
      <c r="AX1394" s="57"/>
      <c r="AY1394" s="57"/>
      <c r="AZ1394" s="57"/>
      <c r="BA1394" s="57"/>
      <c r="BB1394" s="57"/>
      <c r="BC1394" s="57"/>
      <c r="BD1394" s="57"/>
      <c r="BE1394" s="57"/>
      <c r="BF1394" s="57"/>
    </row>
    <row r="1395" spans="1:58" s="59" customFormat="1" x14ac:dyDescent="0.25">
      <c r="A1395" s="53"/>
      <c r="B1395" s="60"/>
      <c r="C1395" s="57">
        <f t="shared" si="108"/>
        <v>0</v>
      </c>
      <c r="D1395" s="56"/>
      <c r="E1395" s="57">
        <f>[1]DETAY!$A$2</f>
        <v>0</v>
      </c>
      <c r="F1395" s="90">
        <f t="shared" si="109"/>
        <v>0</v>
      </c>
      <c r="G1395" s="92">
        <f t="shared" si="110"/>
        <v>0</v>
      </c>
      <c r="H1395" s="62" t="e">
        <f t="shared" si="111"/>
        <v>#DIV/0!</v>
      </c>
      <c r="I1395" s="57"/>
      <c r="J1395" s="57"/>
      <c r="K1395" s="57"/>
      <c r="L1395" s="57"/>
      <c r="M1395" s="58"/>
      <c r="N1395" s="57"/>
      <c r="O1395" s="57"/>
      <c r="P1395" s="57"/>
      <c r="Q1395" s="57"/>
      <c r="R1395" s="57"/>
      <c r="S1395" s="61"/>
      <c r="T1395" s="57"/>
      <c r="U1395" s="57"/>
      <c r="V1395" s="57"/>
      <c r="W1395" s="57"/>
      <c r="X1395" s="57"/>
      <c r="Y1395" s="57"/>
      <c r="Z1395" s="57"/>
      <c r="AA1395" s="57"/>
      <c r="AB1395" s="57"/>
      <c r="AC1395" s="57"/>
      <c r="AD1395" s="57"/>
      <c r="AE1395" s="57"/>
      <c r="AF1395" s="57"/>
      <c r="AG1395" s="57"/>
      <c r="AH1395" s="57"/>
      <c r="AI1395" s="57"/>
      <c r="AJ1395" s="57"/>
      <c r="AK1395" s="57"/>
      <c r="AL1395" s="57"/>
      <c r="AM1395" s="57"/>
      <c r="AN1395" s="57"/>
      <c r="AO1395" s="57"/>
      <c r="AP1395" s="57"/>
      <c r="AQ1395" s="57"/>
      <c r="AR1395" s="57"/>
      <c r="AS1395" s="57"/>
      <c r="AT1395" s="57"/>
      <c r="AU1395" s="57"/>
      <c r="AV1395" s="57"/>
      <c r="AW1395" s="57"/>
      <c r="AX1395" s="57"/>
      <c r="AY1395" s="57"/>
      <c r="AZ1395" s="57"/>
      <c r="BA1395" s="57"/>
      <c r="BB1395" s="57"/>
      <c r="BC1395" s="57"/>
      <c r="BD1395" s="57"/>
      <c r="BE1395" s="57"/>
      <c r="BF1395" s="57"/>
    </row>
    <row r="1396" spans="1:58" s="59" customFormat="1" x14ac:dyDescent="0.25">
      <c r="A1396" s="53"/>
      <c r="B1396" s="60"/>
      <c r="C1396" s="57">
        <f t="shared" si="108"/>
        <v>0</v>
      </c>
      <c r="D1396" s="56"/>
      <c r="E1396" s="57">
        <f>[1]DETAY!$A$2</f>
        <v>0</v>
      </c>
      <c r="F1396" s="90">
        <f t="shared" si="109"/>
        <v>0</v>
      </c>
      <c r="G1396" s="92">
        <f t="shared" si="110"/>
        <v>0</v>
      </c>
      <c r="H1396" s="62" t="e">
        <f t="shared" si="111"/>
        <v>#DIV/0!</v>
      </c>
      <c r="I1396" s="57"/>
      <c r="J1396" s="57"/>
      <c r="K1396" s="57"/>
      <c r="L1396" s="57"/>
      <c r="M1396" s="58"/>
      <c r="N1396" s="57"/>
      <c r="O1396" s="57"/>
      <c r="P1396" s="57"/>
      <c r="Q1396" s="57"/>
      <c r="R1396" s="57"/>
      <c r="S1396" s="61"/>
      <c r="T1396" s="57"/>
      <c r="U1396" s="57"/>
      <c r="V1396" s="57"/>
      <c r="W1396" s="57"/>
      <c r="X1396" s="57"/>
      <c r="Y1396" s="57"/>
      <c r="Z1396" s="57"/>
      <c r="AA1396" s="57"/>
      <c r="AB1396" s="57"/>
      <c r="AC1396" s="57"/>
      <c r="AD1396" s="57"/>
      <c r="AE1396" s="57"/>
      <c r="AF1396" s="57"/>
      <c r="AG1396" s="57"/>
      <c r="AH1396" s="57"/>
      <c r="AI1396" s="57"/>
      <c r="AJ1396" s="57"/>
      <c r="AK1396" s="57"/>
      <c r="AL1396" s="57"/>
      <c r="AM1396" s="57"/>
      <c r="AN1396" s="57"/>
      <c r="AO1396" s="57"/>
      <c r="AP1396" s="57"/>
      <c r="AQ1396" s="57"/>
      <c r="AR1396" s="57"/>
      <c r="AS1396" s="57"/>
      <c r="AT1396" s="57"/>
      <c r="AU1396" s="57"/>
      <c r="AV1396" s="57"/>
      <c r="AW1396" s="57"/>
      <c r="AX1396" s="57"/>
      <c r="AY1396" s="57"/>
      <c r="AZ1396" s="57"/>
      <c r="BA1396" s="57"/>
      <c r="BB1396" s="57"/>
      <c r="BC1396" s="57"/>
      <c r="BD1396" s="57"/>
      <c r="BE1396" s="57"/>
      <c r="BF1396" s="57"/>
    </row>
    <row r="1397" spans="1:58" s="59" customFormat="1" x14ac:dyDescent="0.25">
      <c r="A1397" s="53"/>
      <c r="B1397" s="60"/>
      <c r="C1397" s="57">
        <f t="shared" si="108"/>
        <v>0</v>
      </c>
      <c r="D1397" s="56"/>
      <c r="E1397" s="57">
        <f>[1]DETAY!$A$2</f>
        <v>0</v>
      </c>
      <c r="F1397" s="90">
        <f t="shared" si="109"/>
        <v>0</v>
      </c>
      <c r="G1397" s="92">
        <f t="shared" si="110"/>
        <v>0</v>
      </c>
      <c r="H1397" s="62" t="e">
        <f t="shared" si="111"/>
        <v>#DIV/0!</v>
      </c>
      <c r="I1397" s="57"/>
      <c r="J1397" s="57"/>
      <c r="K1397" s="57"/>
      <c r="L1397" s="57"/>
      <c r="M1397" s="58"/>
      <c r="N1397" s="57"/>
      <c r="O1397" s="57"/>
      <c r="P1397" s="57"/>
      <c r="Q1397" s="57"/>
      <c r="R1397" s="57"/>
      <c r="S1397" s="61"/>
      <c r="T1397" s="57"/>
      <c r="U1397" s="57"/>
      <c r="V1397" s="57"/>
      <c r="W1397" s="57"/>
      <c r="X1397" s="57"/>
      <c r="Y1397" s="57"/>
      <c r="Z1397" s="57"/>
      <c r="AA1397" s="57"/>
      <c r="AB1397" s="57"/>
      <c r="AC1397" s="57"/>
      <c r="AD1397" s="57"/>
      <c r="AE1397" s="57"/>
      <c r="AF1397" s="57"/>
      <c r="AG1397" s="57"/>
      <c r="AH1397" s="57"/>
      <c r="AI1397" s="57"/>
      <c r="AJ1397" s="57"/>
      <c r="AK1397" s="57"/>
      <c r="AL1397" s="57"/>
      <c r="AM1397" s="57"/>
      <c r="AN1397" s="57"/>
      <c r="AO1397" s="57"/>
      <c r="AP1397" s="57"/>
      <c r="AQ1397" s="57"/>
      <c r="AR1397" s="57"/>
      <c r="AS1397" s="57"/>
      <c r="AT1397" s="57"/>
      <c r="AU1397" s="57"/>
      <c r="AV1397" s="57"/>
      <c r="AW1397" s="57"/>
      <c r="AX1397" s="57"/>
      <c r="AY1397" s="57"/>
      <c r="AZ1397" s="57"/>
      <c r="BA1397" s="57"/>
      <c r="BB1397" s="57"/>
      <c r="BC1397" s="57"/>
      <c r="BD1397" s="57"/>
      <c r="BE1397" s="57"/>
      <c r="BF1397" s="57"/>
    </row>
    <row r="1398" spans="1:58" s="59" customFormat="1" x14ac:dyDescent="0.25">
      <c r="A1398" s="53"/>
      <c r="B1398" s="60"/>
      <c r="C1398" s="57">
        <f t="shared" si="108"/>
        <v>0</v>
      </c>
      <c r="D1398" s="56"/>
      <c r="E1398" s="57">
        <f>[1]DETAY!$A$2</f>
        <v>0</v>
      </c>
      <c r="F1398" s="90">
        <f t="shared" si="109"/>
        <v>0</v>
      </c>
      <c r="G1398" s="92">
        <f t="shared" si="110"/>
        <v>0</v>
      </c>
      <c r="H1398" s="62" t="e">
        <f t="shared" si="111"/>
        <v>#DIV/0!</v>
      </c>
      <c r="I1398" s="57"/>
      <c r="J1398" s="57"/>
      <c r="K1398" s="57"/>
      <c r="L1398" s="57"/>
      <c r="M1398" s="58"/>
      <c r="N1398" s="57"/>
      <c r="O1398" s="57"/>
      <c r="P1398" s="57"/>
      <c r="Q1398" s="57"/>
      <c r="R1398" s="57"/>
      <c r="S1398" s="61"/>
      <c r="T1398" s="57"/>
      <c r="U1398" s="57"/>
      <c r="V1398" s="57"/>
      <c r="W1398" s="57"/>
      <c r="X1398" s="57"/>
      <c r="Y1398" s="57"/>
      <c r="Z1398" s="57"/>
      <c r="AA1398" s="57"/>
      <c r="AB1398" s="57"/>
      <c r="AC1398" s="57"/>
      <c r="AD1398" s="57"/>
      <c r="AE1398" s="57"/>
      <c r="AF1398" s="57"/>
      <c r="AG1398" s="57"/>
      <c r="AH1398" s="57"/>
      <c r="AI1398" s="57"/>
      <c r="AJ1398" s="57"/>
      <c r="AK1398" s="57"/>
      <c r="AL1398" s="57"/>
      <c r="AM1398" s="57"/>
      <c r="AN1398" s="57"/>
      <c r="AO1398" s="57"/>
      <c r="AP1398" s="57"/>
      <c r="AQ1398" s="57"/>
      <c r="AR1398" s="57"/>
      <c r="AS1398" s="57"/>
      <c r="AT1398" s="57"/>
      <c r="AU1398" s="57"/>
      <c r="AV1398" s="57"/>
      <c r="AW1398" s="57"/>
      <c r="AX1398" s="57"/>
      <c r="AY1398" s="57"/>
      <c r="AZ1398" s="57"/>
      <c r="BA1398" s="57"/>
      <c r="BB1398" s="57"/>
      <c r="BC1398" s="57"/>
      <c r="BD1398" s="57"/>
      <c r="BE1398" s="57"/>
      <c r="BF1398" s="57"/>
    </row>
    <row r="1399" spans="1:58" s="59" customFormat="1" x14ac:dyDescent="0.25">
      <c r="A1399" s="53"/>
      <c r="B1399" s="60"/>
      <c r="C1399" s="57">
        <f t="shared" si="108"/>
        <v>0</v>
      </c>
      <c r="D1399" s="56"/>
      <c r="E1399" s="57">
        <f>[1]DETAY!$A$2</f>
        <v>0</v>
      </c>
      <c r="F1399" s="90">
        <f t="shared" si="109"/>
        <v>0</v>
      </c>
      <c r="G1399" s="92">
        <f t="shared" si="110"/>
        <v>0</v>
      </c>
      <c r="H1399" s="62" t="e">
        <f t="shared" si="111"/>
        <v>#DIV/0!</v>
      </c>
      <c r="I1399" s="57"/>
      <c r="J1399" s="57"/>
      <c r="K1399" s="57"/>
      <c r="L1399" s="57"/>
      <c r="M1399" s="58"/>
      <c r="N1399" s="57"/>
      <c r="O1399" s="57"/>
      <c r="P1399" s="57"/>
      <c r="Q1399" s="57"/>
      <c r="R1399" s="57"/>
      <c r="S1399" s="61"/>
      <c r="T1399" s="57"/>
      <c r="U1399" s="57"/>
      <c r="V1399" s="57"/>
      <c r="W1399" s="57"/>
      <c r="X1399" s="57"/>
      <c r="Y1399" s="57"/>
      <c r="Z1399" s="57"/>
      <c r="AA1399" s="57"/>
      <c r="AB1399" s="57"/>
      <c r="AC1399" s="57"/>
      <c r="AD1399" s="57"/>
      <c r="AE1399" s="57"/>
      <c r="AF1399" s="57"/>
      <c r="AG1399" s="57"/>
      <c r="AH1399" s="57"/>
      <c r="AI1399" s="57"/>
      <c r="AJ1399" s="57"/>
      <c r="AK1399" s="57"/>
      <c r="AL1399" s="57"/>
      <c r="AM1399" s="57"/>
      <c r="AN1399" s="57"/>
      <c r="AO1399" s="57"/>
      <c r="AP1399" s="57"/>
      <c r="AQ1399" s="57"/>
      <c r="AR1399" s="57"/>
      <c r="AS1399" s="57"/>
      <c r="AT1399" s="57"/>
      <c r="AU1399" s="57"/>
      <c r="AV1399" s="57"/>
      <c r="AW1399" s="57"/>
      <c r="AX1399" s="57"/>
      <c r="AY1399" s="57"/>
      <c r="AZ1399" s="57"/>
      <c r="BA1399" s="57"/>
      <c r="BB1399" s="57"/>
      <c r="BC1399" s="57"/>
      <c r="BD1399" s="57"/>
      <c r="BE1399" s="57"/>
      <c r="BF1399" s="57"/>
    </row>
    <row r="1400" spans="1:58" s="59" customFormat="1" x14ac:dyDescent="0.25">
      <c r="A1400" s="53"/>
      <c r="B1400" s="60"/>
      <c r="C1400" s="57">
        <f t="shared" si="108"/>
        <v>0</v>
      </c>
      <c r="D1400" s="56"/>
      <c r="E1400" s="57">
        <f>[1]DETAY!$A$2</f>
        <v>0</v>
      </c>
      <c r="F1400" s="90">
        <f t="shared" si="109"/>
        <v>0</v>
      </c>
      <c r="G1400" s="92">
        <f t="shared" si="110"/>
        <v>0</v>
      </c>
      <c r="H1400" s="62" t="e">
        <f t="shared" si="111"/>
        <v>#DIV/0!</v>
      </c>
      <c r="I1400" s="57"/>
      <c r="J1400" s="57"/>
      <c r="K1400" s="57"/>
      <c r="L1400" s="57"/>
      <c r="M1400" s="58"/>
      <c r="N1400" s="57"/>
      <c r="O1400" s="57"/>
      <c r="P1400" s="57"/>
      <c r="Q1400" s="57"/>
      <c r="R1400" s="57"/>
      <c r="S1400" s="61"/>
      <c r="T1400" s="57"/>
      <c r="U1400" s="57"/>
      <c r="V1400" s="57"/>
      <c r="W1400" s="57"/>
      <c r="X1400" s="57"/>
      <c r="Y1400" s="57"/>
      <c r="Z1400" s="57"/>
      <c r="AA1400" s="57"/>
      <c r="AB1400" s="57"/>
      <c r="AC1400" s="57"/>
      <c r="AD1400" s="57"/>
      <c r="AE1400" s="57"/>
      <c r="AF1400" s="57"/>
      <c r="AG1400" s="57"/>
      <c r="AH1400" s="57"/>
      <c r="AI1400" s="57"/>
      <c r="AJ1400" s="57"/>
      <c r="AK1400" s="57"/>
      <c r="AL1400" s="57"/>
      <c r="AM1400" s="57"/>
      <c r="AN1400" s="57"/>
      <c r="AO1400" s="57"/>
      <c r="AP1400" s="57"/>
      <c r="AQ1400" s="57"/>
      <c r="AR1400" s="57"/>
      <c r="AS1400" s="57"/>
      <c r="AT1400" s="57"/>
      <c r="AU1400" s="57"/>
      <c r="AV1400" s="57"/>
      <c r="AW1400" s="57"/>
      <c r="AX1400" s="57"/>
      <c r="AY1400" s="57"/>
      <c r="AZ1400" s="57"/>
      <c r="BA1400" s="57"/>
      <c r="BB1400" s="57"/>
      <c r="BC1400" s="57"/>
      <c r="BD1400" s="57"/>
      <c r="BE1400" s="57"/>
      <c r="BF1400" s="57"/>
    </row>
    <row r="1401" spans="1:58" s="59" customFormat="1" x14ac:dyDescent="0.25">
      <c r="A1401" s="53"/>
      <c r="B1401" s="60"/>
      <c r="C1401" s="57">
        <f t="shared" si="108"/>
        <v>0</v>
      </c>
      <c r="D1401" s="56"/>
      <c r="E1401" s="57">
        <f>[1]DETAY!$A$2</f>
        <v>0</v>
      </c>
      <c r="F1401" s="90">
        <f t="shared" si="109"/>
        <v>0</v>
      </c>
      <c r="G1401" s="92">
        <f t="shared" si="110"/>
        <v>0</v>
      </c>
      <c r="H1401" s="62" t="e">
        <f t="shared" si="111"/>
        <v>#DIV/0!</v>
      </c>
      <c r="I1401" s="57"/>
      <c r="J1401" s="57"/>
      <c r="K1401" s="57"/>
      <c r="L1401" s="57"/>
      <c r="M1401" s="58"/>
      <c r="N1401" s="57"/>
      <c r="O1401" s="57"/>
      <c r="P1401" s="57"/>
      <c r="Q1401" s="57"/>
      <c r="R1401" s="57"/>
      <c r="S1401" s="61"/>
      <c r="T1401" s="57"/>
      <c r="U1401" s="57"/>
      <c r="V1401" s="57"/>
      <c r="W1401" s="57"/>
      <c r="X1401" s="57"/>
      <c r="Y1401" s="57"/>
      <c r="Z1401" s="57"/>
      <c r="AA1401" s="57"/>
      <c r="AB1401" s="57"/>
      <c r="AC1401" s="57"/>
      <c r="AD1401" s="57"/>
      <c r="AE1401" s="57"/>
      <c r="AF1401" s="57"/>
      <c r="AG1401" s="57"/>
      <c r="AH1401" s="57"/>
      <c r="AI1401" s="57"/>
      <c r="AJ1401" s="57"/>
      <c r="AK1401" s="57"/>
      <c r="AL1401" s="57"/>
      <c r="AM1401" s="57"/>
      <c r="AN1401" s="57"/>
      <c r="AO1401" s="57"/>
      <c r="AP1401" s="57"/>
      <c r="AQ1401" s="57"/>
      <c r="AR1401" s="57"/>
      <c r="AS1401" s="57"/>
      <c r="AT1401" s="57"/>
      <c r="AU1401" s="57"/>
      <c r="AV1401" s="57"/>
      <c r="AW1401" s="57"/>
      <c r="AX1401" s="57"/>
      <c r="AY1401" s="57"/>
      <c r="AZ1401" s="57"/>
      <c r="BA1401" s="57"/>
      <c r="BB1401" s="57"/>
      <c r="BC1401" s="57"/>
      <c r="BD1401" s="57"/>
      <c r="BE1401" s="57"/>
      <c r="BF1401" s="57"/>
    </row>
    <row r="1402" spans="1:58" s="59" customFormat="1" x14ac:dyDescent="0.25">
      <c r="A1402" s="53"/>
      <c r="B1402" s="60"/>
      <c r="C1402" s="57">
        <f t="shared" si="108"/>
        <v>0</v>
      </c>
      <c r="D1402" s="56"/>
      <c r="E1402" s="57">
        <f>[1]DETAY!$A$2</f>
        <v>0</v>
      </c>
      <c r="F1402" s="90">
        <f t="shared" si="109"/>
        <v>0</v>
      </c>
      <c r="G1402" s="92">
        <f t="shared" si="110"/>
        <v>0</v>
      </c>
      <c r="H1402" s="62" t="e">
        <f t="shared" si="111"/>
        <v>#DIV/0!</v>
      </c>
      <c r="I1402" s="57"/>
      <c r="J1402" s="57"/>
      <c r="K1402" s="57"/>
      <c r="L1402" s="57"/>
      <c r="M1402" s="58"/>
      <c r="N1402" s="57"/>
      <c r="O1402" s="57"/>
      <c r="P1402" s="57"/>
      <c r="Q1402" s="57"/>
      <c r="R1402" s="57"/>
      <c r="S1402" s="61"/>
      <c r="T1402" s="57"/>
      <c r="U1402" s="57"/>
      <c r="V1402" s="57"/>
      <c r="W1402" s="57"/>
      <c r="X1402" s="57"/>
      <c r="Y1402" s="57"/>
      <c r="Z1402" s="57"/>
      <c r="AA1402" s="57"/>
      <c r="AB1402" s="57"/>
      <c r="AC1402" s="57"/>
      <c r="AD1402" s="57"/>
      <c r="AE1402" s="57"/>
      <c r="AF1402" s="57"/>
      <c r="AG1402" s="57"/>
      <c r="AH1402" s="57"/>
      <c r="AI1402" s="57"/>
      <c r="AJ1402" s="57"/>
      <c r="AK1402" s="57"/>
      <c r="AL1402" s="57"/>
      <c r="AM1402" s="57"/>
      <c r="AN1402" s="57"/>
      <c r="AO1402" s="57"/>
      <c r="AP1402" s="57"/>
      <c r="AQ1402" s="57"/>
      <c r="AR1402" s="57"/>
      <c r="AS1402" s="57"/>
      <c r="AT1402" s="57"/>
      <c r="AU1402" s="57"/>
      <c r="AV1402" s="57"/>
      <c r="AW1402" s="57"/>
      <c r="AX1402" s="57"/>
      <c r="AY1402" s="57"/>
      <c r="AZ1402" s="57"/>
      <c r="BA1402" s="57"/>
      <c r="BB1402" s="57"/>
      <c r="BC1402" s="57"/>
      <c r="BD1402" s="57"/>
      <c r="BE1402" s="57"/>
      <c r="BF1402" s="57"/>
    </row>
    <row r="1403" spans="1:58" s="59" customFormat="1" x14ac:dyDescent="0.25">
      <c r="A1403" s="53"/>
      <c r="B1403" s="60"/>
      <c r="C1403" s="57">
        <f t="shared" si="108"/>
        <v>0</v>
      </c>
      <c r="D1403" s="56"/>
      <c r="E1403" s="57">
        <f>[1]DETAY!$A$2</f>
        <v>0</v>
      </c>
      <c r="F1403" s="90">
        <f t="shared" si="109"/>
        <v>0</v>
      </c>
      <c r="G1403" s="92">
        <f t="shared" si="110"/>
        <v>0</v>
      </c>
      <c r="H1403" s="62" t="e">
        <f t="shared" si="111"/>
        <v>#DIV/0!</v>
      </c>
      <c r="I1403" s="57"/>
      <c r="J1403" s="57"/>
      <c r="K1403" s="57"/>
      <c r="L1403" s="57"/>
      <c r="M1403" s="58"/>
      <c r="N1403" s="57"/>
      <c r="O1403" s="57"/>
      <c r="P1403" s="57"/>
      <c r="Q1403" s="57"/>
      <c r="R1403" s="57"/>
      <c r="S1403" s="61"/>
      <c r="T1403" s="57"/>
      <c r="U1403" s="57"/>
      <c r="V1403" s="57"/>
      <c r="W1403" s="57"/>
      <c r="X1403" s="57"/>
      <c r="Y1403" s="57"/>
      <c r="Z1403" s="57"/>
      <c r="AA1403" s="57"/>
      <c r="AB1403" s="57"/>
      <c r="AC1403" s="57"/>
      <c r="AD1403" s="57"/>
      <c r="AE1403" s="57"/>
      <c r="AF1403" s="57"/>
      <c r="AG1403" s="57"/>
      <c r="AH1403" s="57"/>
      <c r="AI1403" s="57"/>
      <c r="AJ1403" s="57"/>
      <c r="AK1403" s="57"/>
      <c r="AL1403" s="57"/>
      <c r="AM1403" s="57"/>
      <c r="AN1403" s="57"/>
      <c r="AO1403" s="57"/>
      <c r="AP1403" s="57"/>
      <c r="AQ1403" s="57"/>
      <c r="AR1403" s="57"/>
      <c r="AS1403" s="57"/>
      <c r="AT1403" s="57"/>
      <c r="AU1403" s="57"/>
      <c r="AV1403" s="57"/>
      <c r="AW1403" s="57"/>
      <c r="AX1403" s="57"/>
      <c r="AY1403" s="57"/>
      <c r="AZ1403" s="57"/>
      <c r="BA1403" s="57"/>
      <c r="BB1403" s="57"/>
      <c r="BC1403" s="57"/>
      <c r="BD1403" s="57"/>
      <c r="BE1403" s="57"/>
      <c r="BF1403" s="57"/>
    </row>
    <row r="1404" spans="1:58" s="59" customFormat="1" x14ac:dyDescent="0.25">
      <c r="A1404" s="53"/>
      <c r="B1404" s="60"/>
      <c r="C1404" s="57">
        <f t="shared" si="108"/>
        <v>0</v>
      </c>
      <c r="D1404" s="56"/>
      <c r="E1404" s="57">
        <f>[1]DETAY!$A$2</f>
        <v>0</v>
      </c>
      <c r="F1404" s="90">
        <f t="shared" si="109"/>
        <v>0</v>
      </c>
      <c r="G1404" s="92">
        <f t="shared" si="110"/>
        <v>0</v>
      </c>
      <c r="H1404" s="62" t="e">
        <f t="shared" si="111"/>
        <v>#DIV/0!</v>
      </c>
      <c r="I1404" s="57"/>
      <c r="J1404" s="57"/>
      <c r="K1404" s="57"/>
      <c r="L1404" s="57"/>
      <c r="M1404" s="58"/>
      <c r="N1404" s="57"/>
      <c r="O1404" s="57"/>
      <c r="P1404" s="57"/>
      <c r="Q1404" s="57"/>
      <c r="R1404" s="57"/>
      <c r="S1404" s="61"/>
      <c r="T1404" s="57"/>
      <c r="U1404" s="57"/>
      <c r="V1404" s="57"/>
      <c r="W1404" s="57"/>
      <c r="X1404" s="57"/>
      <c r="Y1404" s="57"/>
      <c r="Z1404" s="57"/>
      <c r="AA1404" s="57"/>
      <c r="AB1404" s="57"/>
      <c r="AC1404" s="57"/>
      <c r="AD1404" s="57"/>
      <c r="AE1404" s="57"/>
      <c r="AF1404" s="57"/>
      <c r="AG1404" s="57"/>
      <c r="AH1404" s="57"/>
      <c r="AI1404" s="57"/>
      <c r="AJ1404" s="57"/>
      <c r="AK1404" s="57"/>
      <c r="AL1404" s="57"/>
      <c r="AM1404" s="57"/>
      <c r="AN1404" s="57"/>
      <c r="AO1404" s="57"/>
      <c r="AP1404" s="57"/>
      <c r="AQ1404" s="57"/>
      <c r="AR1404" s="57"/>
      <c r="AS1404" s="57"/>
      <c r="AT1404" s="57"/>
      <c r="AU1404" s="57"/>
      <c r="AV1404" s="57"/>
      <c r="AW1404" s="57"/>
      <c r="AX1404" s="57"/>
      <c r="AY1404" s="57"/>
      <c r="AZ1404" s="57"/>
      <c r="BA1404" s="57"/>
      <c r="BB1404" s="57"/>
      <c r="BC1404" s="57"/>
      <c r="BD1404" s="57"/>
      <c r="BE1404" s="57"/>
      <c r="BF1404" s="57"/>
    </row>
    <row r="1405" spans="1:58" s="59" customFormat="1" x14ac:dyDescent="0.25">
      <c r="A1405" s="53"/>
      <c r="B1405" s="60"/>
      <c r="C1405" s="57">
        <f t="shared" si="108"/>
        <v>0</v>
      </c>
      <c r="D1405" s="56"/>
      <c r="E1405" s="57">
        <f>[1]DETAY!$A$2</f>
        <v>0</v>
      </c>
      <c r="F1405" s="90">
        <f t="shared" si="109"/>
        <v>0</v>
      </c>
      <c r="G1405" s="92">
        <f t="shared" si="110"/>
        <v>0</v>
      </c>
      <c r="H1405" s="62" t="e">
        <f t="shared" si="111"/>
        <v>#DIV/0!</v>
      </c>
      <c r="I1405" s="57"/>
      <c r="J1405" s="57"/>
      <c r="K1405" s="57"/>
      <c r="L1405" s="57"/>
      <c r="M1405" s="58"/>
      <c r="N1405" s="57"/>
      <c r="O1405" s="57"/>
      <c r="P1405" s="57"/>
      <c r="Q1405" s="57"/>
      <c r="R1405" s="57"/>
      <c r="S1405" s="61"/>
      <c r="T1405" s="57"/>
      <c r="U1405" s="57"/>
      <c r="V1405" s="57"/>
      <c r="W1405" s="57"/>
      <c r="X1405" s="57"/>
      <c r="Y1405" s="57"/>
      <c r="Z1405" s="57"/>
      <c r="AA1405" s="57"/>
      <c r="AB1405" s="57"/>
      <c r="AC1405" s="57"/>
      <c r="AD1405" s="57"/>
      <c r="AE1405" s="57"/>
      <c r="AF1405" s="57"/>
      <c r="AG1405" s="57"/>
      <c r="AH1405" s="57"/>
      <c r="AI1405" s="57"/>
      <c r="AJ1405" s="57"/>
      <c r="AK1405" s="57"/>
      <c r="AL1405" s="57"/>
      <c r="AM1405" s="57"/>
      <c r="AN1405" s="57"/>
      <c r="AO1405" s="57"/>
      <c r="AP1405" s="57"/>
      <c r="AQ1405" s="57"/>
      <c r="AR1405" s="57"/>
      <c r="AS1405" s="57"/>
      <c r="AT1405" s="57"/>
      <c r="AU1405" s="57"/>
      <c r="AV1405" s="57"/>
      <c r="AW1405" s="57"/>
      <c r="AX1405" s="57"/>
      <c r="AY1405" s="57"/>
      <c r="AZ1405" s="57"/>
      <c r="BA1405" s="57"/>
      <c r="BB1405" s="57"/>
      <c r="BC1405" s="57"/>
      <c r="BD1405" s="57"/>
      <c r="BE1405" s="57"/>
      <c r="BF1405" s="57"/>
    </row>
    <row r="1406" spans="1:58" s="59" customFormat="1" x14ac:dyDescent="0.25">
      <c r="A1406" s="53"/>
      <c r="B1406" s="60"/>
      <c r="C1406" s="57">
        <f t="shared" si="108"/>
        <v>0</v>
      </c>
      <c r="D1406" s="56"/>
      <c r="E1406" s="57">
        <f>[1]DETAY!$A$2</f>
        <v>0</v>
      </c>
      <c r="F1406" s="90">
        <f t="shared" si="109"/>
        <v>0</v>
      </c>
      <c r="G1406" s="92">
        <f t="shared" si="110"/>
        <v>0</v>
      </c>
      <c r="H1406" s="62" t="e">
        <f t="shared" si="111"/>
        <v>#DIV/0!</v>
      </c>
      <c r="I1406" s="57"/>
      <c r="J1406" s="57"/>
      <c r="K1406" s="57"/>
      <c r="L1406" s="57"/>
      <c r="M1406" s="58"/>
      <c r="N1406" s="57"/>
      <c r="O1406" s="57"/>
      <c r="P1406" s="57"/>
      <c r="Q1406" s="57"/>
      <c r="R1406" s="57"/>
      <c r="S1406" s="61"/>
      <c r="T1406" s="57"/>
      <c r="U1406" s="57"/>
      <c r="V1406" s="57"/>
      <c r="W1406" s="57"/>
      <c r="X1406" s="57"/>
      <c r="Y1406" s="57"/>
      <c r="Z1406" s="57"/>
      <c r="AA1406" s="57"/>
      <c r="AB1406" s="57"/>
      <c r="AC1406" s="57"/>
      <c r="AD1406" s="57"/>
      <c r="AE1406" s="57"/>
      <c r="AF1406" s="57"/>
      <c r="AG1406" s="57"/>
      <c r="AH1406" s="57"/>
      <c r="AI1406" s="57"/>
      <c r="AJ1406" s="57"/>
      <c r="AK1406" s="57"/>
      <c r="AL1406" s="57"/>
      <c r="AM1406" s="57"/>
      <c r="AN1406" s="57"/>
      <c r="AO1406" s="57"/>
      <c r="AP1406" s="57"/>
      <c r="AQ1406" s="57"/>
      <c r="AR1406" s="57"/>
      <c r="AS1406" s="57"/>
      <c r="AT1406" s="57"/>
      <c r="AU1406" s="57"/>
      <c r="AV1406" s="57"/>
      <c r="AW1406" s="57"/>
      <c r="AX1406" s="57"/>
      <c r="AY1406" s="57"/>
      <c r="AZ1406" s="57"/>
      <c r="BA1406" s="57"/>
      <c r="BB1406" s="57"/>
      <c r="BC1406" s="57"/>
      <c r="BD1406" s="57"/>
      <c r="BE1406" s="57"/>
      <c r="BF1406" s="57"/>
    </row>
    <row r="1407" spans="1:58" s="59" customFormat="1" x14ac:dyDescent="0.25">
      <c r="A1407" s="53"/>
      <c r="B1407" s="60"/>
      <c r="C1407" s="57">
        <f t="shared" si="108"/>
        <v>0</v>
      </c>
      <c r="D1407" s="56"/>
      <c r="E1407" s="57">
        <f>[1]DETAY!$A$2</f>
        <v>0</v>
      </c>
      <c r="F1407" s="90">
        <f t="shared" si="109"/>
        <v>0</v>
      </c>
      <c r="G1407" s="92">
        <f t="shared" si="110"/>
        <v>0</v>
      </c>
      <c r="H1407" s="62" t="e">
        <f t="shared" si="111"/>
        <v>#DIV/0!</v>
      </c>
      <c r="I1407" s="57"/>
      <c r="J1407" s="57"/>
      <c r="K1407" s="57"/>
      <c r="L1407" s="57"/>
      <c r="M1407" s="58"/>
      <c r="N1407" s="57"/>
      <c r="O1407" s="57"/>
      <c r="P1407" s="57"/>
      <c r="Q1407" s="57"/>
      <c r="R1407" s="57"/>
      <c r="S1407" s="61"/>
      <c r="T1407" s="57"/>
      <c r="U1407" s="57"/>
      <c r="V1407" s="57"/>
      <c r="W1407" s="57"/>
      <c r="X1407" s="57"/>
      <c r="Y1407" s="57"/>
      <c r="Z1407" s="57"/>
      <c r="AA1407" s="57"/>
      <c r="AB1407" s="57"/>
      <c r="AC1407" s="57"/>
      <c r="AD1407" s="57"/>
      <c r="AE1407" s="57"/>
      <c r="AF1407" s="57"/>
      <c r="AG1407" s="57"/>
      <c r="AH1407" s="57"/>
      <c r="AI1407" s="57"/>
      <c r="AJ1407" s="57"/>
      <c r="AK1407" s="57"/>
      <c r="AL1407" s="57"/>
      <c r="AM1407" s="57"/>
      <c r="AN1407" s="57"/>
      <c r="AO1407" s="57"/>
      <c r="AP1407" s="57"/>
      <c r="AQ1407" s="57"/>
      <c r="AR1407" s="57"/>
      <c r="AS1407" s="57"/>
      <c r="AT1407" s="57"/>
      <c r="AU1407" s="57"/>
      <c r="AV1407" s="57"/>
      <c r="AW1407" s="57"/>
      <c r="AX1407" s="57"/>
      <c r="AY1407" s="57"/>
      <c r="AZ1407" s="57"/>
      <c r="BA1407" s="57"/>
      <c r="BB1407" s="57"/>
      <c r="BC1407" s="57"/>
      <c r="BD1407" s="57"/>
      <c r="BE1407" s="57"/>
      <c r="BF1407" s="57"/>
    </row>
    <row r="1408" spans="1:58" s="59" customFormat="1" x14ac:dyDescent="0.25">
      <c r="A1408" s="53"/>
      <c r="B1408" s="60"/>
      <c r="C1408" s="57">
        <f t="shared" si="108"/>
        <v>0</v>
      </c>
      <c r="D1408" s="56"/>
      <c r="E1408" s="57">
        <f>[1]DETAY!$A$2</f>
        <v>0</v>
      </c>
      <c r="F1408" s="90">
        <f t="shared" si="109"/>
        <v>0</v>
      </c>
      <c r="G1408" s="92">
        <f t="shared" si="110"/>
        <v>0</v>
      </c>
      <c r="H1408" s="62" t="e">
        <f t="shared" si="111"/>
        <v>#DIV/0!</v>
      </c>
      <c r="I1408" s="57"/>
      <c r="J1408" s="57"/>
      <c r="K1408" s="57"/>
      <c r="L1408" s="57"/>
      <c r="M1408" s="58"/>
      <c r="N1408" s="57"/>
      <c r="O1408" s="57"/>
      <c r="P1408" s="57"/>
      <c r="Q1408" s="57"/>
      <c r="R1408" s="57"/>
      <c r="S1408" s="61"/>
      <c r="T1408" s="57"/>
      <c r="U1408" s="57"/>
      <c r="V1408" s="57"/>
      <c r="W1408" s="57"/>
      <c r="X1408" s="57"/>
      <c r="Y1408" s="57"/>
      <c r="Z1408" s="57"/>
      <c r="AA1408" s="57"/>
      <c r="AB1408" s="57"/>
      <c r="AC1408" s="57"/>
      <c r="AD1408" s="57"/>
      <c r="AE1408" s="57"/>
      <c r="AF1408" s="57"/>
      <c r="AG1408" s="57"/>
      <c r="AH1408" s="57"/>
      <c r="AI1408" s="57"/>
      <c r="AJ1408" s="57"/>
      <c r="AK1408" s="57"/>
      <c r="AL1408" s="57"/>
      <c r="AM1408" s="57"/>
      <c r="AN1408" s="57"/>
      <c r="AO1408" s="57"/>
      <c r="AP1408" s="57"/>
      <c r="AQ1408" s="57"/>
      <c r="AR1408" s="57"/>
      <c r="AS1408" s="57"/>
      <c r="AT1408" s="57"/>
      <c r="AU1408" s="57"/>
      <c r="AV1408" s="57"/>
      <c r="AW1408" s="57"/>
      <c r="AX1408" s="57"/>
      <c r="AY1408" s="57"/>
      <c r="AZ1408" s="57"/>
      <c r="BA1408" s="57"/>
      <c r="BB1408" s="57"/>
      <c r="BC1408" s="57"/>
      <c r="BD1408" s="57"/>
      <c r="BE1408" s="57"/>
      <c r="BF1408" s="57"/>
    </row>
    <row r="1409" spans="1:58" s="59" customFormat="1" x14ac:dyDescent="0.25">
      <c r="A1409" s="53"/>
      <c r="B1409" s="60"/>
      <c r="C1409" s="57">
        <f t="shared" si="108"/>
        <v>0</v>
      </c>
      <c r="D1409" s="56"/>
      <c r="E1409" s="57">
        <f>[1]DETAY!$A$2</f>
        <v>0</v>
      </c>
      <c r="F1409" s="90">
        <f t="shared" si="109"/>
        <v>0</v>
      </c>
      <c r="G1409" s="92">
        <f t="shared" si="110"/>
        <v>0</v>
      </c>
      <c r="H1409" s="62" t="e">
        <f t="shared" si="111"/>
        <v>#DIV/0!</v>
      </c>
      <c r="I1409" s="57"/>
      <c r="J1409" s="57"/>
      <c r="K1409" s="57"/>
      <c r="L1409" s="57"/>
      <c r="M1409" s="58"/>
      <c r="N1409" s="57"/>
      <c r="O1409" s="57"/>
      <c r="P1409" s="57"/>
      <c r="Q1409" s="57"/>
      <c r="R1409" s="57"/>
      <c r="S1409" s="61"/>
      <c r="T1409" s="57"/>
      <c r="U1409" s="57"/>
      <c r="V1409" s="57"/>
      <c r="W1409" s="57"/>
      <c r="X1409" s="57"/>
      <c r="Y1409" s="57"/>
      <c r="Z1409" s="57"/>
      <c r="AA1409" s="57"/>
      <c r="AB1409" s="57"/>
      <c r="AC1409" s="57"/>
      <c r="AD1409" s="57"/>
      <c r="AE1409" s="57"/>
      <c r="AF1409" s="57"/>
      <c r="AG1409" s="57"/>
      <c r="AH1409" s="57"/>
      <c r="AI1409" s="57"/>
      <c r="AJ1409" s="57"/>
      <c r="AK1409" s="57"/>
      <c r="AL1409" s="57"/>
      <c r="AM1409" s="57"/>
      <c r="AN1409" s="57"/>
      <c r="AO1409" s="57"/>
      <c r="AP1409" s="57"/>
      <c r="AQ1409" s="57"/>
      <c r="AR1409" s="57"/>
      <c r="AS1409" s="57"/>
      <c r="AT1409" s="57"/>
      <c r="AU1409" s="57"/>
      <c r="AV1409" s="57"/>
      <c r="AW1409" s="57"/>
      <c r="AX1409" s="57"/>
      <c r="AY1409" s="57"/>
      <c r="AZ1409" s="57"/>
      <c r="BA1409" s="57"/>
      <c r="BB1409" s="57"/>
      <c r="BC1409" s="57"/>
      <c r="BD1409" s="57"/>
      <c r="BE1409" s="57"/>
      <c r="BF1409" s="57"/>
    </row>
    <row r="1410" spans="1:58" s="59" customFormat="1" x14ac:dyDescent="0.25">
      <c r="A1410" s="53"/>
      <c r="B1410" s="60"/>
      <c r="C1410" s="57">
        <f t="shared" si="108"/>
        <v>0</v>
      </c>
      <c r="D1410" s="56"/>
      <c r="E1410" s="57">
        <f>[1]DETAY!$A$2</f>
        <v>0</v>
      </c>
      <c r="F1410" s="90">
        <f t="shared" si="109"/>
        <v>0</v>
      </c>
      <c r="G1410" s="92">
        <f t="shared" si="110"/>
        <v>0</v>
      </c>
      <c r="H1410" s="62" t="e">
        <f t="shared" si="111"/>
        <v>#DIV/0!</v>
      </c>
      <c r="I1410" s="57"/>
      <c r="J1410" s="57"/>
      <c r="K1410" s="57"/>
      <c r="L1410" s="57"/>
      <c r="M1410" s="58"/>
      <c r="N1410" s="57"/>
      <c r="O1410" s="57"/>
      <c r="P1410" s="57"/>
      <c r="Q1410" s="57"/>
      <c r="R1410" s="57"/>
      <c r="S1410" s="61"/>
      <c r="T1410" s="57"/>
      <c r="U1410" s="57"/>
      <c r="V1410" s="57"/>
      <c r="W1410" s="57"/>
      <c r="X1410" s="57"/>
      <c r="Y1410" s="57"/>
      <c r="Z1410" s="57"/>
      <c r="AA1410" s="57"/>
      <c r="AB1410" s="57"/>
      <c r="AC1410" s="57"/>
      <c r="AD1410" s="57"/>
      <c r="AE1410" s="57"/>
      <c r="AF1410" s="57"/>
      <c r="AG1410" s="57"/>
      <c r="AH1410" s="57"/>
      <c r="AI1410" s="57"/>
      <c r="AJ1410" s="57"/>
      <c r="AK1410" s="57"/>
      <c r="AL1410" s="57"/>
      <c r="AM1410" s="57"/>
      <c r="AN1410" s="57"/>
      <c r="AO1410" s="57"/>
      <c r="AP1410" s="57"/>
      <c r="AQ1410" s="57"/>
      <c r="AR1410" s="57"/>
      <c r="AS1410" s="57"/>
      <c r="AT1410" s="57"/>
      <c r="AU1410" s="57"/>
      <c r="AV1410" s="57"/>
      <c r="AW1410" s="57"/>
      <c r="AX1410" s="57"/>
      <c r="AY1410" s="57"/>
      <c r="AZ1410" s="57"/>
      <c r="BA1410" s="57"/>
      <c r="BB1410" s="57"/>
      <c r="BC1410" s="57"/>
      <c r="BD1410" s="57"/>
      <c r="BE1410" s="57"/>
      <c r="BF1410" s="57"/>
    </row>
    <row r="1411" spans="1:58" s="59" customFormat="1" x14ac:dyDescent="0.25">
      <c r="A1411" s="53"/>
      <c r="B1411" s="60"/>
      <c r="C1411" s="57">
        <f t="shared" si="108"/>
        <v>0</v>
      </c>
      <c r="D1411" s="56"/>
      <c r="E1411" s="57">
        <f>[1]DETAY!$A$2</f>
        <v>0</v>
      </c>
      <c r="F1411" s="90">
        <f t="shared" si="109"/>
        <v>0</v>
      </c>
      <c r="G1411" s="92">
        <f t="shared" si="110"/>
        <v>0</v>
      </c>
      <c r="H1411" s="62" t="e">
        <f t="shared" si="111"/>
        <v>#DIV/0!</v>
      </c>
      <c r="I1411" s="57"/>
      <c r="J1411" s="57"/>
      <c r="K1411" s="57"/>
      <c r="L1411" s="57"/>
      <c r="M1411" s="58"/>
      <c r="N1411" s="57"/>
      <c r="O1411" s="57"/>
      <c r="P1411" s="57"/>
      <c r="Q1411" s="57"/>
      <c r="R1411" s="57"/>
      <c r="S1411" s="61"/>
      <c r="T1411" s="57"/>
      <c r="U1411" s="57"/>
      <c r="V1411" s="57"/>
      <c r="W1411" s="57"/>
      <c r="X1411" s="57"/>
      <c r="Y1411" s="57"/>
      <c r="Z1411" s="57"/>
      <c r="AA1411" s="57"/>
      <c r="AB1411" s="57"/>
      <c r="AC1411" s="57"/>
      <c r="AD1411" s="57"/>
      <c r="AE1411" s="57"/>
      <c r="AF1411" s="57"/>
      <c r="AG1411" s="57"/>
      <c r="AH1411" s="57"/>
      <c r="AI1411" s="57"/>
      <c r="AJ1411" s="57"/>
      <c r="AK1411" s="57"/>
      <c r="AL1411" s="57"/>
      <c r="AM1411" s="57"/>
      <c r="AN1411" s="57"/>
      <c r="AO1411" s="57"/>
      <c r="AP1411" s="57"/>
      <c r="AQ1411" s="57"/>
      <c r="AR1411" s="57"/>
      <c r="AS1411" s="57"/>
      <c r="AT1411" s="57"/>
      <c r="AU1411" s="57"/>
      <c r="AV1411" s="57"/>
      <c r="AW1411" s="57"/>
      <c r="AX1411" s="57"/>
      <c r="AY1411" s="57"/>
      <c r="AZ1411" s="57"/>
      <c r="BA1411" s="57"/>
      <c r="BB1411" s="57"/>
      <c r="BC1411" s="57"/>
      <c r="BD1411" s="57"/>
      <c r="BE1411" s="57"/>
      <c r="BF1411" s="57"/>
    </row>
    <row r="1412" spans="1:58" s="59" customFormat="1" x14ac:dyDescent="0.25">
      <c r="A1412" s="53"/>
      <c r="B1412" s="60"/>
      <c r="C1412" s="57">
        <f t="shared" si="108"/>
        <v>0</v>
      </c>
      <c r="D1412" s="56"/>
      <c r="E1412" s="57">
        <f>[1]DETAY!$A$2</f>
        <v>0</v>
      </c>
      <c r="F1412" s="90">
        <f t="shared" si="109"/>
        <v>0</v>
      </c>
      <c r="G1412" s="92">
        <f t="shared" si="110"/>
        <v>0</v>
      </c>
      <c r="H1412" s="62" t="e">
        <f t="shared" si="111"/>
        <v>#DIV/0!</v>
      </c>
      <c r="I1412" s="57"/>
      <c r="J1412" s="57"/>
      <c r="K1412" s="57"/>
      <c r="L1412" s="57"/>
      <c r="M1412" s="58"/>
      <c r="N1412" s="57"/>
      <c r="O1412" s="57"/>
      <c r="P1412" s="57"/>
      <c r="Q1412" s="57"/>
      <c r="R1412" s="57"/>
      <c r="S1412" s="61"/>
      <c r="T1412" s="57"/>
      <c r="U1412" s="57"/>
      <c r="V1412" s="57"/>
      <c r="W1412" s="57"/>
      <c r="X1412" s="57"/>
      <c r="Y1412" s="57"/>
      <c r="Z1412" s="57"/>
      <c r="AA1412" s="57"/>
      <c r="AB1412" s="57"/>
      <c r="AC1412" s="57"/>
      <c r="AD1412" s="57"/>
      <c r="AE1412" s="57"/>
      <c r="AF1412" s="57"/>
      <c r="AG1412" s="57"/>
      <c r="AH1412" s="57"/>
      <c r="AI1412" s="57"/>
      <c r="AJ1412" s="57"/>
      <c r="AK1412" s="57"/>
      <c r="AL1412" s="57"/>
      <c r="AM1412" s="57"/>
      <c r="AN1412" s="57"/>
      <c r="AO1412" s="57"/>
      <c r="AP1412" s="57"/>
      <c r="AQ1412" s="57"/>
      <c r="AR1412" s="57"/>
      <c r="AS1412" s="57"/>
      <c r="AT1412" s="57"/>
      <c r="AU1412" s="57"/>
      <c r="AV1412" s="57"/>
      <c r="AW1412" s="57"/>
      <c r="AX1412" s="57"/>
      <c r="AY1412" s="57"/>
      <c r="AZ1412" s="57"/>
      <c r="BA1412" s="57"/>
      <c r="BB1412" s="57"/>
      <c r="BC1412" s="57"/>
      <c r="BD1412" s="57"/>
      <c r="BE1412" s="57"/>
      <c r="BF1412" s="57"/>
    </row>
    <row r="1413" spans="1:58" s="59" customFormat="1" x14ac:dyDescent="0.25">
      <c r="A1413" s="53"/>
      <c r="B1413" s="60"/>
      <c r="C1413" s="57">
        <f t="shared" si="108"/>
        <v>0</v>
      </c>
      <c r="D1413" s="56"/>
      <c r="E1413" s="57">
        <f>[1]DETAY!$A$2</f>
        <v>0</v>
      </c>
      <c r="F1413" s="90">
        <f t="shared" si="109"/>
        <v>0</v>
      </c>
      <c r="G1413" s="92">
        <f t="shared" si="110"/>
        <v>0</v>
      </c>
      <c r="H1413" s="62" t="e">
        <f t="shared" si="111"/>
        <v>#DIV/0!</v>
      </c>
      <c r="I1413" s="57"/>
      <c r="J1413" s="57"/>
      <c r="K1413" s="57"/>
      <c r="L1413" s="57"/>
      <c r="M1413" s="58"/>
      <c r="N1413" s="57"/>
      <c r="O1413" s="57"/>
      <c r="P1413" s="57"/>
      <c r="Q1413" s="57"/>
      <c r="R1413" s="57"/>
      <c r="S1413" s="61"/>
      <c r="T1413" s="57"/>
      <c r="U1413" s="57"/>
      <c r="V1413" s="57"/>
      <c r="W1413" s="57"/>
      <c r="X1413" s="57"/>
      <c r="Y1413" s="57"/>
      <c r="Z1413" s="57"/>
      <c r="AA1413" s="57"/>
      <c r="AB1413" s="57"/>
      <c r="AC1413" s="57"/>
      <c r="AD1413" s="57"/>
      <c r="AE1413" s="57"/>
      <c r="AF1413" s="57"/>
      <c r="AG1413" s="57"/>
      <c r="AH1413" s="57"/>
      <c r="AI1413" s="57"/>
      <c r="AJ1413" s="57"/>
      <c r="AK1413" s="57"/>
      <c r="AL1413" s="57"/>
      <c r="AM1413" s="57"/>
      <c r="AN1413" s="57"/>
      <c r="AO1413" s="57"/>
      <c r="AP1413" s="57"/>
      <c r="AQ1413" s="57"/>
      <c r="AR1413" s="57"/>
      <c r="AS1413" s="57"/>
      <c r="AT1413" s="57"/>
      <c r="AU1413" s="57"/>
      <c r="AV1413" s="57"/>
      <c r="AW1413" s="57"/>
      <c r="AX1413" s="57"/>
      <c r="AY1413" s="57"/>
      <c r="AZ1413" s="57"/>
      <c r="BA1413" s="57"/>
      <c r="BB1413" s="57"/>
      <c r="BC1413" s="57"/>
      <c r="BD1413" s="57"/>
      <c r="BE1413" s="57"/>
      <c r="BF1413" s="57"/>
    </row>
    <row r="1414" spans="1:58" s="59" customFormat="1" x14ac:dyDescent="0.25">
      <c r="A1414" s="53"/>
      <c r="B1414" s="60"/>
      <c r="C1414" s="57">
        <f t="shared" si="108"/>
        <v>0</v>
      </c>
      <c r="D1414" s="56"/>
      <c r="E1414" s="57">
        <f>[1]DETAY!$A$2</f>
        <v>0</v>
      </c>
      <c r="F1414" s="90">
        <f t="shared" si="109"/>
        <v>0</v>
      </c>
      <c r="G1414" s="92">
        <f t="shared" si="110"/>
        <v>0</v>
      </c>
      <c r="H1414" s="62" t="e">
        <f t="shared" si="111"/>
        <v>#DIV/0!</v>
      </c>
      <c r="I1414" s="57"/>
      <c r="J1414" s="57"/>
      <c r="K1414" s="57"/>
      <c r="L1414" s="57"/>
      <c r="M1414" s="58"/>
      <c r="N1414" s="57"/>
      <c r="O1414" s="57"/>
      <c r="P1414" s="57"/>
      <c r="Q1414" s="57"/>
      <c r="R1414" s="57"/>
      <c r="S1414" s="61"/>
      <c r="T1414" s="57"/>
      <c r="U1414" s="57"/>
      <c r="V1414" s="57"/>
      <c r="W1414" s="57"/>
      <c r="X1414" s="57"/>
      <c r="Y1414" s="57"/>
      <c r="Z1414" s="57"/>
      <c r="AA1414" s="57"/>
      <c r="AB1414" s="57"/>
      <c r="AC1414" s="57"/>
      <c r="AD1414" s="57"/>
      <c r="AE1414" s="57"/>
      <c r="AF1414" s="57"/>
      <c r="AG1414" s="57"/>
      <c r="AH1414" s="57"/>
      <c r="AI1414" s="57"/>
      <c r="AJ1414" s="57"/>
      <c r="AK1414" s="57"/>
      <c r="AL1414" s="57"/>
      <c r="AM1414" s="57"/>
      <c r="AN1414" s="57"/>
      <c r="AO1414" s="57"/>
      <c r="AP1414" s="57"/>
      <c r="AQ1414" s="57"/>
      <c r="AR1414" s="57"/>
      <c r="AS1414" s="57"/>
      <c r="AT1414" s="57"/>
      <c r="AU1414" s="57"/>
      <c r="AV1414" s="57"/>
      <c r="AW1414" s="57"/>
      <c r="AX1414" s="57"/>
      <c r="AY1414" s="57"/>
      <c r="AZ1414" s="57"/>
      <c r="BA1414" s="57"/>
      <c r="BB1414" s="57"/>
      <c r="BC1414" s="57"/>
      <c r="BD1414" s="57"/>
      <c r="BE1414" s="57"/>
      <c r="BF1414" s="57"/>
    </row>
    <row r="1415" spans="1:58" s="59" customFormat="1" x14ac:dyDescent="0.25">
      <c r="A1415" s="53"/>
      <c r="B1415" s="60"/>
      <c r="C1415" s="57">
        <f t="shared" si="108"/>
        <v>0</v>
      </c>
      <c r="D1415" s="56"/>
      <c r="E1415" s="57">
        <f>[1]DETAY!$A$2</f>
        <v>0</v>
      </c>
      <c r="F1415" s="90">
        <f t="shared" si="109"/>
        <v>0</v>
      </c>
      <c r="G1415" s="92">
        <f t="shared" si="110"/>
        <v>0</v>
      </c>
      <c r="H1415" s="62" t="e">
        <f t="shared" si="111"/>
        <v>#DIV/0!</v>
      </c>
      <c r="I1415" s="57"/>
      <c r="J1415" s="57"/>
      <c r="K1415" s="57"/>
      <c r="L1415" s="57"/>
      <c r="M1415" s="58"/>
      <c r="N1415" s="57"/>
      <c r="O1415" s="57"/>
      <c r="P1415" s="57"/>
      <c r="Q1415" s="57"/>
      <c r="R1415" s="57"/>
      <c r="S1415" s="61"/>
      <c r="T1415" s="57"/>
      <c r="U1415" s="57"/>
      <c r="V1415" s="57"/>
      <c r="W1415" s="57"/>
      <c r="X1415" s="57"/>
      <c r="Y1415" s="57"/>
      <c r="Z1415" s="57"/>
      <c r="AA1415" s="57"/>
      <c r="AB1415" s="57"/>
      <c r="AC1415" s="57"/>
      <c r="AD1415" s="57"/>
      <c r="AE1415" s="57"/>
      <c r="AF1415" s="57"/>
      <c r="AG1415" s="57"/>
      <c r="AH1415" s="57"/>
      <c r="AI1415" s="57"/>
      <c r="AJ1415" s="57"/>
      <c r="AK1415" s="57"/>
      <c r="AL1415" s="57"/>
      <c r="AM1415" s="57"/>
      <c r="AN1415" s="57"/>
      <c r="AO1415" s="57"/>
      <c r="AP1415" s="57"/>
      <c r="AQ1415" s="57"/>
      <c r="AR1415" s="57"/>
      <c r="AS1415" s="57"/>
      <c r="AT1415" s="57"/>
      <c r="AU1415" s="57"/>
      <c r="AV1415" s="57"/>
      <c r="AW1415" s="57"/>
      <c r="AX1415" s="57"/>
      <c r="AY1415" s="57"/>
      <c r="AZ1415" s="57"/>
      <c r="BA1415" s="57"/>
      <c r="BB1415" s="57"/>
      <c r="BC1415" s="57"/>
      <c r="BD1415" s="57"/>
      <c r="BE1415" s="57"/>
      <c r="BF1415" s="57"/>
    </row>
    <row r="1416" spans="1:58" s="59" customFormat="1" x14ac:dyDescent="0.25">
      <c r="A1416" s="53"/>
      <c r="B1416" s="60"/>
      <c r="C1416" s="57">
        <f t="shared" ref="C1416:C1479" si="112">WEEKNUM(B1416)</f>
        <v>0</v>
      </c>
      <c r="D1416" s="56"/>
      <c r="E1416" s="57">
        <f>[1]DETAY!$A$2</f>
        <v>0</v>
      </c>
      <c r="F1416" s="90">
        <f t="shared" ref="F1416:F1479" si="113">D1416-G1416</f>
        <v>0</v>
      </c>
      <c r="G1416" s="92">
        <f t="shared" ref="G1416:G1479" si="114">SUBTOTAL(9,I1416:BD1416)</f>
        <v>0</v>
      </c>
      <c r="H1416" s="62" t="e">
        <f t="shared" ref="H1416:H1479" si="115">F1416/D1416</f>
        <v>#DIV/0!</v>
      </c>
      <c r="I1416" s="57"/>
      <c r="J1416" s="57"/>
      <c r="K1416" s="57"/>
      <c r="L1416" s="57"/>
      <c r="M1416" s="58"/>
      <c r="N1416" s="57"/>
      <c r="O1416" s="57"/>
      <c r="P1416" s="57"/>
      <c r="Q1416" s="57"/>
      <c r="R1416" s="57"/>
      <c r="S1416" s="61"/>
      <c r="T1416" s="57"/>
      <c r="U1416" s="57"/>
      <c r="V1416" s="57"/>
      <c r="W1416" s="57"/>
      <c r="X1416" s="57"/>
      <c r="Y1416" s="57"/>
      <c r="Z1416" s="57"/>
      <c r="AA1416" s="57"/>
      <c r="AB1416" s="57"/>
      <c r="AC1416" s="57"/>
      <c r="AD1416" s="57"/>
      <c r="AE1416" s="57"/>
      <c r="AF1416" s="57"/>
      <c r="AG1416" s="57"/>
      <c r="AH1416" s="57"/>
      <c r="AI1416" s="57"/>
      <c r="AJ1416" s="57"/>
      <c r="AK1416" s="57"/>
      <c r="AL1416" s="57"/>
      <c r="AM1416" s="57"/>
      <c r="AN1416" s="57"/>
      <c r="AO1416" s="57"/>
      <c r="AP1416" s="57"/>
      <c r="AQ1416" s="57"/>
      <c r="AR1416" s="57"/>
      <c r="AS1416" s="57"/>
      <c r="AT1416" s="57"/>
      <c r="AU1416" s="57"/>
      <c r="AV1416" s="57"/>
      <c r="AW1416" s="57"/>
      <c r="AX1416" s="57"/>
      <c r="AY1416" s="57"/>
      <c r="AZ1416" s="57"/>
      <c r="BA1416" s="57"/>
      <c r="BB1416" s="57"/>
      <c r="BC1416" s="57"/>
      <c r="BD1416" s="57"/>
      <c r="BE1416" s="57"/>
      <c r="BF1416" s="57"/>
    </row>
    <row r="1417" spans="1:58" s="59" customFormat="1" x14ac:dyDescent="0.25">
      <c r="A1417" s="53"/>
      <c r="B1417" s="60"/>
      <c r="C1417" s="57">
        <f t="shared" si="112"/>
        <v>0</v>
      </c>
      <c r="D1417" s="56"/>
      <c r="E1417" s="57">
        <f>[1]DETAY!$A$2</f>
        <v>0</v>
      </c>
      <c r="F1417" s="90">
        <f t="shared" si="113"/>
        <v>0</v>
      </c>
      <c r="G1417" s="92">
        <f t="shared" si="114"/>
        <v>0</v>
      </c>
      <c r="H1417" s="62" t="e">
        <f t="shared" si="115"/>
        <v>#DIV/0!</v>
      </c>
      <c r="I1417" s="57"/>
      <c r="J1417" s="57"/>
      <c r="K1417" s="57"/>
      <c r="L1417" s="57"/>
      <c r="M1417" s="58"/>
      <c r="N1417" s="57"/>
      <c r="O1417" s="57"/>
      <c r="P1417" s="57"/>
      <c r="Q1417" s="57"/>
      <c r="R1417" s="57"/>
      <c r="S1417" s="61"/>
      <c r="T1417" s="57"/>
      <c r="U1417" s="57"/>
      <c r="V1417" s="57"/>
      <c r="W1417" s="57"/>
      <c r="X1417" s="57"/>
      <c r="Y1417" s="57"/>
      <c r="Z1417" s="57"/>
      <c r="AA1417" s="57"/>
      <c r="AB1417" s="57"/>
      <c r="AC1417" s="57"/>
      <c r="AD1417" s="57"/>
      <c r="AE1417" s="57"/>
      <c r="AF1417" s="57"/>
      <c r="AG1417" s="57"/>
      <c r="AH1417" s="57"/>
      <c r="AI1417" s="57"/>
      <c r="AJ1417" s="57"/>
      <c r="AK1417" s="57"/>
      <c r="AL1417" s="57"/>
      <c r="AM1417" s="57"/>
      <c r="AN1417" s="57"/>
      <c r="AO1417" s="57"/>
      <c r="AP1417" s="57"/>
      <c r="AQ1417" s="57"/>
      <c r="AR1417" s="57"/>
      <c r="AS1417" s="57"/>
      <c r="AT1417" s="57"/>
      <c r="AU1417" s="57"/>
      <c r="AV1417" s="57"/>
      <c r="AW1417" s="57"/>
      <c r="AX1417" s="57"/>
      <c r="AY1417" s="57"/>
      <c r="AZ1417" s="57"/>
      <c r="BA1417" s="57"/>
      <c r="BB1417" s="57"/>
      <c r="BC1417" s="57"/>
      <c r="BD1417" s="57"/>
      <c r="BE1417" s="57"/>
      <c r="BF1417" s="57"/>
    </row>
    <row r="1418" spans="1:58" s="59" customFormat="1" x14ac:dyDescent="0.25">
      <c r="A1418" s="53"/>
      <c r="B1418" s="60"/>
      <c r="C1418" s="57">
        <f t="shared" si="112"/>
        <v>0</v>
      </c>
      <c r="D1418" s="56"/>
      <c r="E1418" s="57">
        <f>[1]DETAY!$A$2</f>
        <v>0</v>
      </c>
      <c r="F1418" s="90">
        <f t="shared" si="113"/>
        <v>0</v>
      </c>
      <c r="G1418" s="92">
        <f t="shared" si="114"/>
        <v>0</v>
      </c>
      <c r="H1418" s="62" t="e">
        <f t="shared" si="115"/>
        <v>#DIV/0!</v>
      </c>
      <c r="I1418" s="57"/>
      <c r="J1418" s="57"/>
      <c r="K1418" s="57"/>
      <c r="L1418" s="57"/>
      <c r="M1418" s="58"/>
      <c r="N1418" s="57"/>
      <c r="O1418" s="57"/>
      <c r="P1418" s="57"/>
      <c r="Q1418" s="57"/>
      <c r="R1418" s="57"/>
      <c r="S1418" s="61"/>
      <c r="T1418" s="57"/>
      <c r="U1418" s="57"/>
      <c r="V1418" s="57"/>
      <c r="W1418" s="57"/>
      <c r="X1418" s="57"/>
      <c r="Y1418" s="57"/>
      <c r="Z1418" s="57"/>
      <c r="AA1418" s="57"/>
      <c r="AB1418" s="57"/>
      <c r="AC1418" s="57"/>
      <c r="AD1418" s="57"/>
      <c r="AE1418" s="57"/>
      <c r="AF1418" s="57"/>
      <c r="AG1418" s="57"/>
      <c r="AH1418" s="57"/>
      <c r="AI1418" s="57"/>
      <c r="AJ1418" s="57"/>
      <c r="AK1418" s="57"/>
      <c r="AL1418" s="57"/>
      <c r="AM1418" s="57"/>
      <c r="AN1418" s="57"/>
      <c r="AO1418" s="57"/>
      <c r="AP1418" s="57"/>
      <c r="AQ1418" s="57"/>
      <c r="AR1418" s="57"/>
      <c r="AS1418" s="57"/>
      <c r="AT1418" s="57"/>
      <c r="AU1418" s="57"/>
      <c r="AV1418" s="57"/>
      <c r="AW1418" s="57"/>
      <c r="AX1418" s="57"/>
      <c r="AY1418" s="57"/>
      <c r="AZ1418" s="57"/>
      <c r="BA1418" s="57"/>
      <c r="BB1418" s="57"/>
      <c r="BC1418" s="57"/>
      <c r="BD1418" s="57"/>
      <c r="BE1418" s="57"/>
      <c r="BF1418" s="57"/>
    </row>
    <row r="1419" spans="1:58" s="59" customFormat="1" x14ac:dyDescent="0.25">
      <c r="A1419" s="53"/>
      <c r="B1419" s="60"/>
      <c r="C1419" s="57">
        <f t="shared" si="112"/>
        <v>0</v>
      </c>
      <c r="D1419" s="56"/>
      <c r="E1419" s="57">
        <f>[1]DETAY!$A$2</f>
        <v>0</v>
      </c>
      <c r="F1419" s="90">
        <f t="shared" si="113"/>
        <v>0</v>
      </c>
      <c r="G1419" s="92">
        <f t="shared" si="114"/>
        <v>0</v>
      </c>
      <c r="H1419" s="62" t="e">
        <f t="shared" si="115"/>
        <v>#DIV/0!</v>
      </c>
      <c r="I1419" s="57"/>
      <c r="J1419" s="57"/>
      <c r="K1419" s="57"/>
      <c r="L1419" s="57"/>
      <c r="M1419" s="58"/>
      <c r="N1419" s="57"/>
      <c r="O1419" s="57"/>
      <c r="P1419" s="57"/>
      <c r="Q1419" s="57"/>
      <c r="R1419" s="57"/>
      <c r="S1419" s="61"/>
      <c r="T1419" s="57"/>
      <c r="U1419" s="57"/>
      <c r="V1419" s="57"/>
      <c r="W1419" s="57"/>
      <c r="X1419" s="57"/>
      <c r="Y1419" s="57"/>
      <c r="Z1419" s="57"/>
      <c r="AA1419" s="57"/>
      <c r="AB1419" s="57"/>
      <c r="AC1419" s="57"/>
      <c r="AD1419" s="57"/>
      <c r="AE1419" s="57"/>
      <c r="AF1419" s="57"/>
      <c r="AG1419" s="57"/>
      <c r="AH1419" s="57"/>
      <c r="AI1419" s="57"/>
      <c r="AJ1419" s="57"/>
      <c r="AK1419" s="57"/>
      <c r="AL1419" s="57"/>
      <c r="AM1419" s="57"/>
      <c r="AN1419" s="57"/>
      <c r="AO1419" s="57"/>
      <c r="AP1419" s="57"/>
      <c r="AQ1419" s="57"/>
      <c r="AR1419" s="57"/>
      <c r="AS1419" s="57"/>
      <c r="AT1419" s="57"/>
      <c r="AU1419" s="57"/>
      <c r="AV1419" s="57"/>
      <c r="AW1419" s="57"/>
      <c r="AX1419" s="57"/>
      <c r="AY1419" s="57"/>
      <c r="AZ1419" s="57"/>
      <c r="BA1419" s="57"/>
      <c r="BB1419" s="57"/>
      <c r="BC1419" s="57"/>
      <c r="BD1419" s="57"/>
      <c r="BE1419" s="57"/>
      <c r="BF1419" s="57"/>
    </row>
    <row r="1420" spans="1:58" s="59" customFormat="1" x14ac:dyDescent="0.25">
      <c r="A1420" s="53"/>
      <c r="B1420" s="60"/>
      <c r="C1420" s="57">
        <f t="shared" si="112"/>
        <v>0</v>
      </c>
      <c r="D1420" s="56"/>
      <c r="E1420" s="57">
        <f>[1]DETAY!$A$2</f>
        <v>0</v>
      </c>
      <c r="F1420" s="90">
        <f t="shared" si="113"/>
        <v>0</v>
      </c>
      <c r="G1420" s="92">
        <f t="shared" si="114"/>
        <v>0</v>
      </c>
      <c r="H1420" s="62" t="e">
        <f t="shared" si="115"/>
        <v>#DIV/0!</v>
      </c>
      <c r="I1420" s="57"/>
      <c r="J1420" s="57"/>
      <c r="K1420" s="57"/>
      <c r="L1420" s="57"/>
      <c r="M1420" s="58"/>
      <c r="N1420" s="57"/>
      <c r="O1420" s="57"/>
      <c r="P1420" s="57"/>
      <c r="Q1420" s="57"/>
      <c r="R1420" s="57"/>
      <c r="S1420" s="61"/>
      <c r="T1420" s="57"/>
      <c r="U1420" s="57"/>
      <c r="V1420" s="57"/>
      <c r="W1420" s="57"/>
      <c r="X1420" s="57"/>
      <c r="Y1420" s="57"/>
      <c r="Z1420" s="57"/>
      <c r="AA1420" s="57"/>
      <c r="AB1420" s="57"/>
      <c r="AC1420" s="57"/>
      <c r="AD1420" s="57"/>
      <c r="AE1420" s="57"/>
      <c r="AF1420" s="57"/>
      <c r="AG1420" s="57"/>
      <c r="AH1420" s="57"/>
      <c r="AI1420" s="57"/>
      <c r="AJ1420" s="57"/>
      <c r="AK1420" s="57"/>
      <c r="AL1420" s="57"/>
      <c r="AM1420" s="57"/>
      <c r="AN1420" s="57"/>
      <c r="AO1420" s="57"/>
      <c r="AP1420" s="57"/>
      <c r="AQ1420" s="57"/>
      <c r="AR1420" s="57"/>
      <c r="AS1420" s="57"/>
      <c r="AT1420" s="57"/>
      <c r="AU1420" s="57"/>
      <c r="AV1420" s="57"/>
      <c r="AW1420" s="57"/>
      <c r="AX1420" s="57"/>
      <c r="AY1420" s="57"/>
      <c r="AZ1420" s="57"/>
      <c r="BA1420" s="57"/>
      <c r="BB1420" s="57"/>
      <c r="BC1420" s="57"/>
      <c r="BD1420" s="57"/>
      <c r="BE1420" s="57"/>
      <c r="BF1420" s="57"/>
    </row>
    <row r="1421" spans="1:58" s="59" customFormat="1" x14ac:dyDescent="0.25">
      <c r="A1421" s="53"/>
      <c r="B1421" s="60"/>
      <c r="C1421" s="57">
        <f t="shared" si="112"/>
        <v>0</v>
      </c>
      <c r="D1421" s="56"/>
      <c r="E1421" s="57">
        <f>[1]DETAY!$A$2</f>
        <v>0</v>
      </c>
      <c r="F1421" s="90">
        <f t="shared" si="113"/>
        <v>0</v>
      </c>
      <c r="G1421" s="92">
        <f t="shared" si="114"/>
        <v>0</v>
      </c>
      <c r="H1421" s="62" t="e">
        <f t="shared" si="115"/>
        <v>#DIV/0!</v>
      </c>
      <c r="I1421" s="57"/>
      <c r="J1421" s="57"/>
      <c r="K1421" s="57"/>
      <c r="L1421" s="57"/>
      <c r="M1421" s="58"/>
      <c r="N1421" s="57"/>
      <c r="O1421" s="57"/>
      <c r="P1421" s="57"/>
      <c r="Q1421" s="57"/>
      <c r="R1421" s="57"/>
      <c r="S1421" s="61"/>
      <c r="T1421" s="57"/>
      <c r="U1421" s="57"/>
      <c r="V1421" s="57"/>
      <c r="W1421" s="57"/>
      <c r="X1421" s="57"/>
      <c r="Y1421" s="57"/>
      <c r="Z1421" s="57"/>
      <c r="AA1421" s="57"/>
      <c r="AB1421" s="57"/>
      <c r="AC1421" s="57"/>
      <c r="AD1421" s="57"/>
      <c r="AE1421" s="57"/>
      <c r="AF1421" s="57"/>
      <c r="AG1421" s="57"/>
      <c r="AH1421" s="57"/>
      <c r="AI1421" s="57"/>
      <c r="AJ1421" s="57"/>
      <c r="AK1421" s="57"/>
      <c r="AL1421" s="57"/>
      <c r="AM1421" s="57"/>
      <c r="AN1421" s="57"/>
      <c r="AO1421" s="57"/>
      <c r="AP1421" s="57"/>
      <c r="AQ1421" s="57"/>
      <c r="AR1421" s="57"/>
      <c r="AS1421" s="57"/>
      <c r="AT1421" s="57"/>
      <c r="AU1421" s="57"/>
      <c r="AV1421" s="57"/>
      <c r="AW1421" s="57"/>
      <c r="AX1421" s="57"/>
      <c r="AY1421" s="57"/>
      <c r="AZ1421" s="57"/>
      <c r="BA1421" s="57"/>
      <c r="BB1421" s="57"/>
      <c r="BC1421" s="57"/>
      <c r="BD1421" s="57"/>
      <c r="BE1421" s="57"/>
      <c r="BF1421" s="57"/>
    </row>
    <row r="1422" spans="1:58" s="59" customFormat="1" x14ac:dyDescent="0.25">
      <c r="A1422" s="53"/>
      <c r="B1422" s="60"/>
      <c r="C1422" s="57">
        <f t="shared" si="112"/>
        <v>0</v>
      </c>
      <c r="D1422" s="56"/>
      <c r="E1422" s="57">
        <f>[1]DETAY!$A$2</f>
        <v>0</v>
      </c>
      <c r="F1422" s="90">
        <f t="shared" si="113"/>
        <v>0</v>
      </c>
      <c r="G1422" s="92">
        <f t="shared" si="114"/>
        <v>0</v>
      </c>
      <c r="H1422" s="62" t="e">
        <f t="shared" si="115"/>
        <v>#DIV/0!</v>
      </c>
      <c r="I1422" s="57"/>
      <c r="J1422" s="57"/>
      <c r="K1422" s="57"/>
      <c r="L1422" s="57"/>
      <c r="M1422" s="58"/>
      <c r="N1422" s="57"/>
      <c r="O1422" s="57"/>
      <c r="P1422" s="57"/>
      <c r="Q1422" s="57"/>
      <c r="R1422" s="57"/>
      <c r="S1422" s="61"/>
      <c r="T1422" s="57"/>
      <c r="U1422" s="57"/>
      <c r="V1422" s="57"/>
      <c r="W1422" s="57"/>
      <c r="X1422" s="57"/>
      <c r="Y1422" s="57"/>
      <c r="Z1422" s="57"/>
      <c r="AA1422" s="57"/>
      <c r="AB1422" s="57"/>
      <c r="AC1422" s="57"/>
      <c r="AD1422" s="57"/>
      <c r="AE1422" s="57"/>
      <c r="AF1422" s="57"/>
      <c r="AG1422" s="57"/>
      <c r="AH1422" s="57"/>
      <c r="AI1422" s="57"/>
      <c r="AJ1422" s="57"/>
      <c r="AK1422" s="57"/>
      <c r="AL1422" s="57"/>
      <c r="AM1422" s="57"/>
      <c r="AN1422" s="57"/>
      <c r="AO1422" s="57"/>
      <c r="AP1422" s="57"/>
      <c r="AQ1422" s="57"/>
      <c r="AR1422" s="57"/>
      <c r="AS1422" s="57"/>
      <c r="AT1422" s="57"/>
      <c r="AU1422" s="57"/>
      <c r="AV1422" s="57"/>
      <c r="AW1422" s="57"/>
      <c r="AX1422" s="57"/>
      <c r="AY1422" s="57"/>
      <c r="AZ1422" s="57"/>
      <c r="BA1422" s="57"/>
      <c r="BB1422" s="57"/>
      <c r="BC1422" s="57"/>
      <c r="BD1422" s="57"/>
      <c r="BE1422" s="57"/>
      <c r="BF1422" s="57"/>
    </row>
    <row r="1423" spans="1:58" s="59" customFormat="1" x14ac:dyDescent="0.25">
      <c r="A1423" s="53"/>
      <c r="B1423" s="60"/>
      <c r="C1423" s="57">
        <f t="shared" si="112"/>
        <v>0</v>
      </c>
      <c r="D1423" s="56"/>
      <c r="E1423" s="57">
        <f>[1]DETAY!$A$2</f>
        <v>0</v>
      </c>
      <c r="F1423" s="90">
        <f t="shared" si="113"/>
        <v>0</v>
      </c>
      <c r="G1423" s="92">
        <f t="shared" si="114"/>
        <v>0</v>
      </c>
      <c r="H1423" s="62" t="e">
        <f t="shared" si="115"/>
        <v>#DIV/0!</v>
      </c>
      <c r="I1423" s="57"/>
      <c r="J1423" s="57"/>
      <c r="K1423" s="57"/>
      <c r="L1423" s="57"/>
      <c r="M1423" s="58"/>
      <c r="N1423" s="57"/>
      <c r="O1423" s="57"/>
      <c r="P1423" s="57"/>
      <c r="Q1423" s="57"/>
      <c r="R1423" s="57"/>
      <c r="S1423" s="61"/>
      <c r="T1423" s="57"/>
      <c r="U1423" s="57"/>
      <c r="V1423" s="57"/>
      <c r="W1423" s="57"/>
      <c r="X1423" s="57"/>
      <c r="Y1423" s="57"/>
      <c r="Z1423" s="57"/>
      <c r="AA1423" s="57"/>
      <c r="AB1423" s="57"/>
      <c r="AC1423" s="57"/>
      <c r="AD1423" s="57"/>
      <c r="AE1423" s="57"/>
      <c r="AF1423" s="57"/>
      <c r="AG1423" s="57"/>
      <c r="AH1423" s="57"/>
      <c r="AI1423" s="57"/>
      <c r="AJ1423" s="57"/>
      <c r="AK1423" s="57"/>
      <c r="AL1423" s="57"/>
      <c r="AM1423" s="57"/>
      <c r="AN1423" s="57"/>
      <c r="AO1423" s="57"/>
      <c r="AP1423" s="57"/>
      <c r="AQ1423" s="57"/>
      <c r="AR1423" s="57"/>
      <c r="AS1423" s="57"/>
      <c r="AT1423" s="57"/>
      <c r="AU1423" s="57"/>
      <c r="AV1423" s="57"/>
      <c r="AW1423" s="57"/>
      <c r="AX1423" s="57"/>
      <c r="AY1423" s="57"/>
      <c r="AZ1423" s="57"/>
      <c r="BA1423" s="57"/>
      <c r="BB1423" s="57"/>
      <c r="BC1423" s="57"/>
      <c r="BD1423" s="57"/>
      <c r="BE1423" s="57"/>
      <c r="BF1423" s="57"/>
    </row>
    <row r="1424" spans="1:58" s="59" customFormat="1" x14ac:dyDescent="0.25">
      <c r="A1424" s="53"/>
      <c r="B1424" s="60"/>
      <c r="C1424" s="57">
        <f t="shared" si="112"/>
        <v>0</v>
      </c>
      <c r="D1424" s="56"/>
      <c r="E1424" s="57">
        <f>[1]DETAY!$A$2</f>
        <v>0</v>
      </c>
      <c r="F1424" s="90">
        <f t="shared" si="113"/>
        <v>0</v>
      </c>
      <c r="G1424" s="92">
        <f t="shared" si="114"/>
        <v>0</v>
      </c>
      <c r="H1424" s="62" t="e">
        <f t="shared" si="115"/>
        <v>#DIV/0!</v>
      </c>
      <c r="I1424" s="57"/>
      <c r="J1424" s="57"/>
      <c r="K1424" s="57"/>
      <c r="L1424" s="57"/>
      <c r="M1424" s="58"/>
      <c r="N1424" s="57"/>
      <c r="O1424" s="57"/>
      <c r="P1424" s="57"/>
      <c r="Q1424" s="57"/>
      <c r="R1424" s="57"/>
      <c r="S1424" s="61"/>
      <c r="T1424" s="57"/>
      <c r="U1424" s="57"/>
      <c r="V1424" s="57"/>
      <c r="W1424" s="57"/>
      <c r="X1424" s="57"/>
      <c r="Y1424" s="57"/>
      <c r="Z1424" s="57"/>
      <c r="AA1424" s="57"/>
      <c r="AB1424" s="57"/>
      <c r="AC1424" s="57"/>
      <c r="AD1424" s="57"/>
      <c r="AE1424" s="57"/>
      <c r="AF1424" s="57"/>
      <c r="AG1424" s="57"/>
      <c r="AH1424" s="57"/>
      <c r="AI1424" s="57"/>
      <c r="AJ1424" s="57"/>
      <c r="AK1424" s="57"/>
      <c r="AL1424" s="57"/>
      <c r="AM1424" s="57"/>
      <c r="AN1424" s="57"/>
      <c r="AO1424" s="57"/>
      <c r="AP1424" s="57"/>
      <c r="AQ1424" s="57"/>
      <c r="AR1424" s="57"/>
      <c r="AS1424" s="57"/>
      <c r="AT1424" s="57"/>
      <c r="AU1424" s="57"/>
      <c r="AV1424" s="57"/>
      <c r="AW1424" s="57"/>
      <c r="AX1424" s="57"/>
      <c r="AY1424" s="57"/>
      <c r="AZ1424" s="57"/>
      <c r="BA1424" s="57"/>
      <c r="BB1424" s="57"/>
      <c r="BC1424" s="57"/>
      <c r="BD1424" s="57"/>
      <c r="BE1424" s="57"/>
      <c r="BF1424" s="57"/>
    </row>
    <row r="1425" spans="1:58" s="59" customFormat="1" x14ac:dyDescent="0.25">
      <c r="A1425" s="53"/>
      <c r="B1425" s="60"/>
      <c r="C1425" s="57">
        <f t="shared" si="112"/>
        <v>0</v>
      </c>
      <c r="D1425" s="56"/>
      <c r="E1425" s="57">
        <f>[1]DETAY!$A$2</f>
        <v>0</v>
      </c>
      <c r="F1425" s="90">
        <f t="shared" si="113"/>
        <v>0</v>
      </c>
      <c r="G1425" s="92">
        <f t="shared" si="114"/>
        <v>0</v>
      </c>
      <c r="H1425" s="62" t="e">
        <f t="shared" si="115"/>
        <v>#DIV/0!</v>
      </c>
      <c r="I1425" s="57"/>
      <c r="J1425" s="57"/>
      <c r="K1425" s="57"/>
      <c r="L1425" s="57"/>
      <c r="M1425" s="58"/>
      <c r="N1425" s="57"/>
      <c r="O1425" s="57"/>
      <c r="P1425" s="57"/>
      <c r="Q1425" s="57"/>
      <c r="R1425" s="57"/>
      <c r="S1425" s="61"/>
      <c r="T1425" s="57"/>
      <c r="U1425" s="57"/>
      <c r="V1425" s="57"/>
      <c r="W1425" s="57"/>
      <c r="X1425" s="57"/>
      <c r="Y1425" s="57"/>
      <c r="Z1425" s="57"/>
      <c r="AA1425" s="57"/>
      <c r="AB1425" s="57"/>
      <c r="AC1425" s="57"/>
      <c r="AD1425" s="57"/>
      <c r="AE1425" s="57"/>
      <c r="AF1425" s="57"/>
      <c r="AG1425" s="57"/>
      <c r="AH1425" s="57"/>
      <c r="AI1425" s="57"/>
      <c r="AJ1425" s="57"/>
      <c r="AK1425" s="57"/>
      <c r="AL1425" s="57"/>
      <c r="AM1425" s="57"/>
      <c r="AN1425" s="57"/>
      <c r="AO1425" s="57"/>
      <c r="AP1425" s="57"/>
      <c r="AQ1425" s="57"/>
      <c r="AR1425" s="57"/>
      <c r="AS1425" s="57"/>
      <c r="AT1425" s="57"/>
      <c r="AU1425" s="57"/>
      <c r="AV1425" s="57"/>
      <c r="AW1425" s="57"/>
      <c r="AX1425" s="57"/>
      <c r="AY1425" s="57"/>
      <c r="AZ1425" s="57"/>
      <c r="BA1425" s="57"/>
      <c r="BB1425" s="57"/>
      <c r="BC1425" s="57"/>
      <c r="BD1425" s="57"/>
      <c r="BE1425" s="57"/>
      <c r="BF1425" s="57"/>
    </row>
    <row r="1426" spans="1:58" s="59" customFormat="1" x14ac:dyDescent="0.25">
      <c r="A1426" s="53"/>
      <c r="B1426" s="60"/>
      <c r="C1426" s="57">
        <f t="shared" si="112"/>
        <v>0</v>
      </c>
      <c r="D1426" s="56"/>
      <c r="E1426" s="57">
        <f>[1]DETAY!$A$2</f>
        <v>0</v>
      </c>
      <c r="F1426" s="90">
        <f t="shared" si="113"/>
        <v>0</v>
      </c>
      <c r="G1426" s="92">
        <f t="shared" si="114"/>
        <v>0</v>
      </c>
      <c r="H1426" s="62" t="e">
        <f t="shared" si="115"/>
        <v>#DIV/0!</v>
      </c>
      <c r="I1426" s="57"/>
      <c r="J1426" s="57"/>
      <c r="K1426" s="57"/>
      <c r="L1426" s="57"/>
      <c r="M1426" s="58"/>
      <c r="N1426" s="57"/>
      <c r="O1426" s="57"/>
      <c r="P1426" s="57"/>
      <c r="Q1426" s="57"/>
      <c r="R1426" s="57"/>
      <c r="S1426" s="61"/>
      <c r="T1426" s="57"/>
      <c r="U1426" s="57"/>
      <c r="V1426" s="57"/>
      <c r="W1426" s="57"/>
      <c r="X1426" s="57"/>
      <c r="Y1426" s="57"/>
      <c r="Z1426" s="57"/>
      <c r="AA1426" s="57"/>
      <c r="AB1426" s="57"/>
      <c r="AC1426" s="57"/>
      <c r="AD1426" s="57"/>
      <c r="AE1426" s="57"/>
      <c r="AF1426" s="57"/>
      <c r="AG1426" s="57"/>
      <c r="AH1426" s="57"/>
      <c r="AI1426" s="57"/>
      <c r="AJ1426" s="57"/>
      <c r="AK1426" s="57"/>
      <c r="AL1426" s="57"/>
      <c r="AM1426" s="57"/>
      <c r="AN1426" s="57"/>
      <c r="AO1426" s="57"/>
      <c r="AP1426" s="57"/>
      <c r="AQ1426" s="57"/>
      <c r="AR1426" s="57"/>
      <c r="AS1426" s="57"/>
      <c r="AT1426" s="57"/>
      <c r="AU1426" s="57"/>
      <c r="AV1426" s="57"/>
      <c r="AW1426" s="57"/>
      <c r="AX1426" s="57"/>
      <c r="AY1426" s="57"/>
      <c r="AZ1426" s="57"/>
      <c r="BA1426" s="57"/>
      <c r="BB1426" s="57"/>
      <c r="BC1426" s="57"/>
      <c r="BD1426" s="57"/>
      <c r="BE1426" s="57"/>
      <c r="BF1426" s="57"/>
    </row>
    <row r="1427" spans="1:58" s="59" customFormat="1" x14ac:dyDescent="0.25">
      <c r="A1427" s="53"/>
      <c r="B1427" s="60"/>
      <c r="C1427" s="57">
        <f t="shared" si="112"/>
        <v>0</v>
      </c>
      <c r="D1427" s="56"/>
      <c r="E1427" s="57">
        <f>[1]DETAY!$A$2</f>
        <v>0</v>
      </c>
      <c r="F1427" s="90">
        <f t="shared" si="113"/>
        <v>0</v>
      </c>
      <c r="G1427" s="92">
        <f t="shared" si="114"/>
        <v>0</v>
      </c>
      <c r="H1427" s="62" t="e">
        <f t="shared" si="115"/>
        <v>#DIV/0!</v>
      </c>
      <c r="I1427" s="57"/>
      <c r="J1427" s="57"/>
      <c r="K1427" s="57"/>
      <c r="L1427" s="57"/>
      <c r="M1427" s="58"/>
      <c r="N1427" s="57"/>
      <c r="O1427" s="57"/>
      <c r="P1427" s="57"/>
      <c r="Q1427" s="57"/>
      <c r="R1427" s="57"/>
      <c r="S1427" s="61"/>
      <c r="T1427" s="57"/>
      <c r="U1427" s="57"/>
      <c r="V1427" s="57"/>
      <c r="W1427" s="57"/>
      <c r="X1427" s="57"/>
      <c r="Y1427" s="57"/>
      <c r="Z1427" s="57"/>
      <c r="AA1427" s="57"/>
      <c r="AB1427" s="57"/>
      <c r="AC1427" s="57"/>
      <c r="AD1427" s="57"/>
      <c r="AE1427" s="57"/>
      <c r="AF1427" s="57"/>
      <c r="AG1427" s="57"/>
      <c r="AH1427" s="57"/>
      <c r="AI1427" s="57"/>
      <c r="AJ1427" s="57"/>
      <c r="AK1427" s="57"/>
      <c r="AL1427" s="57"/>
      <c r="AM1427" s="57"/>
      <c r="AN1427" s="57"/>
      <c r="AO1427" s="57"/>
      <c r="AP1427" s="57"/>
      <c r="AQ1427" s="57"/>
      <c r="AR1427" s="57"/>
      <c r="AS1427" s="57"/>
      <c r="AT1427" s="57"/>
      <c r="AU1427" s="57"/>
      <c r="AV1427" s="57"/>
      <c r="AW1427" s="57"/>
      <c r="AX1427" s="57"/>
      <c r="AY1427" s="57"/>
      <c r="AZ1427" s="57"/>
      <c r="BA1427" s="57"/>
      <c r="BB1427" s="57"/>
      <c r="BC1427" s="57"/>
      <c r="BD1427" s="57"/>
      <c r="BE1427" s="57"/>
      <c r="BF1427" s="57"/>
    </row>
    <row r="1428" spans="1:58" s="59" customFormat="1" x14ac:dyDescent="0.25">
      <c r="A1428" s="53"/>
      <c r="B1428" s="60"/>
      <c r="C1428" s="57">
        <f t="shared" si="112"/>
        <v>0</v>
      </c>
      <c r="D1428" s="56"/>
      <c r="E1428" s="57">
        <f>[1]DETAY!$A$2</f>
        <v>0</v>
      </c>
      <c r="F1428" s="90">
        <f t="shared" si="113"/>
        <v>0</v>
      </c>
      <c r="G1428" s="92">
        <f t="shared" si="114"/>
        <v>0</v>
      </c>
      <c r="H1428" s="62" t="e">
        <f t="shared" si="115"/>
        <v>#DIV/0!</v>
      </c>
      <c r="I1428" s="57"/>
      <c r="J1428" s="57"/>
      <c r="K1428" s="57"/>
      <c r="L1428" s="57"/>
      <c r="M1428" s="58"/>
      <c r="N1428" s="57"/>
      <c r="O1428" s="57"/>
      <c r="P1428" s="57"/>
      <c r="Q1428" s="57"/>
      <c r="R1428" s="57"/>
      <c r="S1428" s="61"/>
      <c r="T1428" s="57"/>
      <c r="U1428" s="57"/>
      <c r="V1428" s="57"/>
      <c r="W1428" s="57"/>
      <c r="X1428" s="57"/>
      <c r="Y1428" s="57"/>
      <c r="Z1428" s="57"/>
      <c r="AA1428" s="57"/>
      <c r="AB1428" s="57"/>
      <c r="AC1428" s="57"/>
      <c r="AD1428" s="57"/>
      <c r="AE1428" s="57"/>
      <c r="AF1428" s="57"/>
      <c r="AG1428" s="57"/>
      <c r="AH1428" s="57"/>
      <c r="AI1428" s="57"/>
      <c r="AJ1428" s="57"/>
      <c r="AK1428" s="57"/>
      <c r="AL1428" s="57"/>
      <c r="AM1428" s="57"/>
      <c r="AN1428" s="57"/>
      <c r="AO1428" s="57"/>
      <c r="AP1428" s="57"/>
      <c r="AQ1428" s="57"/>
      <c r="AR1428" s="57"/>
      <c r="AS1428" s="57"/>
      <c r="AT1428" s="57"/>
      <c r="AU1428" s="57"/>
      <c r="AV1428" s="57"/>
      <c r="AW1428" s="57"/>
      <c r="AX1428" s="57"/>
      <c r="AY1428" s="57"/>
      <c r="AZ1428" s="57"/>
      <c r="BA1428" s="57"/>
      <c r="BB1428" s="57"/>
      <c r="BC1428" s="57"/>
      <c r="BD1428" s="57"/>
      <c r="BE1428" s="57"/>
      <c r="BF1428" s="57"/>
    </row>
    <row r="1429" spans="1:58" s="59" customFormat="1" x14ac:dyDescent="0.25">
      <c r="A1429" s="53"/>
      <c r="B1429" s="60"/>
      <c r="C1429" s="57">
        <f t="shared" si="112"/>
        <v>0</v>
      </c>
      <c r="D1429" s="56"/>
      <c r="E1429" s="57">
        <f>[1]DETAY!$A$2</f>
        <v>0</v>
      </c>
      <c r="F1429" s="90">
        <f t="shared" si="113"/>
        <v>0</v>
      </c>
      <c r="G1429" s="92">
        <f t="shared" si="114"/>
        <v>0</v>
      </c>
      <c r="H1429" s="62" t="e">
        <f t="shared" si="115"/>
        <v>#DIV/0!</v>
      </c>
      <c r="I1429" s="57"/>
      <c r="J1429" s="57"/>
      <c r="K1429" s="57"/>
      <c r="L1429" s="57"/>
      <c r="M1429" s="58"/>
      <c r="N1429" s="57"/>
      <c r="O1429" s="57"/>
      <c r="P1429" s="57"/>
      <c r="Q1429" s="57"/>
      <c r="R1429" s="57"/>
      <c r="S1429" s="61"/>
      <c r="T1429" s="57"/>
      <c r="U1429" s="57"/>
      <c r="V1429" s="57"/>
      <c r="W1429" s="57"/>
      <c r="X1429" s="57"/>
      <c r="Y1429" s="57"/>
      <c r="Z1429" s="57"/>
      <c r="AA1429" s="57"/>
      <c r="AB1429" s="57"/>
      <c r="AC1429" s="57"/>
      <c r="AD1429" s="57"/>
      <c r="AE1429" s="57"/>
      <c r="AF1429" s="57"/>
      <c r="AG1429" s="57"/>
      <c r="AH1429" s="57"/>
      <c r="AI1429" s="57"/>
      <c r="AJ1429" s="57"/>
      <c r="AK1429" s="57"/>
      <c r="AL1429" s="57"/>
      <c r="AM1429" s="57"/>
      <c r="AN1429" s="57"/>
      <c r="AO1429" s="57"/>
      <c r="AP1429" s="57"/>
      <c r="AQ1429" s="57"/>
      <c r="AR1429" s="57"/>
      <c r="AS1429" s="57"/>
      <c r="AT1429" s="57"/>
      <c r="AU1429" s="57"/>
      <c r="AV1429" s="57"/>
      <c r="AW1429" s="57"/>
      <c r="AX1429" s="57"/>
      <c r="AY1429" s="57"/>
      <c r="AZ1429" s="57"/>
      <c r="BA1429" s="57"/>
      <c r="BB1429" s="57"/>
      <c r="BC1429" s="57"/>
      <c r="BD1429" s="57"/>
      <c r="BE1429" s="57"/>
      <c r="BF1429" s="57"/>
    </row>
    <row r="1430" spans="1:58" s="59" customFormat="1" x14ac:dyDescent="0.25">
      <c r="A1430" s="53"/>
      <c r="B1430" s="60"/>
      <c r="C1430" s="57">
        <f t="shared" si="112"/>
        <v>0</v>
      </c>
      <c r="D1430" s="56"/>
      <c r="E1430" s="57">
        <f>[1]DETAY!$A$2</f>
        <v>0</v>
      </c>
      <c r="F1430" s="90">
        <f t="shared" si="113"/>
        <v>0</v>
      </c>
      <c r="G1430" s="92">
        <f t="shared" si="114"/>
        <v>0</v>
      </c>
      <c r="H1430" s="62" t="e">
        <f t="shared" si="115"/>
        <v>#DIV/0!</v>
      </c>
      <c r="I1430" s="57"/>
      <c r="J1430" s="57"/>
      <c r="K1430" s="57"/>
      <c r="L1430" s="57"/>
      <c r="M1430" s="58"/>
      <c r="N1430" s="57"/>
      <c r="O1430" s="57"/>
      <c r="P1430" s="57"/>
      <c r="Q1430" s="57"/>
      <c r="R1430" s="57"/>
      <c r="S1430" s="61"/>
      <c r="T1430" s="57"/>
      <c r="U1430" s="57"/>
      <c r="V1430" s="57"/>
      <c r="W1430" s="57"/>
      <c r="X1430" s="57"/>
      <c r="Y1430" s="57"/>
      <c r="Z1430" s="57"/>
      <c r="AA1430" s="57"/>
      <c r="AB1430" s="57"/>
      <c r="AC1430" s="57"/>
      <c r="AD1430" s="57"/>
      <c r="AE1430" s="57"/>
      <c r="AF1430" s="57"/>
      <c r="AG1430" s="57"/>
      <c r="AH1430" s="57"/>
      <c r="AI1430" s="57"/>
      <c r="AJ1430" s="57"/>
      <c r="AK1430" s="57"/>
      <c r="AL1430" s="57"/>
      <c r="AM1430" s="57"/>
      <c r="AN1430" s="57"/>
      <c r="AO1430" s="57"/>
      <c r="AP1430" s="57"/>
      <c r="AQ1430" s="57"/>
      <c r="AR1430" s="57"/>
      <c r="AS1430" s="57"/>
      <c r="AT1430" s="57"/>
      <c r="AU1430" s="57"/>
      <c r="AV1430" s="57"/>
      <c r="AW1430" s="57"/>
      <c r="AX1430" s="57"/>
      <c r="AY1430" s="57"/>
      <c r="AZ1430" s="57"/>
      <c r="BA1430" s="57"/>
      <c r="BB1430" s="57"/>
      <c r="BC1430" s="57"/>
      <c r="BD1430" s="57"/>
      <c r="BE1430" s="57"/>
      <c r="BF1430" s="57"/>
    </row>
    <row r="1431" spans="1:58" s="59" customFormat="1" x14ac:dyDescent="0.25">
      <c r="A1431" s="53"/>
      <c r="B1431" s="60"/>
      <c r="C1431" s="57">
        <f t="shared" si="112"/>
        <v>0</v>
      </c>
      <c r="D1431" s="56"/>
      <c r="E1431" s="57">
        <f>[1]DETAY!$A$2</f>
        <v>0</v>
      </c>
      <c r="F1431" s="90">
        <f t="shared" si="113"/>
        <v>0</v>
      </c>
      <c r="G1431" s="92">
        <f t="shared" si="114"/>
        <v>0</v>
      </c>
      <c r="H1431" s="62" t="e">
        <f t="shared" si="115"/>
        <v>#DIV/0!</v>
      </c>
      <c r="I1431" s="57"/>
      <c r="J1431" s="57"/>
      <c r="K1431" s="57"/>
      <c r="L1431" s="57"/>
      <c r="M1431" s="58"/>
      <c r="N1431" s="57"/>
      <c r="O1431" s="57"/>
      <c r="P1431" s="57"/>
      <c r="Q1431" s="57"/>
      <c r="R1431" s="57"/>
      <c r="S1431" s="61"/>
      <c r="T1431" s="57"/>
      <c r="U1431" s="57"/>
      <c r="V1431" s="57"/>
      <c r="W1431" s="57"/>
      <c r="X1431" s="57"/>
      <c r="Y1431" s="57"/>
      <c r="Z1431" s="57"/>
      <c r="AA1431" s="57"/>
      <c r="AB1431" s="57"/>
      <c r="AC1431" s="57"/>
      <c r="AD1431" s="57"/>
      <c r="AE1431" s="57"/>
      <c r="AF1431" s="57"/>
      <c r="AG1431" s="57"/>
      <c r="AH1431" s="57"/>
      <c r="AI1431" s="57"/>
      <c r="AJ1431" s="57"/>
      <c r="AK1431" s="57"/>
      <c r="AL1431" s="57"/>
      <c r="AM1431" s="57"/>
      <c r="AN1431" s="57"/>
      <c r="AO1431" s="57"/>
      <c r="AP1431" s="57"/>
      <c r="AQ1431" s="57"/>
      <c r="AR1431" s="57"/>
      <c r="AS1431" s="57"/>
      <c r="AT1431" s="57"/>
      <c r="AU1431" s="57"/>
      <c r="AV1431" s="57"/>
      <c r="AW1431" s="57"/>
      <c r="AX1431" s="57"/>
      <c r="AY1431" s="57"/>
      <c r="AZ1431" s="57"/>
      <c r="BA1431" s="57"/>
      <c r="BB1431" s="57"/>
      <c r="BC1431" s="57"/>
      <c r="BD1431" s="57"/>
      <c r="BE1431" s="57"/>
      <c r="BF1431" s="57"/>
    </row>
    <row r="1432" spans="1:58" s="59" customFormat="1" x14ac:dyDescent="0.25">
      <c r="A1432" s="53"/>
      <c r="B1432" s="60"/>
      <c r="C1432" s="57">
        <f t="shared" si="112"/>
        <v>0</v>
      </c>
      <c r="D1432" s="56"/>
      <c r="E1432" s="57">
        <f>[1]DETAY!$A$2</f>
        <v>0</v>
      </c>
      <c r="F1432" s="90">
        <f t="shared" si="113"/>
        <v>0</v>
      </c>
      <c r="G1432" s="92">
        <f t="shared" si="114"/>
        <v>0</v>
      </c>
      <c r="H1432" s="62" t="e">
        <f t="shared" si="115"/>
        <v>#DIV/0!</v>
      </c>
      <c r="I1432" s="57"/>
      <c r="J1432" s="57"/>
      <c r="K1432" s="57"/>
      <c r="L1432" s="57"/>
      <c r="M1432" s="58"/>
      <c r="N1432" s="57"/>
      <c r="O1432" s="57"/>
      <c r="P1432" s="57"/>
      <c r="Q1432" s="57"/>
      <c r="R1432" s="57"/>
      <c r="S1432" s="61"/>
      <c r="T1432" s="57"/>
      <c r="U1432" s="57"/>
      <c r="V1432" s="57"/>
      <c r="W1432" s="57"/>
      <c r="X1432" s="57"/>
      <c r="Y1432" s="57"/>
      <c r="Z1432" s="57"/>
      <c r="AA1432" s="57"/>
      <c r="AB1432" s="57"/>
      <c r="AC1432" s="57"/>
      <c r="AD1432" s="57"/>
      <c r="AE1432" s="57"/>
      <c r="AF1432" s="57"/>
      <c r="AG1432" s="57"/>
      <c r="AH1432" s="57"/>
      <c r="AI1432" s="57"/>
      <c r="AJ1432" s="57"/>
      <c r="AK1432" s="57"/>
      <c r="AL1432" s="57"/>
      <c r="AM1432" s="57"/>
      <c r="AN1432" s="57"/>
      <c r="AO1432" s="57"/>
      <c r="AP1432" s="57"/>
      <c r="AQ1432" s="57"/>
      <c r="AR1432" s="57"/>
      <c r="AS1432" s="57"/>
      <c r="AT1432" s="57"/>
      <c r="AU1432" s="57"/>
      <c r="AV1432" s="57"/>
      <c r="AW1432" s="57"/>
      <c r="AX1432" s="57"/>
      <c r="AY1432" s="57"/>
      <c r="AZ1432" s="57"/>
      <c r="BA1432" s="57"/>
      <c r="BB1432" s="57"/>
      <c r="BC1432" s="57"/>
      <c r="BD1432" s="57"/>
      <c r="BE1432" s="57"/>
      <c r="BF1432" s="57"/>
    </row>
    <row r="1433" spans="1:58" s="59" customFormat="1" x14ac:dyDescent="0.25">
      <c r="A1433" s="53"/>
      <c r="B1433" s="60"/>
      <c r="C1433" s="57">
        <f t="shared" si="112"/>
        <v>0</v>
      </c>
      <c r="D1433" s="56"/>
      <c r="E1433" s="57">
        <f>[1]DETAY!$A$2</f>
        <v>0</v>
      </c>
      <c r="F1433" s="90">
        <f t="shared" si="113"/>
        <v>0</v>
      </c>
      <c r="G1433" s="92">
        <f t="shared" si="114"/>
        <v>0</v>
      </c>
      <c r="H1433" s="62" t="e">
        <f t="shared" si="115"/>
        <v>#DIV/0!</v>
      </c>
      <c r="I1433" s="57"/>
      <c r="J1433" s="57"/>
      <c r="K1433" s="57"/>
      <c r="L1433" s="57"/>
      <c r="M1433" s="58"/>
      <c r="N1433" s="57"/>
      <c r="O1433" s="57"/>
      <c r="P1433" s="57"/>
      <c r="Q1433" s="57"/>
      <c r="R1433" s="57"/>
      <c r="S1433" s="61"/>
      <c r="T1433" s="57"/>
      <c r="U1433" s="57"/>
      <c r="V1433" s="57"/>
      <c r="W1433" s="57"/>
      <c r="X1433" s="57"/>
      <c r="Y1433" s="57"/>
      <c r="Z1433" s="57"/>
      <c r="AA1433" s="57"/>
      <c r="AB1433" s="57"/>
      <c r="AC1433" s="57"/>
      <c r="AD1433" s="57"/>
      <c r="AE1433" s="57"/>
      <c r="AF1433" s="57"/>
      <c r="AG1433" s="57"/>
      <c r="AH1433" s="57"/>
      <c r="AI1433" s="57"/>
      <c r="AJ1433" s="57"/>
      <c r="AK1433" s="57"/>
      <c r="AL1433" s="57"/>
      <c r="AM1433" s="57"/>
      <c r="AN1433" s="57"/>
      <c r="AO1433" s="57"/>
      <c r="AP1433" s="57"/>
      <c r="AQ1433" s="57"/>
      <c r="AR1433" s="57"/>
      <c r="AS1433" s="57"/>
      <c r="AT1433" s="57"/>
      <c r="AU1433" s="57"/>
      <c r="AV1433" s="57"/>
      <c r="AW1433" s="57"/>
      <c r="AX1433" s="57"/>
      <c r="AY1433" s="57"/>
      <c r="AZ1433" s="57"/>
      <c r="BA1433" s="57"/>
      <c r="BB1433" s="57"/>
      <c r="BC1433" s="57"/>
      <c r="BD1433" s="57"/>
      <c r="BE1433" s="57"/>
      <c r="BF1433" s="57"/>
    </row>
    <row r="1434" spans="1:58" s="59" customFormat="1" x14ac:dyDescent="0.25">
      <c r="A1434" s="53"/>
      <c r="B1434" s="60"/>
      <c r="C1434" s="57">
        <f t="shared" si="112"/>
        <v>0</v>
      </c>
      <c r="D1434" s="56"/>
      <c r="E1434" s="57">
        <f>[1]DETAY!$A$2</f>
        <v>0</v>
      </c>
      <c r="F1434" s="90">
        <f t="shared" si="113"/>
        <v>0</v>
      </c>
      <c r="G1434" s="92">
        <f t="shared" si="114"/>
        <v>0</v>
      </c>
      <c r="H1434" s="62" t="e">
        <f t="shared" si="115"/>
        <v>#DIV/0!</v>
      </c>
      <c r="I1434" s="57"/>
      <c r="J1434" s="57"/>
      <c r="K1434" s="57"/>
      <c r="L1434" s="57"/>
      <c r="M1434" s="58"/>
      <c r="N1434" s="57"/>
      <c r="O1434" s="57"/>
      <c r="P1434" s="57"/>
      <c r="Q1434" s="57"/>
      <c r="R1434" s="57"/>
      <c r="S1434" s="61"/>
      <c r="T1434" s="57"/>
      <c r="U1434" s="57"/>
      <c r="V1434" s="57"/>
      <c r="W1434" s="57"/>
      <c r="X1434" s="57"/>
      <c r="Y1434" s="57"/>
      <c r="Z1434" s="57"/>
      <c r="AA1434" s="57"/>
      <c r="AB1434" s="57"/>
      <c r="AC1434" s="57"/>
      <c r="AD1434" s="57"/>
      <c r="AE1434" s="57"/>
      <c r="AF1434" s="57"/>
      <c r="AG1434" s="57"/>
      <c r="AH1434" s="57"/>
      <c r="AI1434" s="57"/>
      <c r="AJ1434" s="57"/>
      <c r="AK1434" s="57"/>
      <c r="AL1434" s="57"/>
      <c r="AM1434" s="57"/>
      <c r="AN1434" s="57"/>
      <c r="AO1434" s="57"/>
      <c r="AP1434" s="57"/>
      <c r="AQ1434" s="57"/>
      <c r="AR1434" s="57"/>
      <c r="AS1434" s="57"/>
      <c r="AT1434" s="57"/>
      <c r="AU1434" s="57"/>
      <c r="AV1434" s="57"/>
      <c r="AW1434" s="57"/>
      <c r="AX1434" s="57"/>
      <c r="AY1434" s="57"/>
      <c r="AZ1434" s="57"/>
      <c r="BA1434" s="57"/>
      <c r="BB1434" s="57"/>
      <c r="BC1434" s="57"/>
      <c r="BD1434" s="57"/>
      <c r="BE1434" s="57"/>
      <c r="BF1434" s="57"/>
    </row>
    <row r="1435" spans="1:58" s="59" customFormat="1" x14ac:dyDescent="0.25">
      <c r="A1435" s="53"/>
      <c r="B1435" s="60"/>
      <c r="C1435" s="57">
        <f t="shared" si="112"/>
        <v>0</v>
      </c>
      <c r="D1435" s="56"/>
      <c r="E1435" s="57">
        <f>[1]DETAY!$A$2</f>
        <v>0</v>
      </c>
      <c r="F1435" s="90">
        <f t="shared" si="113"/>
        <v>0</v>
      </c>
      <c r="G1435" s="92">
        <f t="shared" si="114"/>
        <v>0</v>
      </c>
      <c r="H1435" s="62" t="e">
        <f t="shared" si="115"/>
        <v>#DIV/0!</v>
      </c>
      <c r="I1435" s="57"/>
      <c r="J1435" s="57"/>
      <c r="K1435" s="57"/>
      <c r="L1435" s="57"/>
      <c r="M1435" s="58"/>
      <c r="N1435" s="57"/>
      <c r="O1435" s="57"/>
      <c r="P1435" s="57"/>
      <c r="Q1435" s="57"/>
      <c r="R1435" s="57"/>
      <c r="S1435" s="61"/>
      <c r="T1435" s="57"/>
      <c r="U1435" s="57"/>
      <c r="V1435" s="57"/>
      <c r="W1435" s="57"/>
      <c r="X1435" s="57"/>
      <c r="Y1435" s="57"/>
      <c r="Z1435" s="57"/>
      <c r="AA1435" s="57"/>
      <c r="AB1435" s="57"/>
      <c r="AC1435" s="57"/>
      <c r="AD1435" s="57"/>
      <c r="AE1435" s="57"/>
      <c r="AF1435" s="57"/>
      <c r="AG1435" s="57"/>
      <c r="AH1435" s="57"/>
      <c r="AI1435" s="57"/>
      <c r="AJ1435" s="57"/>
      <c r="AK1435" s="57"/>
      <c r="AL1435" s="57"/>
      <c r="AM1435" s="57"/>
      <c r="AN1435" s="57"/>
      <c r="AO1435" s="57"/>
      <c r="AP1435" s="57"/>
      <c r="AQ1435" s="57"/>
      <c r="AR1435" s="57"/>
      <c r="AS1435" s="57"/>
      <c r="AT1435" s="57"/>
      <c r="AU1435" s="57"/>
      <c r="AV1435" s="57"/>
      <c r="AW1435" s="57"/>
      <c r="AX1435" s="57"/>
      <c r="AY1435" s="57"/>
      <c r="AZ1435" s="57"/>
      <c r="BA1435" s="57"/>
      <c r="BB1435" s="57"/>
      <c r="BC1435" s="57"/>
      <c r="BD1435" s="57"/>
      <c r="BE1435" s="57"/>
      <c r="BF1435" s="57"/>
    </row>
    <row r="1436" spans="1:58" s="59" customFormat="1" x14ac:dyDescent="0.25">
      <c r="A1436" s="53"/>
      <c r="B1436" s="60"/>
      <c r="C1436" s="57">
        <f t="shared" si="112"/>
        <v>0</v>
      </c>
      <c r="D1436" s="56"/>
      <c r="E1436" s="57">
        <f>[1]DETAY!$A$2</f>
        <v>0</v>
      </c>
      <c r="F1436" s="90">
        <f t="shared" si="113"/>
        <v>0</v>
      </c>
      <c r="G1436" s="92">
        <f t="shared" si="114"/>
        <v>0</v>
      </c>
      <c r="H1436" s="62" t="e">
        <f t="shared" si="115"/>
        <v>#DIV/0!</v>
      </c>
      <c r="I1436" s="57"/>
      <c r="J1436" s="57"/>
      <c r="K1436" s="57"/>
      <c r="L1436" s="57"/>
      <c r="M1436" s="58"/>
      <c r="N1436" s="57"/>
      <c r="O1436" s="57"/>
      <c r="P1436" s="57"/>
      <c r="Q1436" s="57"/>
      <c r="R1436" s="57"/>
      <c r="S1436" s="61"/>
      <c r="T1436" s="57"/>
      <c r="U1436" s="57"/>
      <c r="V1436" s="57"/>
      <c r="W1436" s="57"/>
      <c r="X1436" s="57"/>
      <c r="Y1436" s="57"/>
      <c r="Z1436" s="57"/>
      <c r="AA1436" s="57"/>
      <c r="AB1436" s="57"/>
      <c r="AC1436" s="57"/>
      <c r="AD1436" s="57"/>
      <c r="AE1436" s="57"/>
      <c r="AF1436" s="57"/>
      <c r="AG1436" s="57"/>
      <c r="AH1436" s="57"/>
      <c r="AI1436" s="57"/>
      <c r="AJ1436" s="57"/>
      <c r="AK1436" s="57"/>
      <c r="AL1436" s="57"/>
      <c r="AM1436" s="57"/>
      <c r="AN1436" s="57"/>
      <c r="AO1436" s="57"/>
      <c r="AP1436" s="57"/>
      <c r="AQ1436" s="57"/>
      <c r="AR1436" s="57"/>
      <c r="AS1436" s="57"/>
      <c r="AT1436" s="57"/>
      <c r="AU1436" s="57"/>
      <c r="AV1436" s="57"/>
      <c r="AW1436" s="57"/>
      <c r="AX1436" s="57"/>
      <c r="AY1436" s="57"/>
      <c r="AZ1436" s="57"/>
      <c r="BA1436" s="57"/>
      <c r="BB1436" s="57"/>
      <c r="BC1436" s="57"/>
      <c r="BD1436" s="57"/>
      <c r="BE1436" s="57"/>
      <c r="BF1436" s="57"/>
    </row>
    <row r="1437" spans="1:58" s="59" customFormat="1" x14ac:dyDescent="0.25">
      <c r="A1437" s="53"/>
      <c r="B1437" s="60"/>
      <c r="C1437" s="57">
        <f t="shared" si="112"/>
        <v>0</v>
      </c>
      <c r="D1437" s="56"/>
      <c r="E1437" s="57">
        <f>[1]DETAY!$A$2</f>
        <v>0</v>
      </c>
      <c r="F1437" s="90">
        <f t="shared" si="113"/>
        <v>0</v>
      </c>
      <c r="G1437" s="92">
        <f t="shared" si="114"/>
        <v>0</v>
      </c>
      <c r="H1437" s="62" t="e">
        <f t="shared" si="115"/>
        <v>#DIV/0!</v>
      </c>
      <c r="I1437" s="57"/>
      <c r="J1437" s="57"/>
      <c r="K1437" s="57"/>
      <c r="L1437" s="57"/>
      <c r="M1437" s="58"/>
      <c r="N1437" s="57"/>
      <c r="O1437" s="57"/>
      <c r="P1437" s="57"/>
      <c r="Q1437" s="57"/>
      <c r="R1437" s="57"/>
      <c r="S1437" s="61"/>
      <c r="T1437" s="57"/>
      <c r="U1437" s="57"/>
      <c r="V1437" s="57"/>
      <c r="W1437" s="57"/>
      <c r="X1437" s="57"/>
      <c r="Y1437" s="57"/>
      <c r="Z1437" s="57"/>
      <c r="AA1437" s="57"/>
      <c r="AB1437" s="57"/>
      <c r="AC1437" s="57"/>
      <c r="AD1437" s="57"/>
      <c r="AE1437" s="57"/>
      <c r="AF1437" s="57"/>
      <c r="AG1437" s="57"/>
      <c r="AH1437" s="57"/>
      <c r="AI1437" s="57"/>
      <c r="AJ1437" s="57"/>
      <c r="AK1437" s="57"/>
      <c r="AL1437" s="57"/>
      <c r="AM1437" s="57"/>
      <c r="AN1437" s="57"/>
      <c r="AO1437" s="57"/>
      <c r="AP1437" s="57"/>
      <c r="AQ1437" s="57"/>
      <c r="AR1437" s="57"/>
      <c r="AS1437" s="57"/>
      <c r="AT1437" s="57"/>
      <c r="AU1437" s="57"/>
      <c r="AV1437" s="57"/>
      <c r="AW1437" s="57"/>
      <c r="AX1437" s="57"/>
      <c r="AY1437" s="57"/>
      <c r="AZ1437" s="57"/>
      <c r="BA1437" s="57"/>
      <c r="BB1437" s="57"/>
      <c r="BC1437" s="57"/>
      <c r="BD1437" s="57"/>
      <c r="BE1437" s="57"/>
      <c r="BF1437" s="57"/>
    </row>
    <row r="1438" spans="1:58" s="59" customFormat="1" x14ac:dyDescent="0.25">
      <c r="A1438" s="53"/>
      <c r="B1438" s="60"/>
      <c r="C1438" s="57">
        <f t="shared" si="112"/>
        <v>0</v>
      </c>
      <c r="D1438" s="56"/>
      <c r="E1438" s="57">
        <f>[1]DETAY!$A$2</f>
        <v>0</v>
      </c>
      <c r="F1438" s="90">
        <f t="shared" si="113"/>
        <v>0</v>
      </c>
      <c r="G1438" s="92">
        <f t="shared" si="114"/>
        <v>0</v>
      </c>
      <c r="H1438" s="62" t="e">
        <f t="shared" si="115"/>
        <v>#DIV/0!</v>
      </c>
      <c r="I1438" s="57"/>
      <c r="J1438" s="57"/>
      <c r="K1438" s="57"/>
      <c r="L1438" s="57"/>
      <c r="M1438" s="58"/>
      <c r="N1438" s="57"/>
      <c r="O1438" s="57"/>
      <c r="P1438" s="57"/>
      <c r="Q1438" s="57"/>
      <c r="R1438" s="57"/>
      <c r="S1438" s="61"/>
      <c r="T1438" s="57"/>
      <c r="U1438" s="57"/>
      <c r="V1438" s="57"/>
      <c r="W1438" s="57"/>
      <c r="X1438" s="57"/>
      <c r="Y1438" s="57"/>
      <c r="Z1438" s="57"/>
      <c r="AA1438" s="57"/>
      <c r="AB1438" s="57"/>
      <c r="AC1438" s="57"/>
      <c r="AD1438" s="57"/>
      <c r="AE1438" s="57"/>
      <c r="AF1438" s="57"/>
      <c r="AG1438" s="57"/>
      <c r="AH1438" s="57"/>
      <c r="AI1438" s="57"/>
      <c r="AJ1438" s="57"/>
      <c r="AK1438" s="57"/>
      <c r="AL1438" s="57"/>
      <c r="AM1438" s="57"/>
      <c r="AN1438" s="57"/>
      <c r="AO1438" s="57"/>
      <c r="AP1438" s="57"/>
      <c r="AQ1438" s="57"/>
      <c r="AR1438" s="57"/>
      <c r="AS1438" s="57"/>
      <c r="AT1438" s="57"/>
      <c r="AU1438" s="57"/>
      <c r="AV1438" s="57"/>
      <c r="AW1438" s="57"/>
      <c r="AX1438" s="57"/>
      <c r="AY1438" s="57"/>
      <c r="AZ1438" s="57"/>
      <c r="BA1438" s="57"/>
      <c r="BB1438" s="57"/>
      <c r="BC1438" s="57"/>
      <c r="BD1438" s="57"/>
      <c r="BE1438" s="57"/>
      <c r="BF1438" s="57"/>
    </row>
    <row r="1439" spans="1:58" s="59" customFormat="1" x14ac:dyDescent="0.25">
      <c r="A1439" s="53"/>
      <c r="B1439" s="60"/>
      <c r="C1439" s="57">
        <f t="shared" si="112"/>
        <v>0</v>
      </c>
      <c r="D1439" s="56"/>
      <c r="E1439" s="57">
        <f>[1]DETAY!$A$2</f>
        <v>0</v>
      </c>
      <c r="F1439" s="90">
        <f t="shared" si="113"/>
        <v>0</v>
      </c>
      <c r="G1439" s="92">
        <f t="shared" si="114"/>
        <v>0</v>
      </c>
      <c r="H1439" s="62" t="e">
        <f t="shared" si="115"/>
        <v>#DIV/0!</v>
      </c>
      <c r="I1439" s="57"/>
      <c r="J1439" s="57"/>
      <c r="K1439" s="57"/>
      <c r="L1439" s="57"/>
      <c r="M1439" s="58"/>
      <c r="N1439" s="57"/>
      <c r="O1439" s="57"/>
      <c r="P1439" s="57"/>
      <c r="Q1439" s="57"/>
      <c r="R1439" s="57"/>
      <c r="S1439" s="61"/>
      <c r="T1439" s="57"/>
      <c r="U1439" s="57"/>
      <c r="V1439" s="57"/>
      <c r="W1439" s="57"/>
      <c r="X1439" s="57"/>
      <c r="Y1439" s="57"/>
      <c r="Z1439" s="57"/>
      <c r="AA1439" s="57"/>
      <c r="AB1439" s="57"/>
      <c r="AC1439" s="57"/>
      <c r="AD1439" s="57"/>
      <c r="AE1439" s="57"/>
      <c r="AF1439" s="57"/>
      <c r="AG1439" s="57"/>
      <c r="AH1439" s="57"/>
      <c r="AI1439" s="57"/>
      <c r="AJ1439" s="57"/>
      <c r="AK1439" s="57"/>
      <c r="AL1439" s="57"/>
      <c r="AM1439" s="57"/>
      <c r="AN1439" s="57"/>
      <c r="AO1439" s="57"/>
      <c r="AP1439" s="57"/>
      <c r="AQ1439" s="57"/>
      <c r="AR1439" s="57"/>
      <c r="AS1439" s="57"/>
      <c r="AT1439" s="57"/>
      <c r="AU1439" s="57"/>
      <c r="AV1439" s="57"/>
      <c r="AW1439" s="57"/>
      <c r="AX1439" s="57"/>
      <c r="AY1439" s="57"/>
      <c r="AZ1439" s="57"/>
      <c r="BA1439" s="57"/>
      <c r="BB1439" s="57"/>
      <c r="BC1439" s="57"/>
      <c r="BD1439" s="57"/>
      <c r="BE1439" s="57"/>
      <c r="BF1439" s="57"/>
    </row>
    <row r="1440" spans="1:58" s="59" customFormat="1" x14ac:dyDescent="0.25">
      <c r="A1440" s="53"/>
      <c r="B1440" s="60"/>
      <c r="C1440" s="57">
        <f t="shared" si="112"/>
        <v>0</v>
      </c>
      <c r="D1440" s="56"/>
      <c r="E1440" s="57">
        <f>[1]DETAY!$A$2</f>
        <v>0</v>
      </c>
      <c r="F1440" s="90">
        <f t="shared" si="113"/>
        <v>0</v>
      </c>
      <c r="G1440" s="92">
        <f t="shared" si="114"/>
        <v>0</v>
      </c>
      <c r="H1440" s="62" t="e">
        <f t="shared" si="115"/>
        <v>#DIV/0!</v>
      </c>
      <c r="I1440" s="57"/>
      <c r="J1440" s="57"/>
      <c r="K1440" s="57"/>
      <c r="L1440" s="57"/>
      <c r="M1440" s="58"/>
      <c r="N1440" s="57"/>
      <c r="O1440" s="57"/>
      <c r="P1440" s="57"/>
      <c r="Q1440" s="57"/>
      <c r="R1440" s="57"/>
      <c r="S1440" s="61"/>
      <c r="T1440" s="57"/>
      <c r="U1440" s="57"/>
      <c r="V1440" s="57"/>
      <c r="W1440" s="57"/>
      <c r="X1440" s="57"/>
      <c r="Y1440" s="57"/>
      <c r="Z1440" s="57"/>
      <c r="AA1440" s="57"/>
      <c r="AB1440" s="57"/>
      <c r="AC1440" s="57"/>
      <c r="AD1440" s="57"/>
      <c r="AE1440" s="57"/>
      <c r="AF1440" s="57"/>
      <c r="AG1440" s="57"/>
      <c r="AH1440" s="57"/>
      <c r="AI1440" s="57"/>
      <c r="AJ1440" s="57"/>
      <c r="AK1440" s="57"/>
      <c r="AL1440" s="57"/>
      <c r="AM1440" s="57"/>
      <c r="AN1440" s="57"/>
      <c r="AO1440" s="57"/>
      <c r="AP1440" s="57"/>
      <c r="AQ1440" s="57"/>
      <c r="AR1440" s="57"/>
      <c r="AS1440" s="57"/>
      <c r="AT1440" s="57"/>
      <c r="AU1440" s="57"/>
      <c r="AV1440" s="57"/>
      <c r="AW1440" s="57"/>
      <c r="AX1440" s="57"/>
      <c r="AY1440" s="57"/>
      <c r="AZ1440" s="57"/>
      <c r="BA1440" s="57"/>
      <c r="BB1440" s="57"/>
      <c r="BC1440" s="57"/>
      <c r="BD1440" s="57"/>
      <c r="BE1440" s="57"/>
      <c r="BF1440" s="57"/>
    </row>
    <row r="1441" spans="1:58" s="59" customFormat="1" x14ac:dyDescent="0.25">
      <c r="A1441" s="53"/>
      <c r="B1441" s="60"/>
      <c r="C1441" s="57">
        <f t="shared" si="112"/>
        <v>0</v>
      </c>
      <c r="D1441" s="56"/>
      <c r="E1441" s="57">
        <f>[1]DETAY!$A$2</f>
        <v>0</v>
      </c>
      <c r="F1441" s="90">
        <f t="shared" si="113"/>
        <v>0</v>
      </c>
      <c r="G1441" s="92">
        <f t="shared" si="114"/>
        <v>0</v>
      </c>
      <c r="H1441" s="62" t="e">
        <f t="shared" si="115"/>
        <v>#DIV/0!</v>
      </c>
      <c r="I1441" s="57"/>
      <c r="J1441" s="57"/>
      <c r="K1441" s="57"/>
      <c r="L1441" s="57"/>
      <c r="M1441" s="58"/>
      <c r="N1441" s="57"/>
      <c r="O1441" s="57"/>
      <c r="P1441" s="57"/>
      <c r="Q1441" s="57"/>
      <c r="R1441" s="57"/>
      <c r="S1441" s="61"/>
      <c r="T1441" s="57"/>
      <c r="U1441" s="57"/>
      <c r="V1441" s="57"/>
      <c r="W1441" s="57"/>
      <c r="X1441" s="57"/>
      <c r="Y1441" s="57"/>
      <c r="Z1441" s="57"/>
      <c r="AA1441" s="57"/>
      <c r="AB1441" s="57"/>
      <c r="AC1441" s="57"/>
      <c r="AD1441" s="57"/>
      <c r="AE1441" s="57"/>
      <c r="AF1441" s="57"/>
      <c r="AG1441" s="57"/>
      <c r="AH1441" s="57"/>
      <c r="AI1441" s="57"/>
      <c r="AJ1441" s="57"/>
      <c r="AK1441" s="57"/>
      <c r="AL1441" s="57"/>
      <c r="AM1441" s="57"/>
      <c r="AN1441" s="57"/>
      <c r="AO1441" s="57"/>
      <c r="AP1441" s="57"/>
      <c r="AQ1441" s="57"/>
      <c r="AR1441" s="57"/>
      <c r="AS1441" s="57"/>
      <c r="AT1441" s="57"/>
      <c r="AU1441" s="57"/>
      <c r="AV1441" s="57"/>
      <c r="AW1441" s="57"/>
      <c r="AX1441" s="57"/>
      <c r="AY1441" s="57"/>
      <c r="AZ1441" s="57"/>
      <c r="BA1441" s="57"/>
      <c r="BB1441" s="57"/>
      <c r="BC1441" s="57"/>
      <c r="BD1441" s="57"/>
      <c r="BE1441" s="57"/>
      <c r="BF1441" s="57"/>
    </row>
    <row r="1442" spans="1:58" s="59" customFormat="1" x14ac:dyDescent="0.25">
      <c r="A1442" s="53"/>
      <c r="B1442" s="60"/>
      <c r="C1442" s="57">
        <f t="shared" si="112"/>
        <v>0</v>
      </c>
      <c r="D1442" s="56"/>
      <c r="E1442" s="57">
        <f>[1]DETAY!$A$2</f>
        <v>0</v>
      </c>
      <c r="F1442" s="90">
        <f t="shared" si="113"/>
        <v>0</v>
      </c>
      <c r="G1442" s="92">
        <f t="shared" si="114"/>
        <v>0</v>
      </c>
      <c r="H1442" s="62" t="e">
        <f t="shared" si="115"/>
        <v>#DIV/0!</v>
      </c>
      <c r="I1442" s="57"/>
      <c r="J1442" s="57"/>
      <c r="K1442" s="57"/>
      <c r="L1442" s="57"/>
      <c r="M1442" s="58"/>
      <c r="N1442" s="57"/>
      <c r="O1442" s="57"/>
      <c r="P1442" s="57"/>
      <c r="Q1442" s="57"/>
      <c r="R1442" s="57"/>
      <c r="S1442" s="61"/>
      <c r="T1442" s="57"/>
      <c r="U1442" s="57"/>
      <c r="V1442" s="57"/>
      <c r="W1442" s="57"/>
      <c r="X1442" s="57"/>
      <c r="Y1442" s="57"/>
      <c r="Z1442" s="57"/>
      <c r="AA1442" s="57"/>
      <c r="AB1442" s="57"/>
      <c r="AC1442" s="57"/>
      <c r="AD1442" s="57"/>
      <c r="AE1442" s="57"/>
      <c r="AF1442" s="57"/>
      <c r="AG1442" s="57"/>
      <c r="AH1442" s="57"/>
      <c r="AI1442" s="57"/>
      <c r="AJ1442" s="57"/>
      <c r="AK1442" s="57"/>
      <c r="AL1442" s="57"/>
      <c r="AM1442" s="57"/>
      <c r="AN1442" s="57"/>
      <c r="AO1442" s="57"/>
      <c r="AP1442" s="57"/>
      <c r="AQ1442" s="57"/>
      <c r="AR1442" s="57"/>
      <c r="AS1442" s="57"/>
      <c r="AT1442" s="57"/>
      <c r="AU1442" s="57"/>
      <c r="AV1442" s="57"/>
      <c r="AW1442" s="57"/>
      <c r="AX1442" s="57"/>
      <c r="AY1442" s="57"/>
      <c r="AZ1442" s="57"/>
      <c r="BA1442" s="57"/>
      <c r="BB1442" s="57"/>
      <c r="BC1442" s="57"/>
      <c r="BD1442" s="57"/>
      <c r="BE1442" s="57"/>
      <c r="BF1442" s="57"/>
    </row>
    <row r="1443" spans="1:58" s="59" customFormat="1" x14ac:dyDescent="0.25">
      <c r="A1443" s="53"/>
      <c r="B1443" s="60"/>
      <c r="C1443" s="57">
        <f t="shared" si="112"/>
        <v>0</v>
      </c>
      <c r="D1443" s="56"/>
      <c r="E1443" s="57">
        <f>[1]DETAY!$A$2</f>
        <v>0</v>
      </c>
      <c r="F1443" s="90">
        <f t="shared" si="113"/>
        <v>0</v>
      </c>
      <c r="G1443" s="92">
        <f t="shared" si="114"/>
        <v>0</v>
      </c>
      <c r="H1443" s="62" t="e">
        <f t="shared" si="115"/>
        <v>#DIV/0!</v>
      </c>
      <c r="I1443" s="57"/>
      <c r="J1443" s="57"/>
      <c r="K1443" s="57"/>
      <c r="L1443" s="57"/>
      <c r="M1443" s="58"/>
      <c r="N1443" s="57"/>
      <c r="O1443" s="57"/>
      <c r="P1443" s="57"/>
      <c r="Q1443" s="57"/>
      <c r="R1443" s="57"/>
      <c r="S1443" s="61"/>
      <c r="T1443" s="57"/>
      <c r="U1443" s="57"/>
      <c r="V1443" s="57"/>
      <c r="W1443" s="57"/>
      <c r="X1443" s="57"/>
      <c r="Y1443" s="57"/>
      <c r="Z1443" s="57"/>
      <c r="AA1443" s="57"/>
      <c r="AB1443" s="57"/>
      <c r="AC1443" s="57"/>
      <c r="AD1443" s="57"/>
      <c r="AE1443" s="57"/>
      <c r="AF1443" s="57"/>
      <c r="AG1443" s="57"/>
      <c r="AH1443" s="57"/>
      <c r="AI1443" s="57"/>
      <c r="AJ1443" s="57"/>
      <c r="AK1443" s="57"/>
      <c r="AL1443" s="57"/>
      <c r="AM1443" s="57"/>
      <c r="AN1443" s="57"/>
      <c r="AO1443" s="57"/>
      <c r="AP1443" s="57"/>
      <c r="AQ1443" s="57"/>
      <c r="AR1443" s="57"/>
      <c r="AS1443" s="57"/>
      <c r="AT1443" s="57"/>
      <c r="AU1443" s="57"/>
      <c r="AV1443" s="57"/>
      <c r="AW1443" s="57"/>
      <c r="AX1443" s="57"/>
      <c r="AY1443" s="57"/>
      <c r="AZ1443" s="57"/>
      <c r="BA1443" s="57"/>
      <c r="BB1443" s="57"/>
      <c r="BC1443" s="57"/>
      <c r="BD1443" s="57"/>
      <c r="BE1443" s="57"/>
      <c r="BF1443" s="57"/>
    </row>
    <row r="1444" spans="1:58" s="59" customFormat="1" x14ac:dyDescent="0.25">
      <c r="A1444" s="53"/>
      <c r="B1444" s="60"/>
      <c r="C1444" s="57">
        <f t="shared" si="112"/>
        <v>0</v>
      </c>
      <c r="D1444" s="56"/>
      <c r="E1444" s="57">
        <f>[1]DETAY!$A$2</f>
        <v>0</v>
      </c>
      <c r="F1444" s="90">
        <f t="shared" si="113"/>
        <v>0</v>
      </c>
      <c r="G1444" s="92">
        <f t="shared" si="114"/>
        <v>0</v>
      </c>
      <c r="H1444" s="62" t="e">
        <f t="shared" si="115"/>
        <v>#DIV/0!</v>
      </c>
      <c r="I1444" s="57"/>
      <c r="J1444" s="57"/>
      <c r="K1444" s="57"/>
      <c r="L1444" s="57"/>
      <c r="M1444" s="58"/>
      <c r="N1444" s="57"/>
      <c r="O1444" s="57"/>
      <c r="P1444" s="57"/>
      <c r="Q1444" s="57"/>
      <c r="R1444" s="57"/>
      <c r="S1444" s="61"/>
      <c r="T1444" s="57"/>
      <c r="U1444" s="57"/>
      <c r="V1444" s="57"/>
      <c r="W1444" s="57"/>
      <c r="X1444" s="57"/>
      <c r="Y1444" s="57"/>
      <c r="Z1444" s="57"/>
      <c r="AA1444" s="57"/>
      <c r="AB1444" s="57"/>
      <c r="AC1444" s="57"/>
      <c r="AD1444" s="57"/>
      <c r="AE1444" s="57"/>
      <c r="AF1444" s="57"/>
      <c r="AG1444" s="57"/>
      <c r="AH1444" s="57"/>
      <c r="AI1444" s="57"/>
      <c r="AJ1444" s="57"/>
      <c r="AK1444" s="57"/>
      <c r="AL1444" s="57"/>
      <c r="AM1444" s="57"/>
      <c r="AN1444" s="57"/>
      <c r="AO1444" s="57"/>
      <c r="AP1444" s="57"/>
      <c r="AQ1444" s="57"/>
      <c r="AR1444" s="57"/>
      <c r="AS1444" s="57"/>
      <c r="AT1444" s="57"/>
      <c r="AU1444" s="57"/>
      <c r="AV1444" s="57"/>
      <c r="AW1444" s="57"/>
      <c r="AX1444" s="57"/>
      <c r="AY1444" s="57"/>
      <c r="AZ1444" s="57"/>
      <c r="BA1444" s="57"/>
      <c r="BB1444" s="57"/>
      <c r="BC1444" s="57"/>
      <c r="BD1444" s="57"/>
      <c r="BE1444" s="57"/>
      <c r="BF1444" s="57"/>
    </row>
    <row r="1445" spans="1:58" s="59" customFormat="1" x14ac:dyDescent="0.25">
      <c r="A1445" s="53"/>
      <c r="B1445" s="60"/>
      <c r="C1445" s="57">
        <f t="shared" si="112"/>
        <v>0</v>
      </c>
      <c r="D1445" s="56"/>
      <c r="E1445" s="57">
        <f>[1]DETAY!$A$2</f>
        <v>0</v>
      </c>
      <c r="F1445" s="90">
        <f t="shared" si="113"/>
        <v>0</v>
      </c>
      <c r="G1445" s="92">
        <f t="shared" si="114"/>
        <v>0</v>
      </c>
      <c r="H1445" s="62" t="e">
        <f t="shared" si="115"/>
        <v>#DIV/0!</v>
      </c>
      <c r="I1445" s="57"/>
      <c r="J1445" s="57"/>
      <c r="K1445" s="57"/>
      <c r="L1445" s="57"/>
      <c r="M1445" s="58"/>
      <c r="N1445" s="57"/>
      <c r="O1445" s="57"/>
      <c r="P1445" s="57"/>
      <c r="Q1445" s="57"/>
      <c r="R1445" s="57"/>
      <c r="S1445" s="61"/>
      <c r="T1445" s="57"/>
      <c r="U1445" s="57"/>
      <c r="V1445" s="57"/>
      <c r="W1445" s="57"/>
      <c r="X1445" s="57"/>
      <c r="Y1445" s="57"/>
      <c r="Z1445" s="57"/>
      <c r="AA1445" s="57"/>
      <c r="AB1445" s="57"/>
      <c r="AC1445" s="57"/>
      <c r="AD1445" s="57"/>
      <c r="AE1445" s="57"/>
      <c r="AF1445" s="57"/>
      <c r="AG1445" s="57"/>
      <c r="AH1445" s="57"/>
      <c r="AI1445" s="57"/>
      <c r="AJ1445" s="57"/>
      <c r="AK1445" s="57"/>
      <c r="AL1445" s="57"/>
      <c r="AM1445" s="57"/>
      <c r="AN1445" s="57"/>
      <c r="AO1445" s="57"/>
      <c r="AP1445" s="57"/>
      <c r="AQ1445" s="57"/>
      <c r="AR1445" s="57"/>
      <c r="AS1445" s="57"/>
      <c r="AT1445" s="57"/>
      <c r="AU1445" s="57"/>
      <c r="AV1445" s="57"/>
      <c r="AW1445" s="57"/>
      <c r="AX1445" s="57"/>
      <c r="AY1445" s="57"/>
      <c r="AZ1445" s="57"/>
      <c r="BA1445" s="57"/>
      <c r="BB1445" s="57"/>
      <c r="BC1445" s="57"/>
      <c r="BD1445" s="57"/>
      <c r="BE1445" s="57"/>
      <c r="BF1445" s="57"/>
    </row>
    <row r="1446" spans="1:58" s="59" customFormat="1" x14ac:dyDescent="0.25">
      <c r="A1446" s="53"/>
      <c r="B1446" s="60"/>
      <c r="C1446" s="57">
        <f t="shared" si="112"/>
        <v>0</v>
      </c>
      <c r="D1446" s="56"/>
      <c r="E1446" s="57">
        <f>[1]DETAY!$A$2</f>
        <v>0</v>
      </c>
      <c r="F1446" s="90">
        <f t="shared" si="113"/>
        <v>0</v>
      </c>
      <c r="G1446" s="92">
        <f t="shared" si="114"/>
        <v>0</v>
      </c>
      <c r="H1446" s="62" t="e">
        <f t="shared" si="115"/>
        <v>#DIV/0!</v>
      </c>
      <c r="I1446" s="57"/>
      <c r="J1446" s="57"/>
      <c r="K1446" s="57"/>
      <c r="L1446" s="57"/>
      <c r="M1446" s="58"/>
      <c r="N1446" s="57"/>
      <c r="O1446" s="57"/>
      <c r="P1446" s="57"/>
      <c r="Q1446" s="57"/>
      <c r="R1446" s="57"/>
      <c r="S1446" s="61"/>
      <c r="T1446" s="57"/>
      <c r="U1446" s="57"/>
      <c r="V1446" s="57"/>
      <c r="W1446" s="57"/>
      <c r="X1446" s="57"/>
      <c r="Y1446" s="57"/>
      <c r="Z1446" s="57"/>
      <c r="AA1446" s="57"/>
      <c r="AB1446" s="57"/>
      <c r="AC1446" s="57"/>
      <c r="AD1446" s="57"/>
      <c r="AE1446" s="57"/>
      <c r="AF1446" s="57"/>
      <c r="AG1446" s="57"/>
      <c r="AH1446" s="57"/>
      <c r="AI1446" s="57"/>
      <c r="AJ1446" s="57"/>
      <c r="AK1446" s="57"/>
      <c r="AL1446" s="57"/>
      <c r="AM1446" s="57"/>
      <c r="AN1446" s="57"/>
      <c r="AO1446" s="57"/>
      <c r="AP1446" s="57"/>
      <c r="AQ1446" s="57"/>
      <c r="AR1446" s="57"/>
      <c r="AS1446" s="57"/>
      <c r="AT1446" s="57"/>
      <c r="AU1446" s="57"/>
      <c r="AV1446" s="57"/>
      <c r="AW1446" s="57"/>
      <c r="AX1446" s="57"/>
      <c r="AY1446" s="57"/>
      <c r="AZ1446" s="57"/>
      <c r="BA1446" s="57"/>
      <c r="BB1446" s="57"/>
      <c r="BC1446" s="57"/>
      <c r="BD1446" s="57"/>
      <c r="BE1446" s="57"/>
      <c r="BF1446" s="57"/>
    </row>
    <row r="1447" spans="1:58" s="59" customFormat="1" x14ac:dyDescent="0.25">
      <c r="A1447" s="53"/>
      <c r="B1447" s="60"/>
      <c r="C1447" s="57">
        <f t="shared" si="112"/>
        <v>0</v>
      </c>
      <c r="D1447" s="56"/>
      <c r="E1447" s="57">
        <f>[1]DETAY!$A$2</f>
        <v>0</v>
      </c>
      <c r="F1447" s="90">
        <f t="shared" si="113"/>
        <v>0</v>
      </c>
      <c r="G1447" s="92">
        <f t="shared" si="114"/>
        <v>0</v>
      </c>
      <c r="H1447" s="62" t="e">
        <f t="shared" si="115"/>
        <v>#DIV/0!</v>
      </c>
      <c r="I1447" s="57"/>
      <c r="J1447" s="57"/>
      <c r="K1447" s="57"/>
      <c r="L1447" s="57"/>
      <c r="M1447" s="58"/>
      <c r="N1447" s="57"/>
      <c r="O1447" s="57"/>
      <c r="P1447" s="57"/>
      <c r="Q1447" s="57"/>
      <c r="R1447" s="57"/>
      <c r="S1447" s="61"/>
      <c r="T1447" s="57"/>
      <c r="U1447" s="57"/>
      <c r="V1447" s="57"/>
      <c r="W1447" s="57"/>
      <c r="X1447" s="57"/>
      <c r="Y1447" s="57"/>
      <c r="Z1447" s="57"/>
      <c r="AA1447" s="57"/>
      <c r="AB1447" s="57"/>
      <c r="AC1447" s="57"/>
      <c r="AD1447" s="57"/>
      <c r="AE1447" s="57"/>
      <c r="AF1447" s="57"/>
      <c r="AG1447" s="57"/>
      <c r="AH1447" s="57"/>
      <c r="AI1447" s="57"/>
      <c r="AJ1447" s="57"/>
      <c r="AK1447" s="57"/>
      <c r="AL1447" s="57"/>
      <c r="AM1447" s="57"/>
      <c r="AN1447" s="57"/>
      <c r="AO1447" s="57"/>
      <c r="AP1447" s="57"/>
      <c r="AQ1447" s="57"/>
      <c r="AR1447" s="57"/>
      <c r="AS1447" s="57"/>
      <c r="AT1447" s="57"/>
      <c r="AU1447" s="57"/>
      <c r="AV1447" s="57"/>
      <c r="AW1447" s="57"/>
      <c r="AX1447" s="57"/>
      <c r="AY1447" s="57"/>
      <c r="AZ1447" s="57"/>
      <c r="BA1447" s="57"/>
      <c r="BB1447" s="57"/>
      <c r="BC1447" s="57"/>
      <c r="BD1447" s="57"/>
      <c r="BE1447" s="57"/>
      <c r="BF1447" s="57"/>
    </row>
    <row r="1448" spans="1:58" s="59" customFormat="1" x14ac:dyDescent="0.25">
      <c r="A1448" s="53"/>
      <c r="B1448" s="60"/>
      <c r="C1448" s="57">
        <f t="shared" si="112"/>
        <v>0</v>
      </c>
      <c r="D1448" s="56"/>
      <c r="E1448" s="57">
        <f>[1]DETAY!$A$2</f>
        <v>0</v>
      </c>
      <c r="F1448" s="90">
        <f t="shared" si="113"/>
        <v>0</v>
      </c>
      <c r="G1448" s="92">
        <f t="shared" si="114"/>
        <v>0</v>
      </c>
      <c r="H1448" s="62" t="e">
        <f t="shared" si="115"/>
        <v>#DIV/0!</v>
      </c>
      <c r="I1448" s="57"/>
      <c r="J1448" s="57"/>
      <c r="K1448" s="57"/>
      <c r="L1448" s="57"/>
      <c r="M1448" s="58"/>
      <c r="N1448" s="57"/>
      <c r="O1448" s="57"/>
      <c r="P1448" s="57"/>
      <c r="Q1448" s="57"/>
      <c r="R1448" s="57"/>
      <c r="S1448" s="61"/>
      <c r="T1448" s="57"/>
      <c r="U1448" s="57"/>
      <c r="V1448" s="57"/>
      <c r="W1448" s="57"/>
      <c r="X1448" s="57"/>
      <c r="Y1448" s="57"/>
      <c r="Z1448" s="57"/>
      <c r="AA1448" s="57"/>
      <c r="AB1448" s="57"/>
      <c r="AC1448" s="57"/>
      <c r="AD1448" s="57"/>
      <c r="AE1448" s="57"/>
      <c r="AF1448" s="57"/>
      <c r="AG1448" s="57"/>
      <c r="AH1448" s="57"/>
      <c r="AI1448" s="57"/>
      <c r="AJ1448" s="57"/>
      <c r="AK1448" s="57"/>
      <c r="AL1448" s="57"/>
      <c r="AM1448" s="57"/>
      <c r="AN1448" s="57"/>
      <c r="AO1448" s="57"/>
      <c r="AP1448" s="57"/>
      <c r="AQ1448" s="57"/>
      <c r="AR1448" s="57"/>
      <c r="AS1448" s="57"/>
      <c r="AT1448" s="57"/>
      <c r="AU1448" s="57"/>
      <c r="AV1448" s="57"/>
      <c r="AW1448" s="57"/>
      <c r="AX1448" s="57"/>
      <c r="AY1448" s="57"/>
      <c r="AZ1448" s="57"/>
      <c r="BA1448" s="57"/>
      <c r="BB1448" s="57"/>
      <c r="BC1448" s="57"/>
      <c r="BD1448" s="57"/>
      <c r="BE1448" s="57"/>
      <c r="BF1448" s="57"/>
    </row>
    <row r="1449" spans="1:58" s="59" customFormat="1" x14ac:dyDescent="0.25">
      <c r="A1449" s="53"/>
      <c r="B1449" s="60"/>
      <c r="C1449" s="57">
        <f t="shared" si="112"/>
        <v>0</v>
      </c>
      <c r="D1449" s="56"/>
      <c r="E1449" s="57">
        <f>[1]DETAY!$A$2</f>
        <v>0</v>
      </c>
      <c r="F1449" s="90">
        <f t="shared" si="113"/>
        <v>0</v>
      </c>
      <c r="G1449" s="92">
        <f t="shared" si="114"/>
        <v>0</v>
      </c>
      <c r="H1449" s="62" t="e">
        <f t="shared" si="115"/>
        <v>#DIV/0!</v>
      </c>
      <c r="I1449" s="57"/>
      <c r="J1449" s="57"/>
      <c r="K1449" s="57"/>
      <c r="L1449" s="57"/>
      <c r="M1449" s="58"/>
      <c r="N1449" s="57"/>
      <c r="O1449" s="57"/>
      <c r="P1449" s="57"/>
      <c r="Q1449" s="57"/>
      <c r="R1449" s="57"/>
      <c r="S1449" s="61"/>
      <c r="T1449" s="57"/>
      <c r="U1449" s="57"/>
      <c r="V1449" s="57"/>
      <c r="W1449" s="57"/>
      <c r="X1449" s="57"/>
      <c r="Y1449" s="57"/>
      <c r="Z1449" s="57"/>
      <c r="AA1449" s="57"/>
      <c r="AB1449" s="57"/>
      <c r="AC1449" s="57"/>
      <c r="AD1449" s="57"/>
      <c r="AE1449" s="57"/>
      <c r="AF1449" s="57"/>
      <c r="AG1449" s="57"/>
      <c r="AH1449" s="57"/>
      <c r="AI1449" s="57"/>
      <c r="AJ1449" s="57"/>
      <c r="AK1449" s="57"/>
      <c r="AL1449" s="57"/>
      <c r="AM1449" s="57"/>
      <c r="AN1449" s="57"/>
      <c r="AO1449" s="57"/>
      <c r="AP1449" s="57"/>
      <c r="AQ1449" s="57"/>
      <c r="AR1449" s="57"/>
      <c r="AS1449" s="57"/>
      <c r="AT1449" s="57"/>
      <c r="AU1449" s="57"/>
      <c r="AV1449" s="57"/>
      <c r="AW1449" s="57"/>
      <c r="AX1449" s="57"/>
      <c r="AY1449" s="57"/>
      <c r="AZ1449" s="57"/>
      <c r="BA1449" s="57"/>
      <c r="BB1449" s="57"/>
      <c r="BC1449" s="57"/>
      <c r="BD1449" s="57"/>
      <c r="BE1449" s="57"/>
      <c r="BF1449" s="57"/>
    </row>
    <row r="1450" spans="1:58" s="59" customFormat="1" x14ac:dyDescent="0.25">
      <c r="A1450" s="53"/>
      <c r="B1450" s="60"/>
      <c r="C1450" s="57">
        <f t="shared" si="112"/>
        <v>0</v>
      </c>
      <c r="D1450" s="56"/>
      <c r="E1450" s="57">
        <f>[1]DETAY!$A$2</f>
        <v>0</v>
      </c>
      <c r="F1450" s="90">
        <f t="shared" si="113"/>
        <v>0</v>
      </c>
      <c r="G1450" s="92">
        <f t="shared" si="114"/>
        <v>0</v>
      </c>
      <c r="H1450" s="62" t="e">
        <f t="shared" si="115"/>
        <v>#DIV/0!</v>
      </c>
      <c r="I1450" s="57"/>
      <c r="J1450" s="57"/>
      <c r="K1450" s="57"/>
      <c r="L1450" s="57"/>
      <c r="M1450" s="58"/>
      <c r="N1450" s="57"/>
      <c r="O1450" s="57"/>
      <c r="P1450" s="57"/>
      <c r="Q1450" s="57"/>
      <c r="R1450" s="57"/>
      <c r="S1450" s="61"/>
      <c r="T1450" s="57"/>
      <c r="U1450" s="57"/>
      <c r="V1450" s="57"/>
      <c r="W1450" s="57"/>
      <c r="X1450" s="57"/>
      <c r="Y1450" s="57"/>
      <c r="Z1450" s="57"/>
      <c r="AA1450" s="57"/>
      <c r="AB1450" s="57"/>
      <c r="AC1450" s="57"/>
      <c r="AD1450" s="57"/>
      <c r="AE1450" s="57"/>
      <c r="AF1450" s="57"/>
      <c r="AG1450" s="57"/>
      <c r="AH1450" s="57"/>
      <c r="AI1450" s="57"/>
      <c r="AJ1450" s="57"/>
      <c r="AK1450" s="57"/>
      <c r="AL1450" s="57"/>
      <c r="AM1450" s="57"/>
      <c r="AN1450" s="57"/>
      <c r="AO1450" s="57"/>
      <c r="AP1450" s="57"/>
      <c r="AQ1450" s="57"/>
      <c r="AR1450" s="57"/>
      <c r="AS1450" s="57"/>
      <c r="AT1450" s="57"/>
      <c r="AU1450" s="57"/>
      <c r="AV1450" s="57"/>
      <c r="AW1450" s="57"/>
      <c r="AX1450" s="57"/>
      <c r="AY1450" s="57"/>
      <c r="AZ1450" s="57"/>
      <c r="BA1450" s="57"/>
      <c r="BB1450" s="57"/>
      <c r="BC1450" s="57"/>
      <c r="BD1450" s="57"/>
      <c r="BE1450" s="57"/>
      <c r="BF1450" s="57"/>
    </row>
    <row r="1451" spans="1:58" s="59" customFormat="1" x14ac:dyDescent="0.25">
      <c r="A1451" s="53"/>
      <c r="B1451" s="60"/>
      <c r="C1451" s="57">
        <f t="shared" si="112"/>
        <v>0</v>
      </c>
      <c r="D1451" s="56"/>
      <c r="E1451" s="57">
        <f>[1]DETAY!$A$2</f>
        <v>0</v>
      </c>
      <c r="F1451" s="90">
        <f t="shared" si="113"/>
        <v>0</v>
      </c>
      <c r="G1451" s="92">
        <f t="shared" si="114"/>
        <v>0</v>
      </c>
      <c r="H1451" s="62" t="e">
        <f t="shared" si="115"/>
        <v>#DIV/0!</v>
      </c>
      <c r="I1451" s="57"/>
      <c r="J1451" s="57"/>
      <c r="K1451" s="57"/>
      <c r="L1451" s="57"/>
      <c r="M1451" s="58"/>
      <c r="N1451" s="57"/>
      <c r="O1451" s="57"/>
      <c r="P1451" s="57"/>
      <c r="Q1451" s="57"/>
      <c r="R1451" s="57"/>
      <c r="S1451" s="61"/>
      <c r="T1451" s="57"/>
      <c r="U1451" s="57"/>
      <c r="V1451" s="57"/>
      <c r="W1451" s="57"/>
      <c r="X1451" s="57"/>
      <c r="Y1451" s="57"/>
      <c r="Z1451" s="57"/>
      <c r="AA1451" s="57"/>
      <c r="AB1451" s="57"/>
      <c r="AC1451" s="57"/>
      <c r="AD1451" s="57"/>
      <c r="AE1451" s="57"/>
      <c r="AF1451" s="57"/>
      <c r="AG1451" s="57"/>
      <c r="AH1451" s="57"/>
      <c r="AI1451" s="57"/>
      <c r="AJ1451" s="57"/>
      <c r="AK1451" s="57"/>
      <c r="AL1451" s="57"/>
      <c r="AM1451" s="57"/>
      <c r="AN1451" s="57"/>
      <c r="AO1451" s="57"/>
      <c r="AP1451" s="57"/>
      <c r="AQ1451" s="57"/>
      <c r="AR1451" s="57"/>
      <c r="AS1451" s="57"/>
      <c r="AT1451" s="57"/>
      <c r="AU1451" s="57"/>
      <c r="AV1451" s="57"/>
      <c r="AW1451" s="57"/>
      <c r="AX1451" s="57"/>
      <c r="AY1451" s="57"/>
      <c r="AZ1451" s="57"/>
      <c r="BA1451" s="57"/>
      <c r="BB1451" s="57"/>
      <c r="BC1451" s="57"/>
      <c r="BD1451" s="57"/>
      <c r="BE1451" s="57"/>
      <c r="BF1451" s="57"/>
    </row>
    <row r="1452" spans="1:58" s="59" customFormat="1" x14ac:dyDescent="0.25">
      <c r="A1452" s="53"/>
      <c r="B1452" s="60"/>
      <c r="C1452" s="57">
        <f t="shared" si="112"/>
        <v>0</v>
      </c>
      <c r="D1452" s="56"/>
      <c r="E1452" s="57">
        <f>[1]DETAY!$A$2</f>
        <v>0</v>
      </c>
      <c r="F1452" s="90">
        <f t="shared" si="113"/>
        <v>0</v>
      </c>
      <c r="G1452" s="92">
        <f t="shared" si="114"/>
        <v>0</v>
      </c>
      <c r="H1452" s="62" t="e">
        <f t="shared" si="115"/>
        <v>#DIV/0!</v>
      </c>
      <c r="I1452" s="57"/>
      <c r="J1452" s="57"/>
      <c r="K1452" s="57"/>
      <c r="L1452" s="57"/>
      <c r="M1452" s="58"/>
      <c r="N1452" s="57"/>
      <c r="O1452" s="57"/>
      <c r="P1452" s="57"/>
      <c r="Q1452" s="57"/>
      <c r="R1452" s="57"/>
      <c r="S1452" s="61"/>
      <c r="T1452" s="57"/>
      <c r="U1452" s="57"/>
      <c r="V1452" s="57"/>
      <c r="W1452" s="57"/>
      <c r="X1452" s="57"/>
      <c r="Y1452" s="57"/>
      <c r="Z1452" s="57"/>
      <c r="AA1452" s="57"/>
      <c r="AB1452" s="57"/>
      <c r="AC1452" s="57"/>
      <c r="AD1452" s="57"/>
      <c r="AE1452" s="57"/>
      <c r="AF1452" s="57"/>
      <c r="AG1452" s="57"/>
      <c r="AH1452" s="57"/>
      <c r="AI1452" s="57"/>
      <c r="AJ1452" s="57"/>
      <c r="AK1452" s="57"/>
      <c r="AL1452" s="57"/>
      <c r="AM1452" s="57"/>
      <c r="AN1452" s="57"/>
      <c r="AO1452" s="57"/>
      <c r="AP1452" s="57"/>
      <c r="AQ1452" s="57"/>
      <c r="AR1452" s="57"/>
      <c r="AS1452" s="57"/>
      <c r="AT1452" s="57"/>
      <c r="AU1452" s="57"/>
      <c r="AV1452" s="57"/>
      <c r="AW1452" s="57"/>
      <c r="AX1452" s="57"/>
      <c r="AY1452" s="57"/>
      <c r="AZ1452" s="57"/>
      <c r="BA1452" s="57"/>
      <c r="BB1452" s="57"/>
      <c r="BC1452" s="57"/>
      <c r="BD1452" s="57"/>
      <c r="BE1452" s="57"/>
      <c r="BF1452" s="57"/>
    </row>
    <row r="1453" spans="1:58" s="59" customFormat="1" x14ac:dyDescent="0.25">
      <c r="A1453" s="53"/>
      <c r="B1453" s="60"/>
      <c r="C1453" s="57">
        <f t="shared" si="112"/>
        <v>0</v>
      </c>
      <c r="D1453" s="56"/>
      <c r="E1453" s="57">
        <f>[1]DETAY!$A$2</f>
        <v>0</v>
      </c>
      <c r="F1453" s="90">
        <f t="shared" si="113"/>
        <v>0</v>
      </c>
      <c r="G1453" s="92">
        <f t="shared" si="114"/>
        <v>0</v>
      </c>
      <c r="H1453" s="62" t="e">
        <f t="shared" si="115"/>
        <v>#DIV/0!</v>
      </c>
      <c r="I1453" s="57"/>
      <c r="J1453" s="57"/>
      <c r="K1453" s="57"/>
      <c r="L1453" s="57"/>
      <c r="M1453" s="58"/>
      <c r="N1453" s="57"/>
      <c r="O1453" s="57"/>
      <c r="P1453" s="57"/>
      <c r="Q1453" s="57"/>
      <c r="R1453" s="57"/>
      <c r="S1453" s="61"/>
      <c r="T1453" s="57"/>
      <c r="U1453" s="57"/>
      <c r="V1453" s="57"/>
      <c r="W1453" s="57"/>
      <c r="X1453" s="57"/>
      <c r="Y1453" s="57"/>
      <c r="Z1453" s="57"/>
      <c r="AA1453" s="57"/>
      <c r="AB1453" s="57"/>
      <c r="AC1453" s="57"/>
      <c r="AD1453" s="57"/>
      <c r="AE1453" s="57"/>
      <c r="AF1453" s="57"/>
      <c r="AG1453" s="57"/>
      <c r="AH1453" s="57"/>
      <c r="AI1453" s="57"/>
      <c r="AJ1453" s="57"/>
      <c r="AK1453" s="57"/>
      <c r="AL1453" s="57"/>
      <c r="AM1453" s="57"/>
      <c r="AN1453" s="57"/>
      <c r="AO1453" s="57"/>
      <c r="AP1453" s="57"/>
      <c r="AQ1453" s="57"/>
      <c r="AR1453" s="57"/>
      <c r="AS1453" s="57"/>
      <c r="AT1453" s="57"/>
      <c r="AU1453" s="57"/>
      <c r="AV1453" s="57"/>
      <c r="AW1453" s="57"/>
      <c r="AX1453" s="57"/>
      <c r="AY1453" s="57"/>
      <c r="AZ1453" s="57"/>
      <c r="BA1453" s="57"/>
      <c r="BB1453" s="57"/>
      <c r="BC1453" s="57"/>
      <c r="BD1453" s="57"/>
      <c r="BE1453" s="57"/>
      <c r="BF1453" s="57"/>
    </row>
    <row r="1454" spans="1:58" s="59" customFormat="1" x14ac:dyDescent="0.25">
      <c r="A1454" s="53"/>
      <c r="B1454" s="60"/>
      <c r="C1454" s="57">
        <f t="shared" si="112"/>
        <v>0</v>
      </c>
      <c r="D1454" s="56"/>
      <c r="E1454" s="57">
        <f>[1]DETAY!$A$2</f>
        <v>0</v>
      </c>
      <c r="F1454" s="90">
        <f t="shared" si="113"/>
        <v>0</v>
      </c>
      <c r="G1454" s="92">
        <f t="shared" si="114"/>
        <v>0</v>
      </c>
      <c r="H1454" s="62" t="e">
        <f t="shared" si="115"/>
        <v>#DIV/0!</v>
      </c>
      <c r="I1454" s="57"/>
      <c r="J1454" s="57"/>
      <c r="K1454" s="57"/>
      <c r="L1454" s="57"/>
      <c r="M1454" s="58"/>
      <c r="N1454" s="57"/>
      <c r="O1454" s="57"/>
      <c r="P1454" s="57"/>
      <c r="Q1454" s="57"/>
      <c r="R1454" s="57"/>
      <c r="S1454" s="61"/>
      <c r="T1454" s="57"/>
      <c r="U1454" s="57"/>
      <c r="V1454" s="57"/>
      <c r="W1454" s="57"/>
      <c r="X1454" s="57"/>
      <c r="Y1454" s="57"/>
      <c r="Z1454" s="57"/>
      <c r="AA1454" s="57"/>
      <c r="AB1454" s="57"/>
      <c r="AC1454" s="57"/>
      <c r="AD1454" s="57"/>
      <c r="AE1454" s="57"/>
      <c r="AF1454" s="57"/>
      <c r="AG1454" s="57"/>
      <c r="AH1454" s="57"/>
      <c r="AI1454" s="57"/>
      <c r="AJ1454" s="57"/>
      <c r="AK1454" s="57"/>
      <c r="AL1454" s="57"/>
      <c r="AM1454" s="57"/>
      <c r="AN1454" s="57"/>
      <c r="AO1454" s="57"/>
      <c r="AP1454" s="57"/>
      <c r="AQ1454" s="57"/>
      <c r="AR1454" s="57"/>
      <c r="AS1454" s="57"/>
      <c r="AT1454" s="57"/>
      <c r="AU1454" s="57"/>
      <c r="AV1454" s="57"/>
      <c r="AW1454" s="57"/>
      <c r="AX1454" s="57"/>
      <c r="AY1454" s="57"/>
      <c r="AZ1454" s="57"/>
      <c r="BA1454" s="57"/>
      <c r="BB1454" s="57"/>
      <c r="BC1454" s="57"/>
      <c r="BD1454" s="57"/>
      <c r="BE1454" s="57"/>
      <c r="BF1454" s="57"/>
    </row>
    <row r="1455" spans="1:58" s="59" customFormat="1" x14ac:dyDescent="0.25">
      <c r="A1455" s="53"/>
      <c r="B1455" s="60"/>
      <c r="C1455" s="57">
        <f t="shared" si="112"/>
        <v>0</v>
      </c>
      <c r="D1455" s="56"/>
      <c r="E1455" s="57">
        <f>[1]DETAY!$A$2</f>
        <v>0</v>
      </c>
      <c r="F1455" s="90">
        <f t="shared" si="113"/>
        <v>0</v>
      </c>
      <c r="G1455" s="92">
        <f t="shared" si="114"/>
        <v>0</v>
      </c>
      <c r="H1455" s="62" t="e">
        <f t="shared" si="115"/>
        <v>#DIV/0!</v>
      </c>
      <c r="I1455" s="57"/>
      <c r="J1455" s="57"/>
      <c r="K1455" s="57"/>
      <c r="L1455" s="57"/>
      <c r="M1455" s="58"/>
      <c r="N1455" s="57"/>
      <c r="O1455" s="57"/>
      <c r="P1455" s="57"/>
      <c r="Q1455" s="57"/>
      <c r="R1455" s="57"/>
      <c r="S1455" s="61"/>
      <c r="T1455" s="57"/>
      <c r="U1455" s="57"/>
      <c r="V1455" s="57"/>
      <c r="W1455" s="57"/>
      <c r="X1455" s="57"/>
      <c r="Y1455" s="57"/>
      <c r="Z1455" s="57"/>
      <c r="AA1455" s="57"/>
      <c r="AB1455" s="57"/>
      <c r="AC1455" s="57"/>
      <c r="AD1455" s="57"/>
      <c r="AE1455" s="57"/>
      <c r="AF1455" s="57"/>
      <c r="AG1455" s="57"/>
      <c r="AH1455" s="57"/>
      <c r="AI1455" s="57"/>
      <c r="AJ1455" s="57"/>
      <c r="AK1455" s="57"/>
      <c r="AL1455" s="57"/>
      <c r="AM1455" s="57"/>
      <c r="AN1455" s="57"/>
      <c r="AO1455" s="57"/>
      <c r="AP1455" s="57"/>
      <c r="AQ1455" s="57"/>
      <c r="AR1455" s="57"/>
      <c r="AS1455" s="57"/>
      <c r="AT1455" s="57"/>
      <c r="AU1455" s="57"/>
      <c r="AV1455" s="57"/>
      <c r="AW1455" s="57"/>
      <c r="AX1455" s="57"/>
      <c r="AY1455" s="57"/>
      <c r="AZ1455" s="57"/>
      <c r="BA1455" s="57"/>
      <c r="BB1455" s="57"/>
      <c r="BC1455" s="57"/>
      <c r="BD1455" s="57"/>
      <c r="BE1455" s="57"/>
      <c r="BF1455" s="57"/>
    </row>
    <row r="1456" spans="1:58" s="59" customFormat="1" x14ac:dyDescent="0.25">
      <c r="A1456" s="53"/>
      <c r="B1456" s="60"/>
      <c r="C1456" s="57">
        <f t="shared" si="112"/>
        <v>0</v>
      </c>
      <c r="D1456" s="56"/>
      <c r="E1456" s="57">
        <f>[1]DETAY!$A$2</f>
        <v>0</v>
      </c>
      <c r="F1456" s="90">
        <f t="shared" si="113"/>
        <v>0</v>
      </c>
      <c r="G1456" s="92">
        <f t="shared" si="114"/>
        <v>0</v>
      </c>
      <c r="H1456" s="62" t="e">
        <f t="shared" si="115"/>
        <v>#DIV/0!</v>
      </c>
      <c r="I1456" s="57"/>
      <c r="J1456" s="57"/>
      <c r="K1456" s="57"/>
      <c r="L1456" s="57"/>
      <c r="M1456" s="58"/>
      <c r="N1456" s="57"/>
      <c r="O1456" s="57"/>
      <c r="P1456" s="57"/>
      <c r="Q1456" s="57"/>
      <c r="R1456" s="57"/>
      <c r="S1456" s="61"/>
      <c r="T1456" s="57"/>
      <c r="U1456" s="57"/>
      <c r="V1456" s="57"/>
      <c r="W1456" s="57"/>
      <c r="X1456" s="57"/>
      <c r="Y1456" s="57"/>
      <c r="Z1456" s="57"/>
      <c r="AA1456" s="57"/>
      <c r="AB1456" s="57"/>
      <c r="AC1456" s="57"/>
      <c r="AD1456" s="57"/>
      <c r="AE1456" s="57"/>
      <c r="AF1456" s="57"/>
      <c r="AG1456" s="57"/>
      <c r="AH1456" s="57"/>
      <c r="AI1456" s="57"/>
      <c r="AJ1456" s="57"/>
      <c r="AK1456" s="57"/>
      <c r="AL1456" s="57"/>
      <c r="AM1456" s="57"/>
      <c r="AN1456" s="57"/>
      <c r="AO1456" s="57"/>
      <c r="AP1456" s="57"/>
      <c r="AQ1456" s="57"/>
      <c r="AR1456" s="57"/>
      <c r="AS1456" s="57"/>
      <c r="AT1456" s="57"/>
      <c r="AU1456" s="57"/>
      <c r="AV1456" s="57"/>
      <c r="AW1456" s="57"/>
      <c r="AX1456" s="57"/>
      <c r="AY1456" s="57"/>
      <c r="AZ1456" s="57"/>
      <c r="BA1456" s="57"/>
      <c r="BB1456" s="57"/>
      <c r="BC1456" s="57"/>
      <c r="BD1456" s="57"/>
      <c r="BE1456" s="57"/>
      <c r="BF1456" s="57"/>
    </row>
    <row r="1457" spans="1:58" s="59" customFormat="1" x14ac:dyDescent="0.25">
      <c r="A1457" s="53"/>
      <c r="B1457" s="60"/>
      <c r="C1457" s="57">
        <f t="shared" si="112"/>
        <v>0</v>
      </c>
      <c r="D1457" s="56"/>
      <c r="E1457" s="57">
        <f>[1]DETAY!$A$2</f>
        <v>0</v>
      </c>
      <c r="F1457" s="90">
        <f t="shared" si="113"/>
        <v>0</v>
      </c>
      <c r="G1457" s="92">
        <f t="shared" si="114"/>
        <v>0</v>
      </c>
      <c r="H1457" s="62" t="e">
        <f t="shared" si="115"/>
        <v>#DIV/0!</v>
      </c>
      <c r="I1457" s="57"/>
      <c r="J1457" s="57"/>
      <c r="K1457" s="57"/>
      <c r="L1457" s="57"/>
      <c r="M1457" s="58"/>
      <c r="N1457" s="57"/>
      <c r="O1457" s="57"/>
      <c r="P1457" s="57"/>
      <c r="Q1457" s="57"/>
      <c r="R1457" s="57"/>
      <c r="S1457" s="61"/>
      <c r="T1457" s="57"/>
      <c r="U1457" s="57"/>
      <c r="V1457" s="57"/>
      <c r="W1457" s="57"/>
      <c r="X1457" s="57"/>
      <c r="Y1457" s="57"/>
      <c r="Z1457" s="57"/>
      <c r="AA1457" s="57"/>
      <c r="AB1457" s="57"/>
      <c r="AC1457" s="57"/>
      <c r="AD1457" s="57"/>
      <c r="AE1457" s="57"/>
      <c r="AF1457" s="57"/>
      <c r="AG1457" s="57"/>
      <c r="AH1457" s="57"/>
      <c r="AI1457" s="57"/>
      <c r="AJ1457" s="57"/>
      <c r="AK1457" s="57"/>
      <c r="AL1457" s="57"/>
      <c r="AM1457" s="57"/>
      <c r="AN1457" s="57"/>
      <c r="AO1457" s="57"/>
      <c r="AP1457" s="57"/>
      <c r="AQ1457" s="57"/>
      <c r="AR1457" s="57"/>
      <c r="AS1457" s="57"/>
      <c r="AT1457" s="57"/>
      <c r="AU1457" s="57"/>
      <c r="AV1457" s="57"/>
      <c r="AW1457" s="57"/>
      <c r="AX1457" s="57"/>
      <c r="AY1457" s="57"/>
      <c r="AZ1457" s="57"/>
      <c r="BA1457" s="57"/>
      <c r="BB1457" s="57"/>
      <c r="BC1457" s="57"/>
      <c r="BD1457" s="57"/>
      <c r="BE1457" s="57"/>
      <c r="BF1457" s="57"/>
    </row>
    <row r="1458" spans="1:58" s="59" customFormat="1" x14ac:dyDescent="0.25">
      <c r="A1458" s="53"/>
      <c r="B1458" s="60"/>
      <c r="C1458" s="57">
        <f t="shared" si="112"/>
        <v>0</v>
      </c>
      <c r="D1458" s="56"/>
      <c r="E1458" s="57">
        <f>[1]DETAY!$A$2</f>
        <v>0</v>
      </c>
      <c r="F1458" s="90">
        <f t="shared" si="113"/>
        <v>0</v>
      </c>
      <c r="G1458" s="92">
        <f t="shared" si="114"/>
        <v>0</v>
      </c>
      <c r="H1458" s="62" t="e">
        <f t="shared" si="115"/>
        <v>#DIV/0!</v>
      </c>
      <c r="I1458" s="57"/>
      <c r="J1458" s="57"/>
      <c r="K1458" s="57"/>
      <c r="L1458" s="57"/>
      <c r="M1458" s="58"/>
      <c r="N1458" s="57"/>
      <c r="O1458" s="57"/>
      <c r="P1458" s="57"/>
      <c r="Q1458" s="57"/>
      <c r="R1458" s="57"/>
      <c r="S1458" s="61"/>
      <c r="T1458" s="57"/>
      <c r="U1458" s="57"/>
      <c r="V1458" s="57"/>
      <c r="W1458" s="57"/>
      <c r="X1458" s="57"/>
      <c r="Y1458" s="57"/>
      <c r="Z1458" s="57"/>
      <c r="AA1458" s="57"/>
      <c r="AB1458" s="57"/>
      <c r="AC1458" s="57"/>
      <c r="AD1458" s="57"/>
      <c r="AE1458" s="57"/>
      <c r="AF1458" s="57"/>
      <c r="AG1458" s="57"/>
      <c r="AH1458" s="57"/>
      <c r="AI1458" s="57"/>
      <c r="AJ1458" s="57"/>
      <c r="AK1458" s="57"/>
      <c r="AL1458" s="57"/>
      <c r="AM1458" s="57"/>
      <c r="AN1458" s="57"/>
      <c r="AO1458" s="57"/>
      <c r="AP1458" s="57"/>
      <c r="AQ1458" s="57"/>
      <c r="AR1458" s="57"/>
      <c r="AS1458" s="57"/>
      <c r="AT1458" s="57"/>
      <c r="AU1458" s="57"/>
      <c r="AV1458" s="57"/>
      <c r="AW1458" s="57"/>
      <c r="AX1458" s="57"/>
      <c r="AY1458" s="57"/>
      <c r="AZ1458" s="57"/>
      <c r="BA1458" s="57"/>
      <c r="BB1458" s="57"/>
      <c r="BC1458" s="57"/>
      <c r="BD1458" s="57"/>
      <c r="BE1458" s="57"/>
      <c r="BF1458" s="57"/>
    </row>
    <row r="1459" spans="1:58" s="59" customFormat="1" x14ac:dyDescent="0.25">
      <c r="A1459" s="53"/>
      <c r="B1459" s="60"/>
      <c r="C1459" s="57">
        <f t="shared" si="112"/>
        <v>0</v>
      </c>
      <c r="D1459" s="56"/>
      <c r="E1459" s="57">
        <f>[1]DETAY!$A$2</f>
        <v>0</v>
      </c>
      <c r="F1459" s="90">
        <f t="shared" si="113"/>
        <v>0</v>
      </c>
      <c r="G1459" s="92">
        <f t="shared" si="114"/>
        <v>0</v>
      </c>
      <c r="H1459" s="62" t="e">
        <f t="shared" si="115"/>
        <v>#DIV/0!</v>
      </c>
      <c r="I1459" s="57"/>
      <c r="J1459" s="57"/>
      <c r="K1459" s="57"/>
      <c r="L1459" s="57"/>
      <c r="M1459" s="58"/>
      <c r="N1459" s="57"/>
      <c r="O1459" s="57"/>
      <c r="P1459" s="57"/>
      <c r="Q1459" s="57"/>
      <c r="R1459" s="57"/>
      <c r="S1459" s="61"/>
      <c r="T1459" s="57"/>
      <c r="U1459" s="57"/>
      <c r="V1459" s="57"/>
      <c r="W1459" s="57"/>
      <c r="X1459" s="57"/>
      <c r="Y1459" s="57"/>
      <c r="Z1459" s="57"/>
      <c r="AA1459" s="57"/>
      <c r="AB1459" s="57"/>
      <c r="AC1459" s="57"/>
      <c r="AD1459" s="57"/>
      <c r="AE1459" s="57"/>
      <c r="AF1459" s="57"/>
      <c r="AG1459" s="57"/>
      <c r="AH1459" s="57"/>
      <c r="AI1459" s="57"/>
      <c r="AJ1459" s="57"/>
      <c r="AK1459" s="57"/>
      <c r="AL1459" s="57"/>
      <c r="AM1459" s="57"/>
      <c r="AN1459" s="57"/>
      <c r="AO1459" s="57"/>
      <c r="AP1459" s="57"/>
      <c r="AQ1459" s="57"/>
      <c r="AR1459" s="57"/>
      <c r="AS1459" s="57"/>
      <c r="AT1459" s="57"/>
      <c r="AU1459" s="57"/>
      <c r="AV1459" s="57"/>
      <c r="AW1459" s="57"/>
      <c r="AX1459" s="57"/>
      <c r="AY1459" s="57"/>
      <c r="AZ1459" s="57"/>
      <c r="BA1459" s="57"/>
      <c r="BB1459" s="57"/>
      <c r="BC1459" s="57"/>
      <c r="BD1459" s="57"/>
      <c r="BE1459" s="57"/>
      <c r="BF1459" s="57"/>
    </row>
    <row r="1460" spans="1:58" s="59" customFormat="1" x14ac:dyDescent="0.25">
      <c r="A1460" s="53"/>
      <c r="B1460" s="60"/>
      <c r="C1460" s="57">
        <f t="shared" si="112"/>
        <v>0</v>
      </c>
      <c r="D1460" s="56"/>
      <c r="E1460" s="57">
        <f>[1]DETAY!$A$2</f>
        <v>0</v>
      </c>
      <c r="F1460" s="90">
        <f t="shared" si="113"/>
        <v>0</v>
      </c>
      <c r="G1460" s="92">
        <f t="shared" si="114"/>
        <v>0</v>
      </c>
      <c r="H1460" s="62" t="e">
        <f t="shared" si="115"/>
        <v>#DIV/0!</v>
      </c>
      <c r="I1460" s="57"/>
      <c r="J1460" s="57"/>
      <c r="K1460" s="57"/>
      <c r="L1460" s="57"/>
      <c r="M1460" s="58"/>
      <c r="N1460" s="57"/>
      <c r="O1460" s="57"/>
      <c r="P1460" s="57"/>
      <c r="Q1460" s="57"/>
      <c r="R1460" s="57"/>
      <c r="S1460" s="61"/>
      <c r="T1460" s="57"/>
      <c r="U1460" s="57"/>
      <c r="V1460" s="57"/>
      <c r="W1460" s="57"/>
      <c r="X1460" s="57"/>
      <c r="Y1460" s="57"/>
      <c r="Z1460" s="57"/>
      <c r="AA1460" s="57"/>
      <c r="AB1460" s="57"/>
      <c r="AC1460" s="57"/>
      <c r="AD1460" s="57"/>
      <c r="AE1460" s="57"/>
      <c r="AF1460" s="57"/>
      <c r="AG1460" s="57"/>
      <c r="AH1460" s="57"/>
      <c r="AI1460" s="57"/>
      <c r="AJ1460" s="57"/>
      <c r="AK1460" s="57"/>
      <c r="AL1460" s="57"/>
      <c r="AM1460" s="57"/>
      <c r="AN1460" s="57"/>
      <c r="AO1460" s="57"/>
      <c r="AP1460" s="57"/>
      <c r="AQ1460" s="57"/>
      <c r="AR1460" s="57"/>
      <c r="AS1460" s="57"/>
      <c r="AT1460" s="57"/>
      <c r="AU1460" s="57"/>
      <c r="AV1460" s="57"/>
      <c r="AW1460" s="57"/>
      <c r="AX1460" s="57"/>
      <c r="AY1460" s="57"/>
      <c r="AZ1460" s="57"/>
      <c r="BA1460" s="57"/>
      <c r="BB1460" s="57"/>
      <c r="BC1460" s="57"/>
      <c r="BD1460" s="57"/>
      <c r="BE1460" s="57"/>
      <c r="BF1460" s="57"/>
    </row>
    <row r="1461" spans="1:58" s="59" customFormat="1" x14ac:dyDescent="0.25">
      <c r="A1461" s="53"/>
      <c r="B1461" s="60"/>
      <c r="C1461" s="57">
        <f t="shared" si="112"/>
        <v>0</v>
      </c>
      <c r="D1461" s="56"/>
      <c r="E1461" s="57">
        <f>[1]DETAY!$A$2</f>
        <v>0</v>
      </c>
      <c r="F1461" s="90">
        <f t="shared" si="113"/>
        <v>0</v>
      </c>
      <c r="G1461" s="92">
        <f t="shared" si="114"/>
        <v>0</v>
      </c>
      <c r="H1461" s="62" t="e">
        <f t="shared" si="115"/>
        <v>#DIV/0!</v>
      </c>
      <c r="I1461" s="57"/>
      <c r="J1461" s="57"/>
      <c r="K1461" s="57"/>
      <c r="L1461" s="57"/>
      <c r="M1461" s="58"/>
      <c r="N1461" s="57"/>
      <c r="O1461" s="57"/>
      <c r="P1461" s="57"/>
      <c r="Q1461" s="57"/>
      <c r="R1461" s="57"/>
      <c r="S1461" s="61"/>
      <c r="T1461" s="57"/>
      <c r="U1461" s="57"/>
      <c r="V1461" s="57"/>
      <c r="W1461" s="57"/>
      <c r="X1461" s="57"/>
      <c r="Y1461" s="57"/>
      <c r="Z1461" s="57"/>
      <c r="AA1461" s="57"/>
      <c r="AB1461" s="57"/>
      <c r="AC1461" s="57"/>
      <c r="AD1461" s="57"/>
      <c r="AE1461" s="57"/>
      <c r="AF1461" s="57"/>
      <c r="AG1461" s="57"/>
      <c r="AH1461" s="57"/>
      <c r="AI1461" s="57"/>
      <c r="AJ1461" s="57"/>
      <c r="AK1461" s="57"/>
      <c r="AL1461" s="57"/>
      <c r="AM1461" s="57"/>
      <c r="AN1461" s="57"/>
      <c r="AO1461" s="57"/>
      <c r="AP1461" s="57"/>
      <c r="AQ1461" s="57"/>
      <c r="AR1461" s="57"/>
      <c r="AS1461" s="57"/>
      <c r="AT1461" s="57"/>
      <c r="AU1461" s="57"/>
      <c r="AV1461" s="57"/>
      <c r="AW1461" s="57"/>
      <c r="AX1461" s="57"/>
      <c r="AY1461" s="57"/>
      <c r="AZ1461" s="57"/>
      <c r="BA1461" s="57"/>
      <c r="BB1461" s="57"/>
      <c r="BC1461" s="57"/>
      <c r="BD1461" s="57"/>
      <c r="BE1461" s="57"/>
      <c r="BF1461" s="57"/>
    </row>
    <row r="1462" spans="1:58" s="59" customFormat="1" x14ac:dyDescent="0.25">
      <c r="A1462" s="53"/>
      <c r="B1462" s="60"/>
      <c r="C1462" s="57">
        <f t="shared" si="112"/>
        <v>0</v>
      </c>
      <c r="D1462" s="56"/>
      <c r="E1462" s="57">
        <f>[1]DETAY!$A$2</f>
        <v>0</v>
      </c>
      <c r="F1462" s="90">
        <f t="shared" si="113"/>
        <v>0</v>
      </c>
      <c r="G1462" s="92">
        <f t="shared" si="114"/>
        <v>0</v>
      </c>
      <c r="H1462" s="62" t="e">
        <f t="shared" si="115"/>
        <v>#DIV/0!</v>
      </c>
      <c r="I1462" s="57"/>
      <c r="J1462" s="57"/>
      <c r="K1462" s="57"/>
      <c r="L1462" s="57"/>
      <c r="M1462" s="58"/>
      <c r="N1462" s="57"/>
      <c r="O1462" s="57"/>
      <c r="P1462" s="57"/>
      <c r="Q1462" s="57"/>
      <c r="R1462" s="57"/>
      <c r="S1462" s="61"/>
      <c r="T1462" s="57"/>
      <c r="U1462" s="57"/>
      <c r="V1462" s="57"/>
      <c r="W1462" s="57"/>
      <c r="X1462" s="57"/>
      <c r="Y1462" s="57"/>
      <c r="Z1462" s="57"/>
      <c r="AA1462" s="57"/>
      <c r="AB1462" s="57"/>
      <c r="AC1462" s="57"/>
      <c r="AD1462" s="57"/>
      <c r="AE1462" s="57"/>
      <c r="AF1462" s="57"/>
      <c r="AG1462" s="57"/>
      <c r="AH1462" s="57"/>
      <c r="AI1462" s="57"/>
      <c r="AJ1462" s="57"/>
      <c r="AK1462" s="57"/>
      <c r="AL1462" s="57"/>
      <c r="AM1462" s="57"/>
      <c r="AN1462" s="57"/>
      <c r="AO1462" s="57"/>
      <c r="AP1462" s="57"/>
      <c r="AQ1462" s="57"/>
      <c r="AR1462" s="57"/>
      <c r="AS1462" s="57"/>
      <c r="AT1462" s="57"/>
      <c r="AU1462" s="57"/>
      <c r="AV1462" s="57"/>
      <c r="AW1462" s="57"/>
      <c r="AX1462" s="57"/>
      <c r="AY1462" s="57"/>
      <c r="AZ1462" s="57"/>
      <c r="BA1462" s="57"/>
      <c r="BB1462" s="57"/>
      <c r="BC1462" s="57"/>
      <c r="BD1462" s="57"/>
      <c r="BE1462" s="57"/>
      <c r="BF1462" s="57"/>
    </row>
    <row r="1463" spans="1:58" s="59" customFormat="1" x14ac:dyDescent="0.25">
      <c r="A1463" s="53"/>
      <c r="B1463" s="60"/>
      <c r="C1463" s="57">
        <f t="shared" si="112"/>
        <v>0</v>
      </c>
      <c r="D1463" s="56"/>
      <c r="E1463" s="57">
        <f>[1]DETAY!$A$2</f>
        <v>0</v>
      </c>
      <c r="F1463" s="90">
        <f t="shared" si="113"/>
        <v>0</v>
      </c>
      <c r="G1463" s="92">
        <f t="shared" si="114"/>
        <v>0</v>
      </c>
      <c r="H1463" s="62" t="e">
        <f t="shared" si="115"/>
        <v>#DIV/0!</v>
      </c>
      <c r="I1463" s="57"/>
      <c r="J1463" s="57"/>
      <c r="K1463" s="57"/>
      <c r="L1463" s="57"/>
      <c r="M1463" s="58"/>
      <c r="N1463" s="57"/>
      <c r="O1463" s="57"/>
      <c r="P1463" s="57"/>
      <c r="Q1463" s="57"/>
      <c r="R1463" s="57"/>
      <c r="S1463" s="61"/>
      <c r="T1463" s="57"/>
      <c r="U1463" s="57"/>
      <c r="V1463" s="57"/>
      <c r="W1463" s="57"/>
      <c r="X1463" s="57"/>
      <c r="Y1463" s="57"/>
      <c r="Z1463" s="57"/>
      <c r="AA1463" s="57"/>
      <c r="AB1463" s="57"/>
      <c r="AC1463" s="57"/>
      <c r="AD1463" s="57"/>
      <c r="AE1463" s="57"/>
      <c r="AF1463" s="57"/>
      <c r="AG1463" s="57"/>
      <c r="AH1463" s="57"/>
      <c r="AI1463" s="57"/>
      <c r="AJ1463" s="57"/>
      <c r="AK1463" s="57"/>
      <c r="AL1463" s="57"/>
      <c r="AM1463" s="57"/>
      <c r="AN1463" s="57"/>
      <c r="AO1463" s="57"/>
      <c r="AP1463" s="57"/>
      <c r="AQ1463" s="57"/>
      <c r="AR1463" s="57"/>
      <c r="AS1463" s="57"/>
      <c r="AT1463" s="57"/>
      <c r="AU1463" s="57"/>
      <c r="AV1463" s="57"/>
      <c r="AW1463" s="57"/>
      <c r="AX1463" s="57"/>
      <c r="AY1463" s="57"/>
      <c r="AZ1463" s="57"/>
      <c r="BA1463" s="57"/>
      <c r="BB1463" s="57"/>
      <c r="BC1463" s="57"/>
      <c r="BD1463" s="57"/>
      <c r="BE1463" s="57"/>
      <c r="BF1463" s="57"/>
    </row>
    <row r="1464" spans="1:58" s="59" customFormat="1" x14ac:dyDescent="0.25">
      <c r="A1464" s="53"/>
      <c r="B1464" s="60"/>
      <c r="C1464" s="57">
        <f t="shared" si="112"/>
        <v>0</v>
      </c>
      <c r="D1464" s="56"/>
      <c r="E1464" s="57">
        <f>[1]DETAY!$A$2</f>
        <v>0</v>
      </c>
      <c r="F1464" s="90">
        <f t="shared" si="113"/>
        <v>0</v>
      </c>
      <c r="G1464" s="92">
        <f t="shared" si="114"/>
        <v>0</v>
      </c>
      <c r="H1464" s="62" t="e">
        <f t="shared" si="115"/>
        <v>#DIV/0!</v>
      </c>
      <c r="I1464" s="57"/>
      <c r="J1464" s="57"/>
      <c r="K1464" s="57"/>
      <c r="L1464" s="57"/>
      <c r="M1464" s="58"/>
      <c r="N1464" s="57"/>
      <c r="O1464" s="57"/>
      <c r="P1464" s="57"/>
      <c r="Q1464" s="57"/>
      <c r="R1464" s="57"/>
      <c r="S1464" s="61"/>
      <c r="T1464" s="57"/>
      <c r="U1464" s="57"/>
      <c r="V1464" s="57"/>
      <c r="W1464" s="57"/>
      <c r="X1464" s="57"/>
      <c r="Y1464" s="57"/>
      <c r="Z1464" s="57"/>
      <c r="AA1464" s="57"/>
      <c r="AB1464" s="57"/>
      <c r="AC1464" s="57"/>
      <c r="AD1464" s="57"/>
      <c r="AE1464" s="57"/>
      <c r="AF1464" s="57"/>
      <c r="AG1464" s="57"/>
      <c r="AH1464" s="57"/>
      <c r="AI1464" s="57"/>
      <c r="AJ1464" s="57"/>
      <c r="AK1464" s="57"/>
      <c r="AL1464" s="57"/>
      <c r="AM1464" s="57"/>
      <c r="AN1464" s="57"/>
      <c r="AO1464" s="57"/>
      <c r="AP1464" s="57"/>
      <c r="AQ1464" s="57"/>
      <c r="AR1464" s="57"/>
      <c r="AS1464" s="57"/>
      <c r="AT1464" s="57"/>
      <c r="AU1464" s="57"/>
      <c r="AV1464" s="57"/>
      <c r="AW1464" s="57"/>
      <c r="AX1464" s="57"/>
      <c r="AY1464" s="57"/>
      <c r="AZ1464" s="57"/>
      <c r="BA1464" s="57"/>
      <c r="BB1464" s="57"/>
      <c r="BC1464" s="57"/>
      <c r="BD1464" s="57"/>
      <c r="BE1464" s="57"/>
      <c r="BF1464" s="57"/>
    </row>
    <row r="1465" spans="1:58" s="59" customFormat="1" x14ac:dyDescent="0.25">
      <c r="A1465" s="53"/>
      <c r="B1465" s="60"/>
      <c r="C1465" s="57">
        <f t="shared" si="112"/>
        <v>0</v>
      </c>
      <c r="D1465" s="56"/>
      <c r="E1465" s="57">
        <f>[1]DETAY!$A$2</f>
        <v>0</v>
      </c>
      <c r="F1465" s="90">
        <f t="shared" si="113"/>
        <v>0</v>
      </c>
      <c r="G1465" s="92">
        <f t="shared" si="114"/>
        <v>0</v>
      </c>
      <c r="H1465" s="62" t="e">
        <f t="shared" si="115"/>
        <v>#DIV/0!</v>
      </c>
      <c r="I1465" s="57"/>
      <c r="J1465" s="57"/>
      <c r="K1465" s="57"/>
      <c r="L1465" s="57"/>
      <c r="M1465" s="58"/>
      <c r="N1465" s="57"/>
      <c r="O1465" s="57"/>
      <c r="P1465" s="57"/>
      <c r="Q1465" s="57"/>
      <c r="R1465" s="57"/>
      <c r="S1465" s="61"/>
      <c r="T1465" s="57"/>
      <c r="U1465" s="57"/>
      <c r="V1465" s="57"/>
      <c r="W1465" s="57"/>
      <c r="X1465" s="57"/>
      <c r="Y1465" s="57"/>
      <c r="Z1465" s="57"/>
      <c r="AA1465" s="57"/>
      <c r="AB1465" s="57"/>
      <c r="AC1465" s="57"/>
      <c r="AD1465" s="57"/>
      <c r="AE1465" s="57"/>
      <c r="AF1465" s="57"/>
      <c r="AG1465" s="57"/>
      <c r="AH1465" s="57"/>
      <c r="AI1465" s="57"/>
      <c r="AJ1465" s="57"/>
      <c r="AK1465" s="57"/>
      <c r="AL1465" s="57"/>
      <c r="AM1465" s="57"/>
      <c r="AN1465" s="57"/>
      <c r="AO1465" s="57"/>
      <c r="AP1465" s="57"/>
      <c r="AQ1465" s="57"/>
      <c r="AR1465" s="57"/>
      <c r="AS1465" s="57"/>
      <c r="AT1465" s="57"/>
      <c r="AU1465" s="57"/>
      <c r="AV1465" s="57"/>
      <c r="AW1465" s="57"/>
      <c r="AX1465" s="57"/>
      <c r="AY1465" s="57"/>
      <c r="AZ1465" s="57"/>
      <c r="BA1465" s="57"/>
      <c r="BB1465" s="57"/>
      <c r="BC1465" s="57"/>
      <c r="BD1465" s="57"/>
      <c r="BE1465" s="57"/>
      <c r="BF1465" s="57"/>
    </row>
    <row r="1466" spans="1:58" s="59" customFormat="1" x14ac:dyDescent="0.25">
      <c r="A1466" s="53"/>
      <c r="B1466" s="60"/>
      <c r="C1466" s="57">
        <f t="shared" si="112"/>
        <v>0</v>
      </c>
      <c r="D1466" s="56"/>
      <c r="E1466" s="57">
        <f>[1]DETAY!$A$2</f>
        <v>0</v>
      </c>
      <c r="F1466" s="90">
        <f t="shared" si="113"/>
        <v>0</v>
      </c>
      <c r="G1466" s="92">
        <f t="shared" si="114"/>
        <v>0</v>
      </c>
      <c r="H1466" s="62" t="e">
        <f t="shared" si="115"/>
        <v>#DIV/0!</v>
      </c>
      <c r="I1466" s="57"/>
      <c r="J1466" s="57"/>
      <c r="K1466" s="57"/>
      <c r="L1466" s="57"/>
      <c r="M1466" s="58"/>
      <c r="N1466" s="57"/>
      <c r="O1466" s="57"/>
      <c r="P1466" s="57"/>
      <c r="Q1466" s="57"/>
      <c r="R1466" s="57"/>
      <c r="S1466" s="61"/>
      <c r="T1466" s="57"/>
      <c r="U1466" s="57"/>
      <c r="V1466" s="57"/>
      <c r="W1466" s="57"/>
      <c r="X1466" s="57"/>
      <c r="Y1466" s="57"/>
      <c r="Z1466" s="57"/>
      <c r="AA1466" s="57"/>
      <c r="AB1466" s="57"/>
      <c r="AC1466" s="57"/>
      <c r="AD1466" s="57"/>
      <c r="AE1466" s="57"/>
      <c r="AF1466" s="57"/>
      <c r="AG1466" s="57"/>
      <c r="AH1466" s="57"/>
      <c r="AI1466" s="57"/>
      <c r="AJ1466" s="57"/>
      <c r="AK1466" s="57"/>
      <c r="AL1466" s="57"/>
      <c r="AM1466" s="57"/>
      <c r="AN1466" s="57"/>
      <c r="AO1466" s="57"/>
      <c r="AP1466" s="57"/>
      <c r="AQ1466" s="57"/>
      <c r="AR1466" s="57"/>
      <c r="AS1466" s="57"/>
      <c r="AT1466" s="57"/>
      <c r="AU1466" s="57"/>
      <c r="AV1466" s="57"/>
      <c r="AW1466" s="57"/>
      <c r="AX1466" s="57"/>
      <c r="AY1466" s="57"/>
      <c r="AZ1466" s="57"/>
      <c r="BA1466" s="57"/>
      <c r="BB1466" s="57"/>
      <c r="BC1466" s="57"/>
      <c r="BD1466" s="57"/>
      <c r="BE1466" s="57"/>
      <c r="BF1466" s="57"/>
    </row>
    <row r="1467" spans="1:58" s="59" customFormat="1" x14ac:dyDescent="0.25">
      <c r="A1467" s="53"/>
      <c r="B1467" s="60"/>
      <c r="C1467" s="57">
        <f t="shared" si="112"/>
        <v>0</v>
      </c>
      <c r="D1467" s="56"/>
      <c r="E1467" s="57">
        <f>[1]DETAY!$A$2</f>
        <v>0</v>
      </c>
      <c r="F1467" s="90">
        <f t="shared" si="113"/>
        <v>0</v>
      </c>
      <c r="G1467" s="92">
        <f t="shared" si="114"/>
        <v>0</v>
      </c>
      <c r="H1467" s="62" t="e">
        <f t="shared" si="115"/>
        <v>#DIV/0!</v>
      </c>
      <c r="I1467" s="57"/>
      <c r="J1467" s="57"/>
      <c r="K1467" s="57"/>
      <c r="L1467" s="57"/>
      <c r="M1467" s="58"/>
      <c r="N1467" s="57"/>
      <c r="O1467" s="57"/>
      <c r="P1467" s="57"/>
      <c r="Q1467" s="57"/>
      <c r="R1467" s="57"/>
      <c r="S1467" s="61"/>
      <c r="T1467" s="57"/>
      <c r="U1467" s="57"/>
      <c r="V1467" s="57"/>
      <c r="W1467" s="57"/>
      <c r="X1467" s="57"/>
      <c r="Y1467" s="57"/>
      <c r="Z1467" s="57"/>
      <c r="AA1467" s="57"/>
      <c r="AB1467" s="57"/>
      <c r="AC1467" s="57"/>
      <c r="AD1467" s="57"/>
      <c r="AE1467" s="57"/>
      <c r="AF1467" s="57"/>
      <c r="AG1467" s="57"/>
      <c r="AH1467" s="57"/>
      <c r="AI1467" s="57"/>
      <c r="AJ1467" s="57"/>
      <c r="AK1467" s="57"/>
      <c r="AL1467" s="57"/>
      <c r="AM1467" s="57"/>
      <c r="AN1467" s="57"/>
      <c r="AO1467" s="57"/>
      <c r="AP1467" s="57"/>
      <c r="AQ1467" s="57"/>
      <c r="AR1467" s="57"/>
      <c r="AS1467" s="57"/>
      <c r="AT1467" s="57"/>
      <c r="AU1467" s="57"/>
      <c r="AV1467" s="57"/>
      <c r="AW1467" s="57"/>
      <c r="AX1467" s="57"/>
      <c r="AY1467" s="57"/>
      <c r="AZ1467" s="57"/>
      <c r="BA1467" s="57"/>
      <c r="BB1467" s="57"/>
      <c r="BC1467" s="57"/>
      <c r="BD1467" s="57"/>
      <c r="BE1467" s="57"/>
      <c r="BF1467" s="57"/>
    </row>
    <row r="1468" spans="1:58" s="59" customFormat="1" x14ac:dyDescent="0.25">
      <c r="A1468" s="53"/>
      <c r="B1468" s="60"/>
      <c r="C1468" s="57">
        <f t="shared" si="112"/>
        <v>0</v>
      </c>
      <c r="D1468" s="56"/>
      <c r="E1468" s="57">
        <f>[1]DETAY!$A$2</f>
        <v>0</v>
      </c>
      <c r="F1468" s="90">
        <f t="shared" si="113"/>
        <v>0</v>
      </c>
      <c r="G1468" s="92">
        <f t="shared" si="114"/>
        <v>0</v>
      </c>
      <c r="H1468" s="62" t="e">
        <f t="shared" si="115"/>
        <v>#DIV/0!</v>
      </c>
      <c r="I1468" s="57"/>
      <c r="J1468" s="57"/>
      <c r="K1468" s="57"/>
      <c r="L1468" s="57"/>
      <c r="M1468" s="58"/>
      <c r="N1468" s="57"/>
      <c r="O1468" s="57"/>
      <c r="P1468" s="57"/>
      <c r="Q1468" s="57"/>
      <c r="R1468" s="57"/>
      <c r="S1468" s="61"/>
      <c r="T1468" s="57"/>
      <c r="U1468" s="57"/>
      <c r="V1468" s="57"/>
      <c r="W1468" s="57"/>
      <c r="X1468" s="57"/>
      <c r="Y1468" s="57"/>
      <c r="Z1468" s="57"/>
      <c r="AA1468" s="57"/>
      <c r="AB1468" s="57"/>
      <c r="AC1468" s="57"/>
      <c r="AD1468" s="57"/>
      <c r="AE1468" s="57"/>
      <c r="AF1468" s="57"/>
      <c r="AG1468" s="57"/>
      <c r="AH1468" s="57"/>
      <c r="AI1468" s="57"/>
      <c r="AJ1468" s="57"/>
      <c r="AK1468" s="57"/>
      <c r="AL1468" s="57"/>
      <c r="AM1468" s="57"/>
      <c r="AN1468" s="57"/>
      <c r="AO1468" s="57"/>
      <c r="AP1468" s="57"/>
      <c r="AQ1468" s="57"/>
      <c r="AR1468" s="57"/>
      <c r="AS1468" s="57"/>
      <c r="AT1468" s="57"/>
      <c r="AU1468" s="57"/>
      <c r="AV1468" s="57"/>
      <c r="AW1468" s="57"/>
      <c r="AX1468" s="57"/>
      <c r="AY1468" s="57"/>
      <c r="AZ1468" s="57"/>
      <c r="BA1468" s="57"/>
      <c r="BB1468" s="57"/>
      <c r="BC1468" s="57"/>
      <c r="BD1468" s="57"/>
      <c r="BE1468" s="57"/>
      <c r="BF1468" s="57"/>
    </row>
    <row r="1469" spans="1:58" s="59" customFormat="1" x14ac:dyDescent="0.25">
      <c r="A1469" s="53"/>
      <c r="B1469" s="60"/>
      <c r="C1469" s="57">
        <f t="shared" si="112"/>
        <v>0</v>
      </c>
      <c r="D1469" s="56"/>
      <c r="E1469" s="57">
        <f>[1]DETAY!$A$2</f>
        <v>0</v>
      </c>
      <c r="F1469" s="90">
        <f t="shared" si="113"/>
        <v>0</v>
      </c>
      <c r="G1469" s="92">
        <f t="shared" si="114"/>
        <v>0</v>
      </c>
      <c r="H1469" s="62" t="e">
        <f t="shared" si="115"/>
        <v>#DIV/0!</v>
      </c>
      <c r="I1469" s="57"/>
      <c r="J1469" s="57"/>
      <c r="K1469" s="57"/>
      <c r="L1469" s="57"/>
      <c r="M1469" s="58"/>
      <c r="N1469" s="57"/>
      <c r="O1469" s="57"/>
      <c r="P1469" s="57"/>
      <c r="Q1469" s="57"/>
      <c r="R1469" s="57"/>
      <c r="S1469" s="61"/>
      <c r="T1469" s="57"/>
      <c r="U1469" s="57"/>
      <c r="V1469" s="57"/>
      <c r="W1469" s="57"/>
      <c r="X1469" s="57"/>
      <c r="Y1469" s="57"/>
      <c r="Z1469" s="57"/>
      <c r="AA1469" s="57"/>
      <c r="AB1469" s="57"/>
      <c r="AC1469" s="57"/>
      <c r="AD1469" s="57"/>
      <c r="AE1469" s="57"/>
      <c r="AF1469" s="57"/>
      <c r="AG1469" s="57"/>
      <c r="AH1469" s="57"/>
      <c r="AI1469" s="57"/>
      <c r="AJ1469" s="57"/>
      <c r="AK1469" s="57"/>
      <c r="AL1469" s="57"/>
      <c r="AM1469" s="57"/>
      <c r="AN1469" s="57"/>
      <c r="AO1469" s="57"/>
      <c r="AP1469" s="57"/>
      <c r="AQ1469" s="57"/>
      <c r="AR1469" s="57"/>
      <c r="AS1469" s="57"/>
      <c r="AT1469" s="57"/>
      <c r="AU1469" s="57"/>
      <c r="AV1469" s="57"/>
      <c r="AW1469" s="57"/>
      <c r="AX1469" s="57"/>
      <c r="AY1469" s="57"/>
      <c r="AZ1469" s="57"/>
      <c r="BA1469" s="57"/>
      <c r="BB1469" s="57"/>
      <c r="BC1469" s="57"/>
      <c r="BD1469" s="57"/>
      <c r="BE1469" s="57"/>
      <c r="BF1469" s="57"/>
    </row>
    <row r="1470" spans="1:58" s="59" customFormat="1" x14ac:dyDescent="0.25">
      <c r="A1470" s="53"/>
      <c r="B1470" s="60"/>
      <c r="C1470" s="57">
        <f t="shared" si="112"/>
        <v>0</v>
      </c>
      <c r="D1470" s="56"/>
      <c r="E1470" s="57">
        <f>[1]DETAY!$A$2</f>
        <v>0</v>
      </c>
      <c r="F1470" s="90">
        <f t="shared" si="113"/>
        <v>0</v>
      </c>
      <c r="G1470" s="92">
        <f t="shared" si="114"/>
        <v>0</v>
      </c>
      <c r="H1470" s="62" t="e">
        <f t="shared" si="115"/>
        <v>#DIV/0!</v>
      </c>
      <c r="I1470" s="57"/>
      <c r="J1470" s="57"/>
      <c r="K1470" s="57"/>
      <c r="L1470" s="57"/>
      <c r="M1470" s="58"/>
      <c r="N1470" s="57"/>
      <c r="O1470" s="57"/>
      <c r="P1470" s="57"/>
      <c r="Q1470" s="57"/>
      <c r="R1470" s="57"/>
      <c r="S1470" s="61"/>
      <c r="T1470" s="57"/>
      <c r="U1470" s="57"/>
      <c r="V1470" s="57"/>
      <c r="W1470" s="57"/>
      <c r="X1470" s="57"/>
      <c r="Y1470" s="57"/>
      <c r="Z1470" s="57"/>
      <c r="AA1470" s="57"/>
      <c r="AB1470" s="57"/>
      <c r="AC1470" s="57"/>
      <c r="AD1470" s="57"/>
      <c r="AE1470" s="57"/>
      <c r="AF1470" s="57"/>
      <c r="AG1470" s="57"/>
      <c r="AH1470" s="57"/>
      <c r="AI1470" s="57"/>
      <c r="AJ1470" s="57"/>
      <c r="AK1470" s="57"/>
      <c r="AL1470" s="57"/>
      <c r="AM1470" s="57"/>
      <c r="AN1470" s="57"/>
      <c r="AO1470" s="57"/>
      <c r="AP1470" s="57"/>
      <c r="AQ1470" s="57"/>
      <c r="AR1470" s="57"/>
      <c r="AS1470" s="57"/>
      <c r="AT1470" s="57"/>
      <c r="AU1470" s="57"/>
      <c r="AV1470" s="57"/>
      <c r="AW1470" s="57"/>
      <c r="AX1470" s="57"/>
      <c r="AY1470" s="57"/>
      <c r="AZ1470" s="57"/>
      <c r="BA1470" s="57"/>
      <c r="BB1470" s="57"/>
      <c r="BC1470" s="57"/>
      <c r="BD1470" s="57"/>
      <c r="BE1470" s="57"/>
      <c r="BF1470" s="57"/>
    </row>
    <row r="1471" spans="1:58" s="59" customFormat="1" x14ac:dyDescent="0.25">
      <c r="A1471" s="53"/>
      <c r="B1471" s="60"/>
      <c r="C1471" s="57">
        <f t="shared" si="112"/>
        <v>0</v>
      </c>
      <c r="D1471" s="56"/>
      <c r="E1471" s="57">
        <f>[1]DETAY!$A$2</f>
        <v>0</v>
      </c>
      <c r="F1471" s="90">
        <f t="shared" si="113"/>
        <v>0</v>
      </c>
      <c r="G1471" s="92">
        <f t="shared" si="114"/>
        <v>0</v>
      </c>
      <c r="H1471" s="62" t="e">
        <f t="shared" si="115"/>
        <v>#DIV/0!</v>
      </c>
      <c r="I1471" s="57"/>
      <c r="J1471" s="57"/>
      <c r="K1471" s="57"/>
      <c r="L1471" s="57"/>
      <c r="M1471" s="58"/>
      <c r="N1471" s="57"/>
      <c r="O1471" s="57"/>
      <c r="P1471" s="57"/>
      <c r="Q1471" s="57"/>
      <c r="R1471" s="57"/>
      <c r="S1471" s="61"/>
      <c r="T1471" s="57"/>
      <c r="U1471" s="57"/>
      <c r="V1471" s="57"/>
      <c r="W1471" s="57"/>
      <c r="X1471" s="57"/>
      <c r="Y1471" s="57"/>
      <c r="Z1471" s="57"/>
      <c r="AA1471" s="57"/>
      <c r="AB1471" s="57"/>
      <c r="AC1471" s="57"/>
      <c r="AD1471" s="57"/>
      <c r="AE1471" s="57"/>
      <c r="AF1471" s="57"/>
      <c r="AG1471" s="57"/>
      <c r="AH1471" s="57"/>
      <c r="AI1471" s="57"/>
      <c r="AJ1471" s="57"/>
      <c r="AK1471" s="57"/>
      <c r="AL1471" s="57"/>
      <c r="AM1471" s="57"/>
      <c r="AN1471" s="57"/>
      <c r="AO1471" s="57"/>
      <c r="AP1471" s="57"/>
      <c r="AQ1471" s="57"/>
      <c r="AR1471" s="57"/>
      <c r="AS1471" s="57"/>
      <c r="AT1471" s="57"/>
      <c r="AU1471" s="57"/>
      <c r="AV1471" s="57"/>
      <c r="AW1471" s="57"/>
      <c r="AX1471" s="57"/>
      <c r="AY1471" s="57"/>
      <c r="AZ1471" s="57"/>
      <c r="BA1471" s="57"/>
      <c r="BB1471" s="57"/>
      <c r="BC1471" s="57"/>
      <c r="BD1471" s="57"/>
      <c r="BE1471" s="57"/>
      <c r="BF1471" s="57"/>
    </row>
    <row r="1472" spans="1:58" s="59" customFormat="1" x14ac:dyDescent="0.25">
      <c r="A1472" s="53"/>
      <c r="B1472" s="60"/>
      <c r="C1472" s="57">
        <f t="shared" si="112"/>
        <v>0</v>
      </c>
      <c r="D1472" s="56"/>
      <c r="E1472" s="57">
        <f>[1]DETAY!$A$2</f>
        <v>0</v>
      </c>
      <c r="F1472" s="90">
        <f t="shared" si="113"/>
        <v>0</v>
      </c>
      <c r="G1472" s="92">
        <f t="shared" si="114"/>
        <v>0</v>
      </c>
      <c r="H1472" s="62" t="e">
        <f t="shared" si="115"/>
        <v>#DIV/0!</v>
      </c>
      <c r="I1472" s="57"/>
      <c r="J1472" s="57"/>
      <c r="K1472" s="57"/>
      <c r="L1472" s="57"/>
      <c r="M1472" s="58"/>
      <c r="N1472" s="57"/>
      <c r="O1472" s="57"/>
      <c r="P1472" s="57"/>
      <c r="Q1472" s="57"/>
      <c r="R1472" s="57"/>
      <c r="S1472" s="61"/>
      <c r="T1472" s="57"/>
      <c r="U1472" s="57"/>
      <c r="V1472" s="57"/>
      <c r="W1472" s="57"/>
      <c r="X1472" s="57"/>
      <c r="Y1472" s="57"/>
      <c r="Z1472" s="57"/>
      <c r="AA1472" s="57"/>
      <c r="AB1472" s="57"/>
      <c r="AC1472" s="57"/>
      <c r="AD1472" s="57"/>
      <c r="AE1472" s="57"/>
      <c r="AF1472" s="57"/>
      <c r="AG1472" s="57"/>
      <c r="AH1472" s="57"/>
      <c r="AI1472" s="57"/>
      <c r="AJ1472" s="57"/>
      <c r="AK1472" s="57"/>
      <c r="AL1472" s="57"/>
      <c r="AM1472" s="57"/>
      <c r="AN1472" s="57"/>
      <c r="AO1472" s="57"/>
      <c r="AP1472" s="57"/>
      <c r="AQ1472" s="57"/>
      <c r="AR1472" s="57"/>
      <c r="AS1472" s="57"/>
      <c r="AT1472" s="57"/>
      <c r="AU1472" s="57"/>
      <c r="AV1472" s="57"/>
      <c r="AW1472" s="57"/>
      <c r="AX1472" s="57"/>
      <c r="AY1472" s="57"/>
      <c r="AZ1472" s="57"/>
      <c r="BA1472" s="57"/>
      <c r="BB1472" s="57"/>
      <c r="BC1472" s="57"/>
      <c r="BD1472" s="57"/>
      <c r="BE1472" s="57"/>
      <c r="BF1472" s="57"/>
    </row>
    <row r="1473" spans="1:58" s="59" customFormat="1" x14ac:dyDescent="0.25">
      <c r="A1473" s="53"/>
      <c r="B1473" s="60"/>
      <c r="C1473" s="57">
        <f t="shared" si="112"/>
        <v>0</v>
      </c>
      <c r="D1473" s="56"/>
      <c r="E1473" s="57">
        <f>[1]DETAY!$A$2</f>
        <v>0</v>
      </c>
      <c r="F1473" s="90">
        <f t="shared" si="113"/>
        <v>0</v>
      </c>
      <c r="G1473" s="92">
        <f t="shared" si="114"/>
        <v>0</v>
      </c>
      <c r="H1473" s="62" t="e">
        <f t="shared" si="115"/>
        <v>#DIV/0!</v>
      </c>
      <c r="I1473" s="57"/>
      <c r="J1473" s="57"/>
      <c r="K1473" s="57"/>
      <c r="L1473" s="57"/>
      <c r="M1473" s="58"/>
      <c r="N1473" s="57"/>
      <c r="O1473" s="57"/>
      <c r="P1473" s="57"/>
      <c r="Q1473" s="57"/>
      <c r="R1473" s="57"/>
      <c r="S1473" s="61"/>
      <c r="T1473" s="57"/>
      <c r="U1473" s="57"/>
      <c r="V1473" s="57"/>
      <c r="W1473" s="57"/>
      <c r="X1473" s="57"/>
      <c r="Y1473" s="57"/>
      <c r="Z1473" s="57"/>
      <c r="AA1473" s="57"/>
      <c r="AB1473" s="57"/>
      <c r="AC1473" s="57"/>
      <c r="AD1473" s="57"/>
      <c r="AE1473" s="57"/>
      <c r="AF1473" s="57"/>
      <c r="AG1473" s="57"/>
      <c r="AH1473" s="57"/>
      <c r="AI1473" s="57"/>
      <c r="AJ1473" s="57"/>
      <c r="AK1473" s="57"/>
      <c r="AL1473" s="57"/>
      <c r="AM1473" s="57"/>
      <c r="AN1473" s="57"/>
      <c r="AO1473" s="57"/>
      <c r="AP1473" s="57"/>
      <c r="AQ1473" s="57"/>
      <c r="AR1473" s="57"/>
      <c r="AS1473" s="57"/>
      <c r="AT1473" s="57"/>
      <c r="AU1473" s="57"/>
      <c r="AV1473" s="57"/>
      <c r="AW1473" s="57"/>
      <c r="AX1473" s="57"/>
      <c r="AY1473" s="57"/>
      <c r="AZ1473" s="57"/>
      <c r="BA1473" s="57"/>
      <c r="BB1473" s="57"/>
      <c r="BC1473" s="57"/>
      <c r="BD1473" s="57"/>
      <c r="BE1473" s="57"/>
      <c r="BF1473" s="57"/>
    </row>
    <row r="1474" spans="1:58" s="59" customFormat="1" x14ac:dyDescent="0.25">
      <c r="A1474" s="53"/>
      <c r="B1474" s="60"/>
      <c r="C1474" s="57">
        <f t="shared" si="112"/>
        <v>0</v>
      </c>
      <c r="D1474" s="56"/>
      <c r="E1474" s="57">
        <f>[1]DETAY!$A$2</f>
        <v>0</v>
      </c>
      <c r="F1474" s="90">
        <f t="shared" si="113"/>
        <v>0</v>
      </c>
      <c r="G1474" s="92">
        <f t="shared" si="114"/>
        <v>0</v>
      </c>
      <c r="H1474" s="62" t="e">
        <f t="shared" si="115"/>
        <v>#DIV/0!</v>
      </c>
      <c r="I1474" s="57"/>
      <c r="J1474" s="57"/>
      <c r="K1474" s="57"/>
      <c r="L1474" s="57"/>
      <c r="M1474" s="58"/>
      <c r="N1474" s="57"/>
      <c r="O1474" s="57"/>
      <c r="P1474" s="57"/>
      <c r="Q1474" s="57"/>
      <c r="R1474" s="57"/>
      <c r="S1474" s="61"/>
      <c r="T1474" s="57"/>
      <c r="U1474" s="57"/>
      <c r="V1474" s="57"/>
      <c r="W1474" s="57"/>
      <c r="X1474" s="57"/>
      <c r="Y1474" s="57"/>
      <c r="Z1474" s="57"/>
      <c r="AA1474" s="57"/>
      <c r="AB1474" s="57"/>
      <c r="AC1474" s="57"/>
      <c r="AD1474" s="57"/>
      <c r="AE1474" s="57"/>
      <c r="AF1474" s="57"/>
      <c r="AG1474" s="57"/>
      <c r="AH1474" s="57"/>
      <c r="AI1474" s="57"/>
      <c r="AJ1474" s="57"/>
      <c r="AK1474" s="57"/>
      <c r="AL1474" s="57"/>
      <c r="AM1474" s="57"/>
      <c r="AN1474" s="57"/>
      <c r="AO1474" s="57"/>
      <c r="AP1474" s="57"/>
      <c r="AQ1474" s="57"/>
      <c r="AR1474" s="57"/>
      <c r="AS1474" s="57"/>
      <c r="AT1474" s="57"/>
      <c r="AU1474" s="57"/>
      <c r="AV1474" s="57"/>
      <c r="AW1474" s="57"/>
      <c r="AX1474" s="57"/>
      <c r="AY1474" s="57"/>
      <c r="AZ1474" s="57"/>
      <c r="BA1474" s="57"/>
      <c r="BB1474" s="57"/>
      <c r="BC1474" s="57"/>
      <c r="BD1474" s="57"/>
      <c r="BE1474" s="57"/>
      <c r="BF1474" s="57"/>
    </row>
    <row r="1475" spans="1:58" s="59" customFormat="1" x14ac:dyDescent="0.25">
      <c r="A1475" s="53"/>
      <c r="B1475" s="60"/>
      <c r="C1475" s="57">
        <f t="shared" si="112"/>
        <v>0</v>
      </c>
      <c r="D1475" s="56"/>
      <c r="E1475" s="57">
        <f>[1]DETAY!$A$2</f>
        <v>0</v>
      </c>
      <c r="F1475" s="90">
        <f t="shared" si="113"/>
        <v>0</v>
      </c>
      <c r="G1475" s="92">
        <f t="shared" si="114"/>
        <v>0</v>
      </c>
      <c r="H1475" s="62" t="e">
        <f t="shared" si="115"/>
        <v>#DIV/0!</v>
      </c>
      <c r="I1475" s="57"/>
      <c r="J1475" s="57"/>
      <c r="K1475" s="57"/>
      <c r="L1475" s="57"/>
      <c r="M1475" s="58"/>
      <c r="N1475" s="57"/>
      <c r="O1475" s="57"/>
      <c r="P1475" s="57"/>
      <c r="Q1475" s="57"/>
      <c r="R1475" s="57"/>
      <c r="S1475" s="61"/>
      <c r="T1475" s="57"/>
      <c r="U1475" s="57"/>
      <c r="V1475" s="57"/>
      <c r="W1475" s="57"/>
      <c r="X1475" s="57"/>
      <c r="Y1475" s="57"/>
      <c r="Z1475" s="57"/>
      <c r="AA1475" s="57"/>
      <c r="AB1475" s="57"/>
      <c r="AC1475" s="57"/>
      <c r="AD1475" s="57"/>
      <c r="AE1475" s="57"/>
      <c r="AF1475" s="57"/>
      <c r="AG1475" s="57"/>
      <c r="AH1475" s="57"/>
      <c r="AI1475" s="57"/>
      <c r="AJ1475" s="57"/>
      <c r="AK1475" s="57"/>
      <c r="AL1475" s="57"/>
      <c r="AM1475" s="57"/>
      <c r="AN1475" s="57"/>
      <c r="AO1475" s="57"/>
      <c r="AP1475" s="57"/>
      <c r="AQ1475" s="57"/>
      <c r="AR1475" s="57"/>
      <c r="AS1475" s="57"/>
      <c r="AT1475" s="57"/>
      <c r="AU1475" s="57"/>
      <c r="AV1475" s="57"/>
      <c r="AW1475" s="57"/>
      <c r="AX1475" s="57"/>
      <c r="AY1475" s="57"/>
      <c r="AZ1475" s="57"/>
      <c r="BA1475" s="57"/>
      <c r="BB1475" s="57"/>
      <c r="BC1475" s="57"/>
      <c r="BD1475" s="57"/>
      <c r="BE1475" s="57"/>
      <c r="BF1475" s="57"/>
    </row>
    <row r="1476" spans="1:58" s="59" customFormat="1" x14ac:dyDescent="0.25">
      <c r="A1476" s="53"/>
      <c r="B1476" s="60"/>
      <c r="C1476" s="57">
        <f t="shared" si="112"/>
        <v>0</v>
      </c>
      <c r="D1476" s="56"/>
      <c r="E1476" s="57">
        <f>[1]DETAY!$A$2</f>
        <v>0</v>
      </c>
      <c r="F1476" s="90">
        <f t="shared" si="113"/>
        <v>0</v>
      </c>
      <c r="G1476" s="92">
        <f t="shared" si="114"/>
        <v>0</v>
      </c>
      <c r="H1476" s="62" t="e">
        <f t="shared" si="115"/>
        <v>#DIV/0!</v>
      </c>
      <c r="I1476" s="57"/>
      <c r="J1476" s="57"/>
      <c r="K1476" s="57"/>
      <c r="L1476" s="57"/>
      <c r="M1476" s="58"/>
      <c r="N1476" s="57"/>
      <c r="O1476" s="57"/>
      <c r="P1476" s="57"/>
      <c r="Q1476" s="57"/>
      <c r="R1476" s="57"/>
      <c r="S1476" s="61"/>
      <c r="T1476" s="57"/>
      <c r="U1476" s="57"/>
      <c r="V1476" s="57"/>
      <c r="W1476" s="57"/>
      <c r="X1476" s="57"/>
      <c r="Y1476" s="57"/>
      <c r="Z1476" s="57"/>
      <c r="AA1476" s="57"/>
      <c r="AB1476" s="57"/>
      <c r="AC1476" s="57"/>
      <c r="AD1476" s="57"/>
      <c r="AE1476" s="57"/>
      <c r="AF1476" s="57"/>
      <c r="AG1476" s="57"/>
      <c r="AH1476" s="57"/>
      <c r="AI1476" s="57"/>
      <c r="AJ1476" s="57"/>
      <c r="AK1476" s="57"/>
      <c r="AL1476" s="57"/>
      <c r="AM1476" s="57"/>
      <c r="AN1476" s="57"/>
      <c r="AO1476" s="57"/>
      <c r="AP1476" s="57"/>
      <c r="AQ1476" s="57"/>
      <c r="AR1476" s="57"/>
      <c r="AS1476" s="57"/>
      <c r="AT1476" s="57"/>
      <c r="AU1476" s="57"/>
      <c r="AV1476" s="57"/>
      <c r="AW1476" s="57"/>
      <c r="AX1476" s="57"/>
      <c r="AY1476" s="57"/>
      <c r="AZ1476" s="57"/>
      <c r="BA1476" s="57"/>
      <c r="BB1476" s="57"/>
      <c r="BC1476" s="57"/>
      <c r="BD1476" s="57"/>
      <c r="BE1476" s="57"/>
      <c r="BF1476" s="57"/>
    </row>
    <row r="1477" spans="1:58" s="59" customFormat="1" x14ac:dyDescent="0.25">
      <c r="A1477" s="53"/>
      <c r="B1477" s="60"/>
      <c r="C1477" s="57">
        <f t="shared" si="112"/>
        <v>0</v>
      </c>
      <c r="D1477" s="56"/>
      <c r="E1477" s="57">
        <f>[1]DETAY!$A$2</f>
        <v>0</v>
      </c>
      <c r="F1477" s="90">
        <f t="shared" si="113"/>
        <v>0</v>
      </c>
      <c r="G1477" s="92">
        <f t="shared" si="114"/>
        <v>0</v>
      </c>
      <c r="H1477" s="62" t="e">
        <f t="shared" si="115"/>
        <v>#DIV/0!</v>
      </c>
      <c r="I1477" s="57"/>
      <c r="J1477" s="57"/>
      <c r="K1477" s="57"/>
      <c r="L1477" s="57"/>
      <c r="M1477" s="58"/>
      <c r="N1477" s="57"/>
      <c r="O1477" s="57"/>
      <c r="P1477" s="57"/>
      <c r="Q1477" s="57"/>
      <c r="R1477" s="57"/>
      <c r="S1477" s="61"/>
      <c r="T1477" s="57"/>
      <c r="U1477" s="57"/>
      <c r="V1477" s="57"/>
      <c r="W1477" s="57"/>
      <c r="X1477" s="57"/>
      <c r="Y1477" s="57"/>
      <c r="Z1477" s="57"/>
      <c r="AA1477" s="57"/>
      <c r="AB1477" s="57"/>
      <c r="AC1477" s="57"/>
      <c r="AD1477" s="57"/>
      <c r="AE1477" s="57"/>
      <c r="AF1477" s="57"/>
      <c r="AG1477" s="57"/>
      <c r="AH1477" s="57"/>
      <c r="AI1477" s="57"/>
      <c r="AJ1477" s="57"/>
      <c r="AK1477" s="57"/>
      <c r="AL1477" s="57"/>
      <c r="AM1477" s="57"/>
      <c r="AN1477" s="57"/>
      <c r="AO1477" s="57"/>
      <c r="AP1477" s="57"/>
      <c r="AQ1477" s="57"/>
      <c r="AR1477" s="57"/>
      <c r="AS1477" s="57"/>
      <c r="AT1477" s="57"/>
      <c r="AU1477" s="57"/>
      <c r="AV1477" s="57"/>
      <c r="AW1477" s="57"/>
      <c r="AX1477" s="57"/>
      <c r="AY1477" s="57"/>
      <c r="AZ1477" s="57"/>
      <c r="BA1477" s="57"/>
      <c r="BB1477" s="57"/>
      <c r="BC1477" s="57"/>
      <c r="BD1477" s="57"/>
      <c r="BE1477" s="57"/>
      <c r="BF1477" s="57"/>
    </row>
    <row r="1478" spans="1:58" s="59" customFormat="1" x14ac:dyDescent="0.25">
      <c r="A1478" s="53"/>
      <c r="B1478" s="60"/>
      <c r="C1478" s="57">
        <f t="shared" si="112"/>
        <v>0</v>
      </c>
      <c r="D1478" s="56"/>
      <c r="E1478" s="57">
        <f>[1]DETAY!$A$2</f>
        <v>0</v>
      </c>
      <c r="F1478" s="90">
        <f t="shared" si="113"/>
        <v>0</v>
      </c>
      <c r="G1478" s="92">
        <f t="shared" si="114"/>
        <v>0</v>
      </c>
      <c r="H1478" s="62" t="e">
        <f t="shared" si="115"/>
        <v>#DIV/0!</v>
      </c>
      <c r="I1478" s="57"/>
      <c r="J1478" s="57"/>
      <c r="K1478" s="57"/>
      <c r="L1478" s="57"/>
      <c r="M1478" s="58"/>
      <c r="N1478" s="57"/>
      <c r="O1478" s="57"/>
      <c r="P1478" s="57"/>
      <c r="Q1478" s="57"/>
      <c r="R1478" s="57"/>
      <c r="S1478" s="61"/>
      <c r="T1478" s="57"/>
      <c r="U1478" s="57"/>
      <c r="V1478" s="57"/>
      <c r="W1478" s="57"/>
      <c r="X1478" s="57"/>
      <c r="Y1478" s="57"/>
      <c r="Z1478" s="57"/>
      <c r="AA1478" s="57"/>
      <c r="AB1478" s="57"/>
      <c r="AC1478" s="57"/>
      <c r="AD1478" s="57"/>
      <c r="AE1478" s="57"/>
      <c r="AF1478" s="57"/>
      <c r="AG1478" s="57"/>
      <c r="AH1478" s="57"/>
      <c r="AI1478" s="57"/>
      <c r="AJ1478" s="57"/>
      <c r="AK1478" s="57"/>
      <c r="AL1478" s="57"/>
      <c r="AM1478" s="57"/>
      <c r="AN1478" s="57"/>
      <c r="AO1478" s="57"/>
      <c r="AP1478" s="57"/>
      <c r="AQ1478" s="57"/>
      <c r="AR1478" s="57"/>
      <c r="AS1478" s="57"/>
      <c r="AT1478" s="57"/>
      <c r="AU1478" s="57"/>
      <c r="AV1478" s="57"/>
      <c r="AW1478" s="57"/>
      <c r="AX1478" s="57"/>
      <c r="AY1478" s="57"/>
      <c r="AZ1478" s="57"/>
      <c r="BA1478" s="57"/>
      <c r="BB1478" s="57"/>
      <c r="BC1478" s="57"/>
      <c r="BD1478" s="57"/>
      <c r="BE1478" s="57"/>
      <c r="BF1478" s="57"/>
    </row>
    <row r="1479" spans="1:58" s="59" customFormat="1" x14ac:dyDescent="0.25">
      <c r="A1479" s="53"/>
      <c r="B1479" s="60"/>
      <c r="C1479" s="57">
        <f t="shared" si="112"/>
        <v>0</v>
      </c>
      <c r="D1479" s="56"/>
      <c r="E1479" s="57">
        <f>[1]DETAY!$A$2</f>
        <v>0</v>
      </c>
      <c r="F1479" s="90">
        <f t="shared" si="113"/>
        <v>0</v>
      </c>
      <c r="G1479" s="92">
        <f t="shared" si="114"/>
        <v>0</v>
      </c>
      <c r="H1479" s="62" t="e">
        <f t="shared" si="115"/>
        <v>#DIV/0!</v>
      </c>
      <c r="I1479" s="57"/>
      <c r="J1479" s="57"/>
      <c r="K1479" s="57"/>
      <c r="L1479" s="57"/>
      <c r="M1479" s="58"/>
      <c r="N1479" s="57"/>
      <c r="O1479" s="57"/>
      <c r="P1479" s="57"/>
      <c r="Q1479" s="57"/>
      <c r="R1479" s="57"/>
      <c r="S1479" s="61"/>
      <c r="T1479" s="57"/>
      <c r="U1479" s="57"/>
      <c r="V1479" s="57"/>
      <c r="W1479" s="57"/>
      <c r="X1479" s="57"/>
      <c r="Y1479" s="57"/>
      <c r="Z1479" s="57"/>
      <c r="AA1479" s="57"/>
      <c r="AB1479" s="57"/>
      <c r="AC1479" s="57"/>
      <c r="AD1479" s="57"/>
      <c r="AE1479" s="57"/>
      <c r="AF1479" s="57"/>
      <c r="AG1479" s="57"/>
      <c r="AH1479" s="57"/>
      <c r="AI1479" s="57"/>
      <c r="AJ1479" s="57"/>
      <c r="AK1479" s="57"/>
      <c r="AL1479" s="57"/>
      <c r="AM1479" s="57"/>
      <c r="AN1479" s="57"/>
      <c r="AO1479" s="57"/>
      <c r="AP1479" s="57"/>
      <c r="AQ1479" s="57"/>
      <c r="AR1479" s="57"/>
      <c r="AS1479" s="57"/>
      <c r="AT1479" s="57"/>
      <c r="AU1479" s="57"/>
      <c r="AV1479" s="57"/>
      <c r="AW1479" s="57"/>
      <c r="AX1479" s="57"/>
      <c r="AY1479" s="57"/>
      <c r="AZ1479" s="57"/>
      <c r="BA1479" s="57"/>
      <c r="BB1479" s="57"/>
      <c r="BC1479" s="57"/>
      <c r="BD1479" s="57"/>
      <c r="BE1479" s="57"/>
      <c r="BF1479" s="57"/>
    </row>
    <row r="1480" spans="1:58" s="59" customFormat="1" x14ac:dyDescent="0.25">
      <c r="A1480" s="53"/>
      <c r="B1480" s="60"/>
      <c r="C1480" s="57">
        <f t="shared" ref="C1480:C1543" si="116">WEEKNUM(B1480)</f>
        <v>0</v>
      </c>
      <c r="D1480" s="56"/>
      <c r="E1480" s="57">
        <f>[1]DETAY!$A$2</f>
        <v>0</v>
      </c>
      <c r="F1480" s="90">
        <f t="shared" ref="F1480:F1543" si="117">D1480-G1480</f>
        <v>0</v>
      </c>
      <c r="G1480" s="92">
        <f t="shared" ref="G1480:G1543" si="118">SUBTOTAL(9,I1480:BD1480)</f>
        <v>0</v>
      </c>
      <c r="H1480" s="62" t="e">
        <f t="shared" ref="H1480:H1543" si="119">F1480/D1480</f>
        <v>#DIV/0!</v>
      </c>
      <c r="I1480" s="57"/>
      <c r="J1480" s="57"/>
      <c r="K1480" s="57"/>
      <c r="L1480" s="57"/>
      <c r="M1480" s="58"/>
      <c r="N1480" s="57"/>
      <c r="O1480" s="57"/>
      <c r="P1480" s="57"/>
      <c r="Q1480" s="57"/>
      <c r="R1480" s="57"/>
      <c r="S1480" s="61"/>
      <c r="T1480" s="57"/>
      <c r="U1480" s="57"/>
      <c r="V1480" s="57"/>
      <c r="W1480" s="57"/>
      <c r="X1480" s="57"/>
      <c r="Y1480" s="57"/>
      <c r="Z1480" s="57"/>
      <c r="AA1480" s="57"/>
      <c r="AB1480" s="57"/>
      <c r="AC1480" s="57"/>
      <c r="AD1480" s="57"/>
      <c r="AE1480" s="57"/>
      <c r="AF1480" s="57"/>
      <c r="AG1480" s="57"/>
      <c r="AH1480" s="57"/>
      <c r="AI1480" s="57"/>
      <c r="AJ1480" s="57"/>
      <c r="AK1480" s="57"/>
      <c r="AL1480" s="57"/>
      <c r="AM1480" s="57"/>
      <c r="AN1480" s="57"/>
      <c r="AO1480" s="57"/>
      <c r="AP1480" s="57"/>
      <c r="AQ1480" s="57"/>
      <c r="AR1480" s="57"/>
      <c r="AS1480" s="57"/>
      <c r="AT1480" s="57"/>
      <c r="AU1480" s="57"/>
      <c r="AV1480" s="57"/>
      <c r="AW1480" s="57"/>
      <c r="AX1480" s="57"/>
      <c r="AY1480" s="57"/>
      <c r="AZ1480" s="57"/>
      <c r="BA1480" s="57"/>
      <c r="BB1480" s="57"/>
      <c r="BC1480" s="57"/>
      <c r="BD1480" s="57"/>
      <c r="BE1480" s="57"/>
      <c r="BF1480" s="57"/>
    </row>
    <row r="1481" spans="1:58" s="59" customFormat="1" x14ac:dyDescent="0.25">
      <c r="A1481" s="53"/>
      <c r="B1481" s="60"/>
      <c r="C1481" s="57">
        <f t="shared" si="116"/>
        <v>0</v>
      </c>
      <c r="D1481" s="56"/>
      <c r="E1481" s="57">
        <f>[1]DETAY!$A$2</f>
        <v>0</v>
      </c>
      <c r="F1481" s="90">
        <f t="shared" si="117"/>
        <v>0</v>
      </c>
      <c r="G1481" s="92">
        <f t="shared" si="118"/>
        <v>0</v>
      </c>
      <c r="H1481" s="62" t="e">
        <f t="shared" si="119"/>
        <v>#DIV/0!</v>
      </c>
      <c r="I1481" s="57"/>
      <c r="J1481" s="57"/>
      <c r="K1481" s="57"/>
      <c r="L1481" s="57"/>
      <c r="M1481" s="58"/>
      <c r="N1481" s="57"/>
      <c r="O1481" s="57"/>
      <c r="P1481" s="57"/>
      <c r="Q1481" s="57"/>
      <c r="R1481" s="57"/>
      <c r="S1481" s="61"/>
      <c r="T1481" s="57"/>
      <c r="U1481" s="57"/>
      <c r="V1481" s="57"/>
      <c r="W1481" s="57"/>
      <c r="X1481" s="57"/>
      <c r="Y1481" s="57"/>
      <c r="Z1481" s="57"/>
      <c r="AA1481" s="57"/>
      <c r="AB1481" s="57"/>
      <c r="AC1481" s="57"/>
      <c r="AD1481" s="57"/>
      <c r="AE1481" s="57"/>
      <c r="AF1481" s="57"/>
      <c r="AG1481" s="57"/>
      <c r="AH1481" s="57"/>
      <c r="AI1481" s="57"/>
      <c r="AJ1481" s="57"/>
      <c r="AK1481" s="57"/>
      <c r="AL1481" s="57"/>
      <c r="AM1481" s="57"/>
      <c r="AN1481" s="57"/>
      <c r="AO1481" s="57"/>
      <c r="AP1481" s="57"/>
      <c r="AQ1481" s="57"/>
      <c r="AR1481" s="57"/>
      <c r="AS1481" s="57"/>
      <c r="AT1481" s="57"/>
      <c r="AU1481" s="57"/>
      <c r="AV1481" s="57"/>
      <c r="AW1481" s="57"/>
      <c r="AX1481" s="57"/>
      <c r="AY1481" s="57"/>
      <c r="AZ1481" s="57"/>
      <c r="BA1481" s="57"/>
      <c r="BB1481" s="57"/>
      <c r="BC1481" s="57"/>
      <c r="BD1481" s="57"/>
      <c r="BE1481" s="57"/>
      <c r="BF1481" s="57"/>
    </row>
    <row r="1482" spans="1:58" s="59" customFormat="1" x14ac:dyDescent="0.25">
      <c r="A1482" s="53"/>
      <c r="B1482" s="60"/>
      <c r="C1482" s="57">
        <f t="shared" si="116"/>
        <v>0</v>
      </c>
      <c r="D1482" s="56"/>
      <c r="E1482" s="57">
        <f>[1]DETAY!$A$2</f>
        <v>0</v>
      </c>
      <c r="F1482" s="90">
        <f t="shared" si="117"/>
        <v>0</v>
      </c>
      <c r="G1482" s="92">
        <f t="shared" si="118"/>
        <v>0</v>
      </c>
      <c r="H1482" s="62" t="e">
        <f t="shared" si="119"/>
        <v>#DIV/0!</v>
      </c>
      <c r="I1482" s="57"/>
      <c r="J1482" s="57"/>
      <c r="K1482" s="57"/>
      <c r="L1482" s="57"/>
      <c r="M1482" s="58"/>
      <c r="N1482" s="57"/>
      <c r="O1482" s="57"/>
      <c r="P1482" s="57"/>
      <c r="Q1482" s="57"/>
      <c r="R1482" s="57"/>
      <c r="S1482" s="61"/>
      <c r="T1482" s="57"/>
      <c r="U1482" s="57"/>
      <c r="V1482" s="57"/>
      <c r="W1482" s="57"/>
      <c r="X1482" s="57"/>
      <c r="Y1482" s="57"/>
      <c r="Z1482" s="57"/>
      <c r="AA1482" s="57"/>
      <c r="AB1482" s="57"/>
      <c r="AC1482" s="57"/>
      <c r="AD1482" s="57"/>
      <c r="AE1482" s="57"/>
      <c r="AF1482" s="57"/>
      <c r="AG1482" s="57"/>
      <c r="AH1482" s="57"/>
      <c r="AI1482" s="57"/>
      <c r="AJ1482" s="57"/>
      <c r="AK1482" s="57"/>
      <c r="AL1482" s="57"/>
      <c r="AM1482" s="57"/>
      <c r="AN1482" s="57"/>
      <c r="AO1482" s="57"/>
      <c r="AP1482" s="57"/>
      <c r="AQ1482" s="57"/>
      <c r="AR1482" s="57"/>
      <c r="AS1482" s="57"/>
      <c r="AT1482" s="57"/>
      <c r="AU1482" s="57"/>
      <c r="AV1482" s="57"/>
      <c r="AW1482" s="57"/>
      <c r="AX1482" s="57"/>
      <c r="AY1482" s="57"/>
      <c r="AZ1482" s="57"/>
      <c r="BA1482" s="57"/>
      <c r="BB1482" s="57"/>
      <c r="BC1482" s="57"/>
      <c r="BD1482" s="57"/>
      <c r="BE1482" s="57"/>
      <c r="BF1482" s="57"/>
    </row>
    <row r="1483" spans="1:58" s="59" customFormat="1" x14ac:dyDescent="0.25">
      <c r="A1483" s="53"/>
      <c r="B1483" s="60"/>
      <c r="C1483" s="57">
        <f t="shared" si="116"/>
        <v>0</v>
      </c>
      <c r="D1483" s="56"/>
      <c r="E1483" s="57">
        <f>[1]DETAY!$A$2</f>
        <v>0</v>
      </c>
      <c r="F1483" s="90">
        <f t="shared" si="117"/>
        <v>0</v>
      </c>
      <c r="G1483" s="92">
        <f t="shared" si="118"/>
        <v>0</v>
      </c>
      <c r="H1483" s="62" t="e">
        <f t="shared" si="119"/>
        <v>#DIV/0!</v>
      </c>
      <c r="I1483" s="57"/>
      <c r="J1483" s="57"/>
      <c r="K1483" s="57"/>
      <c r="L1483" s="57"/>
      <c r="M1483" s="58"/>
      <c r="N1483" s="57"/>
      <c r="O1483" s="57"/>
      <c r="P1483" s="57"/>
      <c r="Q1483" s="57"/>
      <c r="R1483" s="57"/>
      <c r="S1483" s="61"/>
      <c r="T1483" s="57"/>
      <c r="U1483" s="57"/>
      <c r="V1483" s="57"/>
      <c r="W1483" s="57"/>
      <c r="X1483" s="57"/>
      <c r="Y1483" s="57"/>
      <c r="Z1483" s="57"/>
      <c r="AA1483" s="57"/>
      <c r="AB1483" s="57"/>
      <c r="AC1483" s="57"/>
      <c r="AD1483" s="57"/>
      <c r="AE1483" s="57"/>
      <c r="AF1483" s="57"/>
      <c r="AG1483" s="57"/>
      <c r="AH1483" s="57"/>
      <c r="AI1483" s="57"/>
      <c r="AJ1483" s="57"/>
      <c r="AK1483" s="57"/>
      <c r="AL1483" s="57"/>
      <c r="AM1483" s="57"/>
      <c r="AN1483" s="57"/>
      <c r="AO1483" s="57"/>
      <c r="AP1483" s="57"/>
      <c r="AQ1483" s="57"/>
      <c r="AR1483" s="57"/>
      <c r="AS1483" s="57"/>
      <c r="AT1483" s="57"/>
      <c r="AU1483" s="57"/>
      <c r="AV1483" s="57"/>
      <c r="AW1483" s="57"/>
      <c r="AX1483" s="57"/>
      <c r="AY1483" s="57"/>
      <c r="AZ1483" s="57"/>
      <c r="BA1483" s="57"/>
      <c r="BB1483" s="57"/>
      <c r="BC1483" s="57"/>
      <c r="BD1483" s="57"/>
      <c r="BE1483" s="57"/>
      <c r="BF1483" s="57"/>
    </row>
    <row r="1484" spans="1:58" s="59" customFormat="1" x14ac:dyDescent="0.25">
      <c r="A1484" s="53"/>
      <c r="B1484" s="60"/>
      <c r="C1484" s="57">
        <f t="shared" si="116"/>
        <v>0</v>
      </c>
      <c r="D1484" s="56"/>
      <c r="E1484" s="57">
        <f>[1]DETAY!$A$2</f>
        <v>0</v>
      </c>
      <c r="F1484" s="90">
        <f t="shared" si="117"/>
        <v>0</v>
      </c>
      <c r="G1484" s="92">
        <f t="shared" si="118"/>
        <v>0</v>
      </c>
      <c r="H1484" s="62" t="e">
        <f t="shared" si="119"/>
        <v>#DIV/0!</v>
      </c>
      <c r="I1484" s="57"/>
      <c r="J1484" s="57"/>
      <c r="K1484" s="57"/>
      <c r="L1484" s="57"/>
      <c r="M1484" s="58"/>
      <c r="N1484" s="57"/>
      <c r="O1484" s="57"/>
      <c r="P1484" s="57"/>
      <c r="Q1484" s="57"/>
      <c r="R1484" s="57"/>
      <c r="S1484" s="61"/>
      <c r="T1484" s="57"/>
      <c r="U1484" s="57"/>
      <c r="V1484" s="57"/>
      <c r="W1484" s="57"/>
      <c r="X1484" s="57"/>
      <c r="Y1484" s="57"/>
      <c r="Z1484" s="57"/>
      <c r="AA1484" s="57"/>
      <c r="AB1484" s="57"/>
      <c r="AC1484" s="57"/>
      <c r="AD1484" s="57"/>
      <c r="AE1484" s="57"/>
      <c r="AF1484" s="57"/>
      <c r="AG1484" s="57"/>
      <c r="AH1484" s="57"/>
      <c r="AI1484" s="57"/>
      <c r="AJ1484" s="57"/>
      <c r="AK1484" s="57"/>
      <c r="AL1484" s="57"/>
      <c r="AM1484" s="57"/>
      <c r="AN1484" s="57"/>
      <c r="AO1484" s="57"/>
      <c r="AP1484" s="57"/>
      <c r="AQ1484" s="57"/>
      <c r="AR1484" s="57"/>
      <c r="AS1484" s="57"/>
      <c r="AT1484" s="57"/>
      <c r="AU1484" s="57"/>
      <c r="AV1484" s="57"/>
      <c r="AW1484" s="57"/>
      <c r="AX1484" s="57"/>
      <c r="AY1484" s="57"/>
      <c r="AZ1484" s="57"/>
      <c r="BA1484" s="57"/>
      <c r="BB1484" s="57"/>
      <c r="BC1484" s="57"/>
      <c r="BD1484" s="57"/>
      <c r="BE1484" s="57"/>
      <c r="BF1484" s="57"/>
    </row>
    <row r="1485" spans="1:58" s="59" customFormat="1" x14ac:dyDescent="0.25">
      <c r="A1485" s="53"/>
      <c r="B1485" s="60"/>
      <c r="C1485" s="57">
        <f t="shared" si="116"/>
        <v>0</v>
      </c>
      <c r="D1485" s="56"/>
      <c r="E1485" s="57">
        <f>[1]DETAY!$A$2</f>
        <v>0</v>
      </c>
      <c r="F1485" s="90">
        <f t="shared" si="117"/>
        <v>0</v>
      </c>
      <c r="G1485" s="92">
        <f t="shared" si="118"/>
        <v>0</v>
      </c>
      <c r="H1485" s="62" t="e">
        <f t="shared" si="119"/>
        <v>#DIV/0!</v>
      </c>
      <c r="I1485" s="57"/>
      <c r="J1485" s="57"/>
      <c r="K1485" s="57"/>
      <c r="L1485" s="57"/>
      <c r="M1485" s="58"/>
      <c r="N1485" s="57"/>
      <c r="O1485" s="57"/>
      <c r="P1485" s="57"/>
      <c r="Q1485" s="57"/>
      <c r="R1485" s="57"/>
      <c r="S1485" s="61"/>
      <c r="T1485" s="57"/>
      <c r="U1485" s="57"/>
      <c r="V1485" s="57"/>
      <c r="W1485" s="57"/>
      <c r="X1485" s="57"/>
      <c r="Y1485" s="57"/>
      <c r="Z1485" s="57"/>
      <c r="AA1485" s="57"/>
      <c r="AB1485" s="57"/>
      <c r="AC1485" s="57"/>
      <c r="AD1485" s="57"/>
      <c r="AE1485" s="57"/>
      <c r="AF1485" s="57"/>
      <c r="AG1485" s="57"/>
      <c r="AH1485" s="57"/>
      <c r="AI1485" s="57"/>
      <c r="AJ1485" s="57"/>
      <c r="AK1485" s="57"/>
      <c r="AL1485" s="57"/>
      <c r="AM1485" s="57"/>
      <c r="AN1485" s="57"/>
      <c r="AO1485" s="57"/>
      <c r="AP1485" s="57"/>
      <c r="AQ1485" s="57"/>
      <c r="AR1485" s="57"/>
      <c r="AS1485" s="57"/>
      <c r="AT1485" s="57"/>
      <c r="AU1485" s="57"/>
      <c r="AV1485" s="57"/>
      <c r="AW1485" s="57"/>
      <c r="AX1485" s="57"/>
      <c r="AY1485" s="57"/>
      <c r="AZ1485" s="57"/>
      <c r="BA1485" s="57"/>
      <c r="BB1485" s="57"/>
      <c r="BC1485" s="57"/>
      <c r="BD1485" s="57"/>
      <c r="BE1485" s="57"/>
      <c r="BF1485" s="57"/>
    </row>
    <row r="1486" spans="1:58" s="59" customFormat="1" x14ac:dyDescent="0.25">
      <c r="A1486" s="53"/>
      <c r="B1486" s="60"/>
      <c r="C1486" s="57">
        <f t="shared" si="116"/>
        <v>0</v>
      </c>
      <c r="D1486" s="56"/>
      <c r="E1486" s="57">
        <f>[1]DETAY!$A$2</f>
        <v>0</v>
      </c>
      <c r="F1486" s="90">
        <f t="shared" si="117"/>
        <v>0</v>
      </c>
      <c r="G1486" s="92">
        <f t="shared" si="118"/>
        <v>0</v>
      </c>
      <c r="H1486" s="62" t="e">
        <f t="shared" si="119"/>
        <v>#DIV/0!</v>
      </c>
      <c r="I1486" s="57"/>
      <c r="J1486" s="57"/>
      <c r="K1486" s="57"/>
      <c r="L1486" s="57"/>
      <c r="M1486" s="58"/>
      <c r="N1486" s="57"/>
      <c r="O1486" s="57"/>
      <c r="P1486" s="57"/>
      <c r="Q1486" s="57"/>
      <c r="R1486" s="57"/>
      <c r="S1486" s="61"/>
      <c r="T1486" s="57"/>
      <c r="U1486" s="57"/>
      <c r="V1486" s="57"/>
      <c r="W1486" s="57"/>
      <c r="X1486" s="57"/>
      <c r="Y1486" s="57"/>
      <c r="Z1486" s="57"/>
      <c r="AA1486" s="57"/>
      <c r="AB1486" s="57"/>
      <c r="AC1486" s="57"/>
      <c r="AD1486" s="57"/>
      <c r="AE1486" s="57"/>
      <c r="AF1486" s="57"/>
      <c r="AG1486" s="57"/>
      <c r="AH1486" s="57"/>
      <c r="AI1486" s="57"/>
      <c r="AJ1486" s="57"/>
      <c r="AK1486" s="57"/>
      <c r="AL1486" s="57"/>
      <c r="AM1486" s="57"/>
      <c r="AN1486" s="57"/>
      <c r="AO1486" s="57"/>
      <c r="AP1486" s="57"/>
      <c r="AQ1486" s="57"/>
      <c r="AR1486" s="57"/>
      <c r="AS1486" s="57"/>
      <c r="AT1486" s="57"/>
      <c r="AU1486" s="57"/>
      <c r="AV1486" s="57"/>
      <c r="AW1486" s="57"/>
      <c r="AX1486" s="57"/>
      <c r="AY1486" s="57"/>
      <c r="AZ1486" s="57"/>
      <c r="BA1486" s="57"/>
      <c r="BB1486" s="57"/>
      <c r="BC1486" s="57"/>
      <c r="BD1486" s="57"/>
      <c r="BE1486" s="57"/>
      <c r="BF1486" s="57"/>
    </row>
    <row r="1487" spans="1:58" s="59" customFormat="1" x14ac:dyDescent="0.25">
      <c r="A1487" s="53"/>
      <c r="B1487" s="60"/>
      <c r="C1487" s="57">
        <f t="shared" si="116"/>
        <v>0</v>
      </c>
      <c r="D1487" s="56"/>
      <c r="E1487" s="57">
        <f>[1]DETAY!$A$2</f>
        <v>0</v>
      </c>
      <c r="F1487" s="90">
        <f t="shared" si="117"/>
        <v>0</v>
      </c>
      <c r="G1487" s="92">
        <f t="shared" si="118"/>
        <v>0</v>
      </c>
      <c r="H1487" s="62" t="e">
        <f t="shared" si="119"/>
        <v>#DIV/0!</v>
      </c>
      <c r="I1487" s="57"/>
      <c r="J1487" s="57"/>
      <c r="K1487" s="57"/>
      <c r="L1487" s="57"/>
      <c r="M1487" s="58"/>
      <c r="N1487" s="57"/>
      <c r="O1487" s="57"/>
      <c r="P1487" s="57"/>
      <c r="Q1487" s="57"/>
      <c r="R1487" s="57"/>
      <c r="S1487" s="61"/>
      <c r="T1487" s="57"/>
      <c r="U1487" s="57"/>
      <c r="V1487" s="57"/>
      <c r="W1487" s="57"/>
      <c r="X1487" s="57"/>
      <c r="Y1487" s="57"/>
      <c r="Z1487" s="57"/>
      <c r="AA1487" s="57"/>
      <c r="AB1487" s="57"/>
      <c r="AC1487" s="57"/>
      <c r="AD1487" s="57"/>
      <c r="AE1487" s="57"/>
      <c r="AF1487" s="57"/>
      <c r="AG1487" s="57"/>
      <c r="AH1487" s="57"/>
      <c r="AI1487" s="57"/>
      <c r="AJ1487" s="57"/>
      <c r="AK1487" s="57"/>
      <c r="AL1487" s="57"/>
      <c r="AM1487" s="57"/>
      <c r="AN1487" s="57"/>
      <c r="AO1487" s="57"/>
      <c r="AP1487" s="57"/>
      <c r="AQ1487" s="57"/>
      <c r="AR1487" s="57"/>
      <c r="AS1487" s="57"/>
      <c r="AT1487" s="57"/>
      <c r="AU1487" s="57"/>
      <c r="AV1487" s="57"/>
      <c r="AW1487" s="57"/>
      <c r="AX1487" s="57"/>
      <c r="AY1487" s="57"/>
      <c r="AZ1487" s="57"/>
      <c r="BA1487" s="57"/>
      <c r="BB1487" s="57"/>
      <c r="BC1487" s="57"/>
      <c r="BD1487" s="57"/>
      <c r="BE1487" s="57"/>
      <c r="BF1487" s="57"/>
    </row>
    <row r="1488" spans="1:58" s="59" customFormat="1" x14ac:dyDescent="0.25">
      <c r="A1488" s="53"/>
      <c r="B1488" s="60"/>
      <c r="C1488" s="57">
        <f t="shared" si="116"/>
        <v>0</v>
      </c>
      <c r="D1488" s="56"/>
      <c r="E1488" s="57">
        <f>[1]DETAY!$A$2</f>
        <v>0</v>
      </c>
      <c r="F1488" s="90">
        <f t="shared" si="117"/>
        <v>0</v>
      </c>
      <c r="G1488" s="92">
        <f t="shared" si="118"/>
        <v>0</v>
      </c>
      <c r="H1488" s="62" t="e">
        <f t="shared" si="119"/>
        <v>#DIV/0!</v>
      </c>
      <c r="I1488" s="57"/>
      <c r="J1488" s="57"/>
      <c r="K1488" s="57"/>
      <c r="L1488" s="57"/>
      <c r="M1488" s="58"/>
      <c r="N1488" s="57"/>
      <c r="O1488" s="57"/>
      <c r="P1488" s="57"/>
      <c r="Q1488" s="57"/>
      <c r="R1488" s="57"/>
      <c r="S1488" s="61"/>
      <c r="T1488" s="57"/>
      <c r="U1488" s="57"/>
      <c r="V1488" s="57"/>
      <c r="W1488" s="57"/>
      <c r="X1488" s="57"/>
      <c r="Y1488" s="57"/>
      <c r="Z1488" s="57"/>
      <c r="AA1488" s="57"/>
      <c r="AB1488" s="57"/>
      <c r="AC1488" s="57"/>
      <c r="AD1488" s="57"/>
      <c r="AE1488" s="57"/>
      <c r="AF1488" s="57"/>
      <c r="AG1488" s="57"/>
      <c r="AH1488" s="57"/>
      <c r="AI1488" s="57"/>
      <c r="AJ1488" s="57"/>
      <c r="AK1488" s="57"/>
      <c r="AL1488" s="57"/>
      <c r="AM1488" s="57"/>
      <c r="AN1488" s="57"/>
      <c r="AO1488" s="57"/>
      <c r="AP1488" s="57"/>
      <c r="AQ1488" s="57"/>
      <c r="AR1488" s="57"/>
      <c r="AS1488" s="57"/>
      <c r="AT1488" s="57"/>
      <c r="AU1488" s="57"/>
      <c r="AV1488" s="57"/>
      <c r="AW1488" s="57"/>
      <c r="AX1488" s="57"/>
      <c r="AY1488" s="57"/>
      <c r="AZ1488" s="57"/>
      <c r="BA1488" s="57"/>
      <c r="BB1488" s="57"/>
      <c r="BC1488" s="57"/>
      <c r="BD1488" s="57"/>
      <c r="BE1488" s="57"/>
      <c r="BF1488" s="57"/>
    </row>
    <row r="1489" spans="1:58" s="59" customFormat="1" x14ac:dyDescent="0.25">
      <c r="A1489" s="53"/>
      <c r="B1489" s="60"/>
      <c r="C1489" s="57">
        <f t="shared" si="116"/>
        <v>0</v>
      </c>
      <c r="D1489" s="56"/>
      <c r="E1489" s="57">
        <f>[1]DETAY!$A$2</f>
        <v>0</v>
      </c>
      <c r="F1489" s="90">
        <f t="shared" si="117"/>
        <v>0</v>
      </c>
      <c r="G1489" s="92">
        <f t="shared" si="118"/>
        <v>0</v>
      </c>
      <c r="H1489" s="62" t="e">
        <f t="shared" si="119"/>
        <v>#DIV/0!</v>
      </c>
      <c r="I1489" s="57"/>
      <c r="J1489" s="57"/>
      <c r="K1489" s="57"/>
      <c r="L1489" s="57"/>
      <c r="M1489" s="58"/>
      <c r="N1489" s="57"/>
      <c r="O1489" s="57"/>
      <c r="P1489" s="57"/>
      <c r="Q1489" s="57"/>
      <c r="R1489" s="57"/>
      <c r="S1489" s="61"/>
      <c r="T1489" s="57"/>
      <c r="U1489" s="57"/>
      <c r="V1489" s="57"/>
      <c r="W1489" s="57"/>
      <c r="X1489" s="57"/>
      <c r="Y1489" s="57"/>
      <c r="Z1489" s="57"/>
      <c r="AA1489" s="57"/>
      <c r="AB1489" s="57"/>
      <c r="AC1489" s="57"/>
      <c r="AD1489" s="57"/>
      <c r="AE1489" s="57"/>
      <c r="AF1489" s="57"/>
      <c r="AG1489" s="57"/>
      <c r="AH1489" s="57"/>
      <c r="AI1489" s="57"/>
      <c r="AJ1489" s="57"/>
      <c r="AK1489" s="57"/>
      <c r="AL1489" s="57"/>
      <c r="AM1489" s="57"/>
      <c r="AN1489" s="57"/>
      <c r="AO1489" s="57"/>
      <c r="AP1489" s="57"/>
      <c r="AQ1489" s="57"/>
      <c r="AR1489" s="57"/>
      <c r="AS1489" s="57"/>
      <c r="AT1489" s="57"/>
      <c r="AU1489" s="57"/>
      <c r="AV1489" s="57"/>
      <c r="AW1489" s="57"/>
      <c r="AX1489" s="57"/>
      <c r="AY1489" s="57"/>
      <c r="AZ1489" s="57"/>
      <c r="BA1489" s="57"/>
      <c r="BB1489" s="57"/>
      <c r="BC1489" s="57"/>
      <c r="BD1489" s="57"/>
      <c r="BE1489" s="57"/>
      <c r="BF1489" s="57"/>
    </row>
    <row r="1490" spans="1:58" s="59" customFormat="1" x14ac:dyDescent="0.25">
      <c r="A1490" s="53"/>
      <c r="B1490" s="60"/>
      <c r="C1490" s="57">
        <f t="shared" si="116"/>
        <v>0</v>
      </c>
      <c r="D1490" s="56"/>
      <c r="E1490" s="57">
        <f>[1]DETAY!$A$2</f>
        <v>0</v>
      </c>
      <c r="F1490" s="90">
        <f t="shared" si="117"/>
        <v>0</v>
      </c>
      <c r="G1490" s="92">
        <f t="shared" si="118"/>
        <v>0</v>
      </c>
      <c r="H1490" s="62" t="e">
        <f t="shared" si="119"/>
        <v>#DIV/0!</v>
      </c>
      <c r="I1490" s="57"/>
      <c r="J1490" s="57"/>
      <c r="K1490" s="57"/>
      <c r="L1490" s="57"/>
      <c r="M1490" s="58"/>
      <c r="N1490" s="57"/>
      <c r="O1490" s="57"/>
      <c r="P1490" s="57"/>
      <c r="Q1490" s="57"/>
      <c r="R1490" s="57"/>
      <c r="S1490" s="61"/>
      <c r="T1490" s="57"/>
      <c r="U1490" s="57"/>
      <c r="V1490" s="57"/>
      <c r="W1490" s="57"/>
      <c r="X1490" s="57"/>
      <c r="Y1490" s="57"/>
      <c r="Z1490" s="57"/>
      <c r="AA1490" s="57"/>
      <c r="AB1490" s="57"/>
      <c r="AC1490" s="57"/>
      <c r="AD1490" s="57"/>
      <c r="AE1490" s="57"/>
      <c r="AF1490" s="57"/>
      <c r="AG1490" s="57"/>
      <c r="AH1490" s="57"/>
      <c r="AI1490" s="57"/>
      <c r="AJ1490" s="57"/>
      <c r="AK1490" s="57"/>
      <c r="AL1490" s="57"/>
      <c r="AM1490" s="57"/>
      <c r="AN1490" s="57"/>
      <c r="AO1490" s="57"/>
      <c r="AP1490" s="57"/>
      <c r="AQ1490" s="57"/>
      <c r="AR1490" s="57"/>
      <c r="AS1490" s="57"/>
      <c r="AT1490" s="57"/>
      <c r="AU1490" s="57"/>
      <c r="AV1490" s="57"/>
      <c r="AW1490" s="57"/>
      <c r="AX1490" s="57"/>
      <c r="AY1490" s="57"/>
      <c r="AZ1490" s="57"/>
      <c r="BA1490" s="57"/>
      <c r="BB1490" s="57"/>
      <c r="BC1490" s="57"/>
      <c r="BD1490" s="57"/>
      <c r="BE1490" s="57"/>
      <c r="BF1490" s="57"/>
    </row>
    <row r="1491" spans="1:58" s="59" customFormat="1" x14ac:dyDescent="0.25">
      <c r="A1491" s="53"/>
      <c r="B1491" s="60"/>
      <c r="C1491" s="57">
        <f t="shared" si="116"/>
        <v>0</v>
      </c>
      <c r="D1491" s="56"/>
      <c r="E1491" s="57">
        <f>[1]DETAY!$A$2</f>
        <v>0</v>
      </c>
      <c r="F1491" s="90">
        <f t="shared" si="117"/>
        <v>0</v>
      </c>
      <c r="G1491" s="92">
        <f t="shared" si="118"/>
        <v>0</v>
      </c>
      <c r="H1491" s="62" t="e">
        <f t="shared" si="119"/>
        <v>#DIV/0!</v>
      </c>
      <c r="I1491" s="57"/>
      <c r="J1491" s="57"/>
      <c r="K1491" s="57"/>
      <c r="L1491" s="57"/>
      <c r="M1491" s="58"/>
      <c r="N1491" s="57"/>
      <c r="O1491" s="57"/>
      <c r="P1491" s="57"/>
      <c r="Q1491" s="57"/>
      <c r="R1491" s="57"/>
      <c r="S1491" s="61"/>
      <c r="T1491" s="57"/>
      <c r="U1491" s="57"/>
      <c r="V1491" s="57"/>
      <c r="W1491" s="57"/>
      <c r="X1491" s="57"/>
      <c r="Y1491" s="57"/>
      <c r="Z1491" s="57"/>
      <c r="AA1491" s="57"/>
      <c r="AB1491" s="57"/>
      <c r="AC1491" s="57"/>
      <c r="AD1491" s="57"/>
      <c r="AE1491" s="57"/>
      <c r="AF1491" s="57"/>
      <c r="AG1491" s="57"/>
      <c r="AH1491" s="57"/>
      <c r="AI1491" s="57"/>
      <c r="AJ1491" s="57"/>
      <c r="AK1491" s="57"/>
      <c r="AL1491" s="57"/>
      <c r="AM1491" s="57"/>
      <c r="AN1491" s="57"/>
      <c r="AO1491" s="57"/>
      <c r="AP1491" s="57"/>
      <c r="AQ1491" s="57"/>
      <c r="AR1491" s="57"/>
      <c r="AS1491" s="57"/>
      <c r="AT1491" s="57"/>
      <c r="AU1491" s="57"/>
      <c r="AV1491" s="57"/>
      <c r="AW1491" s="57"/>
      <c r="AX1491" s="57"/>
      <c r="AY1491" s="57"/>
      <c r="AZ1491" s="57"/>
      <c r="BA1491" s="57"/>
      <c r="BB1491" s="57"/>
      <c r="BC1491" s="57"/>
      <c r="BD1491" s="57"/>
      <c r="BE1491" s="57"/>
      <c r="BF1491" s="57"/>
    </row>
    <row r="1492" spans="1:58" s="59" customFormat="1" x14ac:dyDescent="0.25">
      <c r="A1492" s="53"/>
      <c r="B1492" s="60"/>
      <c r="C1492" s="57">
        <f t="shared" si="116"/>
        <v>0</v>
      </c>
      <c r="D1492" s="56"/>
      <c r="E1492" s="57">
        <f>[1]DETAY!$A$2</f>
        <v>0</v>
      </c>
      <c r="F1492" s="90">
        <f t="shared" si="117"/>
        <v>0</v>
      </c>
      <c r="G1492" s="92">
        <f t="shared" si="118"/>
        <v>0</v>
      </c>
      <c r="H1492" s="62" t="e">
        <f t="shared" si="119"/>
        <v>#DIV/0!</v>
      </c>
      <c r="I1492" s="57"/>
      <c r="J1492" s="57"/>
      <c r="K1492" s="57"/>
      <c r="L1492" s="57"/>
      <c r="M1492" s="58"/>
      <c r="N1492" s="57"/>
      <c r="O1492" s="57"/>
      <c r="P1492" s="57"/>
      <c r="Q1492" s="57"/>
      <c r="R1492" s="57"/>
      <c r="S1492" s="61"/>
      <c r="T1492" s="57"/>
      <c r="U1492" s="57"/>
      <c r="V1492" s="57"/>
      <c r="W1492" s="57"/>
      <c r="X1492" s="57"/>
      <c r="Y1492" s="57"/>
      <c r="Z1492" s="57"/>
      <c r="AA1492" s="57"/>
      <c r="AB1492" s="57"/>
      <c r="AC1492" s="57"/>
      <c r="AD1492" s="57"/>
      <c r="AE1492" s="57"/>
      <c r="AF1492" s="57"/>
      <c r="AG1492" s="57"/>
      <c r="AH1492" s="57"/>
      <c r="AI1492" s="57"/>
      <c r="AJ1492" s="57"/>
      <c r="AK1492" s="57"/>
      <c r="AL1492" s="57"/>
      <c r="AM1492" s="57"/>
      <c r="AN1492" s="57"/>
      <c r="AO1492" s="57"/>
      <c r="AP1492" s="57"/>
      <c r="AQ1492" s="57"/>
      <c r="AR1492" s="57"/>
      <c r="AS1492" s="57"/>
      <c r="AT1492" s="57"/>
      <c r="AU1492" s="57"/>
      <c r="AV1492" s="57"/>
      <c r="AW1492" s="57"/>
      <c r="AX1492" s="57"/>
      <c r="AY1492" s="57"/>
      <c r="AZ1492" s="57"/>
      <c r="BA1492" s="57"/>
      <c r="BB1492" s="57"/>
      <c r="BC1492" s="57"/>
      <c r="BD1492" s="57"/>
      <c r="BE1492" s="57"/>
      <c r="BF1492" s="57"/>
    </row>
    <row r="1493" spans="1:58" s="59" customFormat="1" x14ac:dyDescent="0.25">
      <c r="A1493" s="53"/>
      <c r="B1493" s="60"/>
      <c r="C1493" s="57">
        <f t="shared" si="116"/>
        <v>0</v>
      </c>
      <c r="D1493" s="56"/>
      <c r="E1493" s="57">
        <f>[1]DETAY!$A$2</f>
        <v>0</v>
      </c>
      <c r="F1493" s="90">
        <f t="shared" si="117"/>
        <v>0</v>
      </c>
      <c r="G1493" s="92">
        <f t="shared" si="118"/>
        <v>0</v>
      </c>
      <c r="H1493" s="62" t="e">
        <f t="shared" si="119"/>
        <v>#DIV/0!</v>
      </c>
      <c r="I1493" s="57"/>
      <c r="J1493" s="57"/>
      <c r="K1493" s="57"/>
      <c r="L1493" s="57"/>
      <c r="M1493" s="58"/>
      <c r="N1493" s="57"/>
      <c r="O1493" s="57"/>
      <c r="P1493" s="57"/>
      <c r="Q1493" s="57"/>
      <c r="R1493" s="57"/>
      <c r="S1493" s="61"/>
      <c r="T1493" s="57"/>
      <c r="U1493" s="57"/>
      <c r="V1493" s="57"/>
      <c r="W1493" s="57"/>
      <c r="X1493" s="57"/>
      <c r="Y1493" s="57"/>
      <c r="Z1493" s="57"/>
      <c r="AA1493" s="57"/>
      <c r="AB1493" s="57"/>
      <c r="AC1493" s="57"/>
      <c r="AD1493" s="57"/>
      <c r="AE1493" s="57"/>
      <c r="AF1493" s="57"/>
      <c r="AG1493" s="57"/>
      <c r="AH1493" s="57"/>
      <c r="AI1493" s="57"/>
      <c r="AJ1493" s="57"/>
      <c r="AK1493" s="57"/>
      <c r="AL1493" s="57"/>
      <c r="AM1493" s="57"/>
      <c r="AN1493" s="57"/>
      <c r="AO1493" s="57"/>
      <c r="AP1493" s="57"/>
      <c r="AQ1493" s="57"/>
      <c r="AR1493" s="57"/>
      <c r="AS1493" s="57"/>
      <c r="AT1493" s="57"/>
      <c r="AU1493" s="57"/>
      <c r="AV1493" s="57"/>
      <c r="AW1493" s="57"/>
      <c r="AX1493" s="57"/>
      <c r="AY1493" s="57"/>
      <c r="AZ1493" s="57"/>
      <c r="BA1493" s="57"/>
      <c r="BB1493" s="57"/>
      <c r="BC1493" s="57"/>
      <c r="BD1493" s="57"/>
      <c r="BE1493" s="57"/>
      <c r="BF1493" s="57"/>
    </row>
    <row r="1494" spans="1:58" s="59" customFormat="1" x14ac:dyDescent="0.25">
      <c r="A1494" s="53"/>
      <c r="B1494" s="60"/>
      <c r="C1494" s="57">
        <f t="shared" si="116"/>
        <v>0</v>
      </c>
      <c r="D1494" s="56"/>
      <c r="E1494" s="57">
        <f>[1]DETAY!$A$2</f>
        <v>0</v>
      </c>
      <c r="F1494" s="90">
        <f t="shared" si="117"/>
        <v>0</v>
      </c>
      <c r="G1494" s="92">
        <f t="shared" si="118"/>
        <v>0</v>
      </c>
      <c r="H1494" s="62" t="e">
        <f t="shared" si="119"/>
        <v>#DIV/0!</v>
      </c>
      <c r="I1494" s="57"/>
      <c r="J1494" s="57"/>
      <c r="K1494" s="57"/>
      <c r="L1494" s="57"/>
      <c r="M1494" s="58"/>
      <c r="N1494" s="57"/>
      <c r="O1494" s="57"/>
      <c r="P1494" s="57"/>
      <c r="Q1494" s="57"/>
      <c r="R1494" s="57"/>
      <c r="S1494" s="61"/>
      <c r="T1494" s="57"/>
      <c r="U1494" s="57"/>
      <c r="V1494" s="57"/>
      <c r="W1494" s="57"/>
      <c r="X1494" s="57"/>
      <c r="Y1494" s="57"/>
      <c r="Z1494" s="57"/>
      <c r="AA1494" s="57"/>
      <c r="AB1494" s="57"/>
      <c r="AC1494" s="57"/>
      <c r="AD1494" s="57"/>
      <c r="AE1494" s="57"/>
      <c r="AF1494" s="57"/>
      <c r="AG1494" s="57"/>
      <c r="AH1494" s="57"/>
      <c r="AI1494" s="57"/>
      <c r="AJ1494" s="57"/>
      <c r="AK1494" s="57"/>
      <c r="AL1494" s="57"/>
      <c r="AM1494" s="57"/>
      <c r="AN1494" s="57"/>
      <c r="AO1494" s="57"/>
      <c r="AP1494" s="57"/>
      <c r="AQ1494" s="57"/>
      <c r="AR1494" s="57"/>
      <c r="AS1494" s="57"/>
      <c r="AT1494" s="57"/>
      <c r="AU1494" s="57"/>
      <c r="AV1494" s="57"/>
      <c r="AW1494" s="57"/>
      <c r="AX1494" s="57"/>
      <c r="AY1494" s="57"/>
      <c r="AZ1494" s="57"/>
      <c r="BA1494" s="57"/>
      <c r="BB1494" s="57"/>
      <c r="BC1494" s="57"/>
      <c r="BD1494" s="57"/>
      <c r="BE1494" s="57"/>
      <c r="BF1494" s="57"/>
    </row>
    <row r="1495" spans="1:58" s="59" customFormat="1" x14ac:dyDescent="0.25">
      <c r="A1495" s="53"/>
      <c r="B1495" s="60"/>
      <c r="C1495" s="57">
        <f t="shared" si="116"/>
        <v>0</v>
      </c>
      <c r="D1495" s="56"/>
      <c r="E1495" s="57">
        <f>[1]DETAY!$A$2</f>
        <v>0</v>
      </c>
      <c r="F1495" s="90">
        <f t="shared" si="117"/>
        <v>0</v>
      </c>
      <c r="G1495" s="92">
        <f t="shared" si="118"/>
        <v>0</v>
      </c>
      <c r="H1495" s="62" t="e">
        <f t="shared" si="119"/>
        <v>#DIV/0!</v>
      </c>
      <c r="I1495" s="57"/>
      <c r="J1495" s="57"/>
      <c r="K1495" s="57"/>
      <c r="L1495" s="57"/>
      <c r="M1495" s="58"/>
      <c r="N1495" s="57"/>
      <c r="O1495" s="57"/>
      <c r="P1495" s="57"/>
      <c r="Q1495" s="57"/>
      <c r="R1495" s="57"/>
      <c r="S1495" s="61"/>
      <c r="T1495" s="57"/>
      <c r="U1495" s="57"/>
      <c r="V1495" s="57"/>
      <c r="W1495" s="57"/>
      <c r="X1495" s="57"/>
      <c r="Y1495" s="57"/>
      <c r="Z1495" s="57"/>
      <c r="AA1495" s="57"/>
      <c r="AB1495" s="57"/>
      <c r="AC1495" s="57"/>
      <c r="AD1495" s="57"/>
      <c r="AE1495" s="57"/>
      <c r="AF1495" s="57"/>
      <c r="AG1495" s="57"/>
      <c r="AH1495" s="57"/>
      <c r="AI1495" s="57"/>
      <c r="AJ1495" s="57"/>
      <c r="AK1495" s="57"/>
      <c r="AL1495" s="57"/>
      <c r="AM1495" s="57"/>
      <c r="AN1495" s="57"/>
      <c r="AO1495" s="57"/>
      <c r="AP1495" s="57"/>
      <c r="AQ1495" s="57"/>
      <c r="AR1495" s="57"/>
      <c r="AS1495" s="57"/>
      <c r="AT1495" s="57"/>
      <c r="AU1495" s="57"/>
      <c r="AV1495" s="57"/>
      <c r="AW1495" s="57"/>
      <c r="AX1495" s="57"/>
      <c r="AY1495" s="57"/>
      <c r="AZ1495" s="57"/>
      <c r="BA1495" s="57"/>
      <c r="BB1495" s="57"/>
      <c r="BC1495" s="57"/>
      <c r="BD1495" s="57"/>
      <c r="BE1495" s="57"/>
      <c r="BF1495" s="57"/>
    </row>
    <row r="1496" spans="1:58" s="59" customFormat="1" x14ac:dyDescent="0.25">
      <c r="A1496" s="53"/>
      <c r="B1496" s="60"/>
      <c r="C1496" s="57">
        <f t="shared" si="116"/>
        <v>0</v>
      </c>
      <c r="D1496" s="56"/>
      <c r="E1496" s="57">
        <f>[1]DETAY!$A$2</f>
        <v>0</v>
      </c>
      <c r="F1496" s="90">
        <f t="shared" si="117"/>
        <v>0</v>
      </c>
      <c r="G1496" s="92">
        <f t="shared" si="118"/>
        <v>0</v>
      </c>
      <c r="H1496" s="62" t="e">
        <f t="shared" si="119"/>
        <v>#DIV/0!</v>
      </c>
      <c r="I1496" s="57"/>
      <c r="J1496" s="57"/>
      <c r="K1496" s="57"/>
      <c r="L1496" s="57"/>
      <c r="M1496" s="58"/>
      <c r="N1496" s="57"/>
      <c r="O1496" s="57"/>
      <c r="P1496" s="57"/>
      <c r="Q1496" s="57"/>
      <c r="R1496" s="57"/>
      <c r="S1496" s="61"/>
      <c r="T1496" s="57"/>
      <c r="U1496" s="57"/>
      <c r="V1496" s="57"/>
      <c r="W1496" s="57"/>
      <c r="X1496" s="57"/>
      <c r="Y1496" s="57"/>
      <c r="Z1496" s="57"/>
      <c r="AA1496" s="57"/>
      <c r="AB1496" s="57"/>
      <c r="AC1496" s="57"/>
      <c r="AD1496" s="57"/>
      <c r="AE1496" s="57"/>
      <c r="AF1496" s="57"/>
      <c r="AG1496" s="57"/>
      <c r="AH1496" s="57"/>
      <c r="AI1496" s="57"/>
      <c r="AJ1496" s="57"/>
      <c r="AK1496" s="57"/>
      <c r="AL1496" s="57"/>
      <c r="AM1496" s="57"/>
      <c r="AN1496" s="57"/>
      <c r="AO1496" s="57"/>
      <c r="AP1496" s="57"/>
      <c r="AQ1496" s="57"/>
      <c r="AR1496" s="57"/>
      <c r="AS1496" s="57"/>
      <c r="AT1496" s="57"/>
      <c r="AU1496" s="57"/>
      <c r="AV1496" s="57"/>
      <c r="AW1496" s="57"/>
      <c r="AX1496" s="57"/>
      <c r="AY1496" s="57"/>
      <c r="AZ1496" s="57"/>
      <c r="BA1496" s="57"/>
      <c r="BB1496" s="57"/>
      <c r="BC1496" s="57"/>
      <c r="BD1496" s="57"/>
      <c r="BE1496" s="57"/>
      <c r="BF1496" s="57"/>
    </row>
    <row r="1497" spans="1:58" s="59" customFormat="1" x14ac:dyDescent="0.25">
      <c r="A1497" s="53"/>
      <c r="B1497" s="60"/>
      <c r="C1497" s="57">
        <f t="shared" si="116"/>
        <v>0</v>
      </c>
      <c r="D1497" s="56"/>
      <c r="E1497" s="57">
        <f>[1]DETAY!$A$2</f>
        <v>0</v>
      </c>
      <c r="F1497" s="90">
        <f t="shared" si="117"/>
        <v>0</v>
      </c>
      <c r="G1497" s="92">
        <f t="shared" si="118"/>
        <v>0</v>
      </c>
      <c r="H1497" s="62" t="e">
        <f t="shared" si="119"/>
        <v>#DIV/0!</v>
      </c>
      <c r="I1497" s="57"/>
      <c r="J1497" s="57"/>
      <c r="K1497" s="57"/>
      <c r="L1497" s="57"/>
      <c r="M1497" s="58"/>
      <c r="N1497" s="57"/>
      <c r="O1497" s="57"/>
      <c r="P1497" s="57"/>
      <c r="Q1497" s="57"/>
      <c r="R1497" s="57"/>
      <c r="S1497" s="61"/>
      <c r="T1497" s="57"/>
      <c r="U1497" s="57"/>
      <c r="V1497" s="57"/>
      <c r="W1497" s="57"/>
      <c r="X1497" s="57"/>
      <c r="Y1497" s="57"/>
      <c r="Z1497" s="57"/>
      <c r="AA1497" s="57"/>
      <c r="AB1497" s="57"/>
      <c r="AC1497" s="57"/>
      <c r="AD1497" s="57"/>
      <c r="AE1497" s="57"/>
      <c r="AF1497" s="57"/>
      <c r="AG1497" s="57"/>
      <c r="AH1497" s="57"/>
      <c r="AI1497" s="57"/>
      <c r="AJ1497" s="57"/>
      <c r="AK1497" s="57"/>
      <c r="AL1497" s="57"/>
      <c r="AM1497" s="57"/>
      <c r="AN1497" s="57"/>
      <c r="AO1497" s="57"/>
      <c r="AP1497" s="57"/>
      <c r="AQ1497" s="57"/>
      <c r="AR1497" s="57"/>
      <c r="AS1497" s="57"/>
      <c r="AT1497" s="57"/>
      <c r="AU1497" s="57"/>
      <c r="AV1497" s="57"/>
      <c r="AW1497" s="57"/>
      <c r="AX1497" s="57"/>
      <c r="AY1497" s="57"/>
      <c r="AZ1497" s="57"/>
      <c r="BA1497" s="57"/>
      <c r="BB1497" s="57"/>
      <c r="BC1497" s="57"/>
      <c r="BD1497" s="57"/>
      <c r="BE1497" s="57"/>
      <c r="BF1497" s="57"/>
    </row>
    <row r="1498" spans="1:58" s="59" customFormat="1" x14ac:dyDescent="0.25">
      <c r="A1498" s="53"/>
      <c r="B1498" s="60"/>
      <c r="C1498" s="57">
        <f t="shared" si="116"/>
        <v>0</v>
      </c>
      <c r="D1498" s="56"/>
      <c r="E1498" s="57">
        <f>[1]DETAY!$A$2</f>
        <v>0</v>
      </c>
      <c r="F1498" s="90">
        <f t="shared" si="117"/>
        <v>0</v>
      </c>
      <c r="G1498" s="92">
        <f t="shared" si="118"/>
        <v>0</v>
      </c>
      <c r="H1498" s="62" t="e">
        <f t="shared" si="119"/>
        <v>#DIV/0!</v>
      </c>
      <c r="I1498" s="57"/>
      <c r="J1498" s="57"/>
      <c r="K1498" s="57"/>
      <c r="L1498" s="57"/>
      <c r="M1498" s="58"/>
      <c r="N1498" s="57"/>
      <c r="O1498" s="57"/>
      <c r="P1498" s="57"/>
      <c r="Q1498" s="57"/>
      <c r="R1498" s="57"/>
      <c r="S1498" s="61"/>
      <c r="T1498" s="57"/>
      <c r="U1498" s="57"/>
      <c r="V1498" s="57"/>
      <c r="W1498" s="57"/>
      <c r="X1498" s="57"/>
      <c r="Y1498" s="57"/>
      <c r="Z1498" s="57"/>
      <c r="AA1498" s="57"/>
      <c r="AB1498" s="57"/>
      <c r="AC1498" s="57"/>
      <c r="AD1498" s="57"/>
      <c r="AE1498" s="57"/>
      <c r="AF1498" s="57"/>
      <c r="AG1498" s="57"/>
      <c r="AH1498" s="57"/>
      <c r="AI1498" s="57"/>
      <c r="AJ1498" s="57"/>
      <c r="AK1498" s="57"/>
      <c r="AL1498" s="57"/>
      <c r="AM1498" s="57"/>
      <c r="AN1498" s="57"/>
      <c r="AO1498" s="57"/>
      <c r="AP1498" s="57"/>
      <c r="AQ1498" s="57"/>
      <c r="AR1498" s="57"/>
      <c r="AS1498" s="57"/>
      <c r="AT1498" s="57"/>
      <c r="AU1498" s="57"/>
      <c r="AV1498" s="57"/>
      <c r="AW1498" s="57"/>
      <c r="AX1498" s="57"/>
      <c r="AY1498" s="57"/>
      <c r="AZ1498" s="57"/>
      <c r="BA1498" s="57"/>
      <c r="BB1498" s="57"/>
      <c r="BC1498" s="57"/>
      <c r="BD1498" s="57"/>
      <c r="BE1498" s="57"/>
      <c r="BF1498" s="57"/>
    </row>
    <row r="1499" spans="1:58" s="59" customFormat="1" x14ac:dyDescent="0.25">
      <c r="A1499" s="53"/>
      <c r="B1499" s="60"/>
      <c r="C1499" s="57">
        <f t="shared" si="116"/>
        <v>0</v>
      </c>
      <c r="D1499" s="56"/>
      <c r="E1499" s="57">
        <f>[1]DETAY!$A$2</f>
        <v>0</v>
      </c>
      <c r="F1499" s="90">
        <f t="shared" si="117"/>
        <v>0</v>
      </c>
      <c r="G1499" s="92">
        <f t="shared" si="118"/>
        <v>0</v>
      </c>
      <c r="H1499" s="62" t="e">
        <f t="shared" si="119"/>
        <v>#DIV/0!</v>
      </c>
      <c r="I1499" s="57"/>
      <c r="J1499" s="57"/>
      <c r="K1499" s="57"/>
      <c r="L1499" s="57"/>
      <c r="M1499" s="58"/>
      <c r="N1499" s="57"/>
      <c r="O1499" s="57"/>
      <c r="P1499" s="57"/>
      <c r="Q1499" s="57"/>
      <c r="R1499" s="57"/>
      <c r="S1499" s="61"/>
      <c r="T1499" s="57"/>
      <c r="U1499" s="57"/>
      <c r="V1499" s="57"/>
      <c r="W1499" s="57"/>
      <c r="X1499" s="57"/>
      <c r="Y1499" s="57"/>
      <c r="Z1499" s="57"/>
      <c r="AA1499" s="57"/>
      <c r="AB1499" s="57"/>
      <c r="AC1499" s="57"/>
      <c r="AD1499" s="57"/>
      <c r="AE1499" s="57"/>
      <c r="AF1499" s="57"/>
      <c r="AG1499" s="57"/>
      <c r="AH1499" s="57"/>
      <c r="AI1499" s="57"/>
      <c r="AJ1499" s="57"/>
      <c r="AK1499" s="57"/>
      <c r="AL1499" s="57"/>
      <c r="AM1499" s="57"/>
      <c r="AN1499" s="57"/>
      <c r="AO1499" s="57"/>
      <c r="AP1499" s="57"/>
      <c r="AQ1499" s="57"/>
      <c r="AR1499" s="57"/>
      <c r="AS1499" s="57"/>
      <c r="AT1499" s="57"/>
      <c r="AU1499" s="57"/>
      <c r="AV1499" s="57"/>
      <c r="AW1499" s="57"/>
      <c r="AX1499" s="57"/>
      <c r="AY1499" s="57"/>
      <c r="AZ1499" s="57"/>
      <c r="BA1499" s="57"/>
      <c r="BB1499" s="57"/>
      <c r="BC1499" s="57"/>
      <c r="BD1499" s="57"/>
      <c r="BE1499" s="57"/>
      <c r="BF1499" s="57"/>
    </row>
    <row r="1500" spans="1:58" s="59" customFormat="1" x14ac:dyDescent="0.25">
      <c r="A1500" s="53"/>
      <c r="B1500" s="60"/>
      <c r="C1500" s="57">
        <f t="shared" si="116"/>
        <v>0</v>
      </c>
      <c r="D1500" s="56"/>
      <c r="E1500" s="57">
        <f>[1]DETAY!$A$2</f>
        <v>0</v>
      </c>
      <c r="F1500" s="90">
        <f t="shared" si="117"/>
        <v>0</v>
      </c>
      <c r="G1500" s="92">
        <f t="shared" si="118"/>
        <v>0</v>
      </c>
      <c r="H1500" s="62" t="e">
        <f t="shared" si="119"/>
        <v>#DIV/0!</v>
      </c>
      <c r="I1500" s="57"/>
      <c r="J1500" s="57"/>
      <c r="K1500" s="57"/>
      <c r="L1500" s="57"/>
      <c r="M1500" s="58"/>
      <c r="N1500" s="57"/>
      <c r="O1500" s="57"/>
      <c r="P1500" s="57"/>
      <c r="Q1500" s="57"/>
      <c r="R1500" s="57"/>
      <c r="S1500" s="61"/>
      <c r="T1500" s="57"/>
      <c r="U1500" s="57"/>
      <c r="V1500" s="57"/>
      <c r="W1500" s="57"/>
      <c r="X1500" s="57"/>
      <c r="Y1500" s="57"/>
      <c r="Z1500" s="57"/>
      <c r="AA1500" s="57"/>
      <c r="AB1500" s="57"/>
      <c r="AC1500" s="57"/>
      <c r="AD1500" s="57"/>
      <c r="AE1500" s="57"/>
      <c r="AF1500" s="57"/>
      <c r="AG1500" s="57"/>
      <c r="AH1500" s="57"/>
      <c r="AI1500" s="57"/>
      <c r="AJ1500" s="57"/>
      <c r="AK1500" s="57"/>
      <c r="AL1500" s="57"/>
      <c r="AM1500" s="57"/>
      <c r="AN1500" s="57"/>
      <c r="AO1500" s="57"/>
      <c r="AP1500" s="57"/>
      <c r="AQ1500" s="57"/>
      <c r="AR1500" s="57"/>
      <c r="AS1500" s="57"/>
      <c r="AT1500" s="57"/>
      <c r="AU1500" s="57"/>
      <c r="AV1500" s="57"/>
      <c r="AW1500" s="57"/>
      <c r="AX1500" s="57"/>
      <c r="AY1500" s="57"/>
      <c r="AZ1500" s="57"/>
      <c r="BA1500" s="57"/>
      <c r="BB1500" s="57"/>
      <c r="BC1500" s="57"/>
      <c r="BD1500" s="57"/>
      <c r="BE1500" s="57"/>
      <c r="BF1500" s="57"/>
    </row>
    <row r="1501" spans="1:58" s="59" customFormat="1" x14ac:dyDescent="0.25">
      <c r="A1501" s="53"/>
      <c r="B1501" s="60"/>
      <c r="C1501" s="57">
        <f t="shared" si="116"/>
        <v>0</v>
      </c>
      <c r="D1501" s="56"/>
      <c r="E1501" s="57">
        <f>[1]DETAY!$A$2</f>
        <v>0</v>
      </c>
      <c r="F1501" s="90">
        <f t="shared" si="117"/>
        <v>0</v>
      </c>
      <c r="G1501" s="92">
        <f t="shared" si="118"/>
        <v>0</v>
      </c>
      <c r="H1501" s="62" t="e">
        <f t="shared" si="119"/>
        <v>#DIV/0!</v>
      </c>
      <c r="I1501" s="57"/>
      <c r="J1501" s="57"/>
      <c r="K1501" s="57"/>
      <c r="L1501" s="57"/>
      <c r="M1501" s="58"/>
      <c r="N1501" s="57"/>
      <c r="O1501" s="57"/>
      <c r="P1501" s="57"/>
      <c r="Q1501" s="57"/>
      <c r="R1501" s="57"/>
      <c r="S1501" s="61"/>
      <c r="T1501" s="57"/>
      <c r="U1501" s="57"/>
      <c r="V1501" s="57"/>
      <c r="W1501" s="57"/>
      <c r="X1501" s="57"/>
      <c r="Y1501" s="57"/>
      <c r="Z1501" s="57"/>
      <c r="AA1501" s="57"/>
      <c r="AB1501" s="57"/>
      <c r="AC1501" s="57"/>
      <c r="AD1501" s="57"/>
      <c r="AE1501" s="57"/>
      <c r="AF1501" s="57"/>
      <c r="AG1501" s="57"/>
      <c r="AH1501" s="57"/>
      <c r="AI1501" s="57"/>
      <c r="AJ1501" s="57"/>
      <c r="AK1501" s="57"/>
      <c r="AL1501" s="57"/>
      <c r="AM1501" s="57"/>
      <c r="AN1501" s="57"/>
      <c r="AO1501" s="57"/>
      <c r="AP1501" s="57"/>
      <c r="AQ1501" s="57"/>
      <c r="AR1501" s="57"/>
      <c r="AS1501" s="57"/>
      <c r="AT1501" s="57"/>
      <c r="AU1501" s="57"/>
      <c r="AV1501" s="57"/>
      <c r="AW1501" s="57"/>
      <c r="AX1501" s="57"/>
      <c r="AY1501" s="57"/>
      <c r="AZ1501" s="57"/>
      <c r="BA1501" s="57"/>
      <c r="BB1501" s="57"/>
      <c r="BC1501" s="57"/>
      <c r="BD1501" s="57"/>
      <c r="BE1501" s="57"/>
      <c r="BF1501" s="57"/>
    </row>
    <row r="1502" spans="1:58" s="59" customFormat="1" x14ac:dyDescent="0.25">
      <c r="A1502" s="53"/>
      <c r="B1502" s="60"/>
      <c r="C1502" s="57">
        <f t="shared" si="116"/>
        <v>0</v>
      </c>
      <c r="D1502" s="56"/>
      <c r="E1502" s="57">
        <f>[1]DETAY!$A$2</f>
        <v>0</v>
      </c>
      <c r="F1502" s="90">
        <f t="shared" si="117"/>
        <v>0</v>
      </c>
      <c r="G1502" s="92">
        <f t="shared" si="118"/>
        <v>0</v>
      </c>
      <c r="H1502" s="62" t="e">
        <f t="shared" si="119"/>
        <v>#DIV/0!</v>
      </c>
      <c r="I1502" s="57"/>
      <c r="J1502" s="57"/>
      <c r="K1502" s="57"/>
      <c r="L1502" s="57"/>
      <c r="M1502" s="58"/>
      <c r="N1502" s="57"/>
      <c r="O1502" s="57"/>
      <c r="P1502" s="57"/>
      <c r="Q1502" s="57"/>
      <c r="R1502" s="57"/>
      <c r="S1502" s="61"/>
      <c r="T1502" s="57"/>
      <c r="U1502" s="57"/>
      <c r="V1502" s="57"/>
      <c r="W1502" s="57"/>
      <c r="X1502" s="57"/>
      <c r="Y1502" s="57"/>
      <c r="Z1502" s="57"/>
      <c r="AA1502" s="57"/>
      <c r="AB1502" s="57"/>
      <c r="AC1502" s="57"/>
      <c r="AD1502" s="57"/>
      <c r="AE1502" s="57"/>
      <c r="AF1502" s="57"/>
      <c r="AG1502" s="57"/>
      <c r="AH1502" s="57"/>
      <c r="AI1502" s="57"/>
      <c r="AJ1502" s="57"/>
      <c r="AK1502" s="57"/>
      <c r="AL1502" s="57"/>
      <c r="AM1502" s="57"/>
      <c r="AN1502" s="57"/>
      <c r="AO1502" s="57"/>
      <c r="AP1502" s="57"/>
      <c r="AQ1502" s="57"/>
      <c r="AR1502" s="57"/>
      <c r="AS1502" s="57"/>
      <c r="AT1502" s="57"/>
      <c r="AU1502" s="57"/>
      <c r="AV1502" s="57"/>
      <c r="AW1502" s="57"/>
      <c r="AX1502" s="57"/>
      <c r="AY1502" s="57"/>
      <c r="AZ1502" s="57"/>
      <c r="BA1502" s="57"/>
      <c r="BB1502" s="57"/>
      <c r="BC1502" s="57"/>
      <c r="BD1502" s="57"/>
      <c r="BE1502" s="57"/>
      <c r="BF1502" s="57"/>
    </row>
    <row r="1503" spans="1:58" s="59" customFormat="1" x14ac:dyDescent="0.25">
      <c r="A1503" s="53"/>
      <c r="B1503" s="60"/>
      <c r="C1503" s="57">
        <f t="shared" si="116"/>
        <v>0</v>
      </c>
      <c r="D1503" s="56"/>
      <c r="E1503" s="57">
        <f>[1]DETAY!$A$2</f>
        <v>0</v>
      </c>
      <c r="F1503" s="90">
        <f t="shared" si="117"/>
        <v>0</v>
      </c>
      <c r="G1503" s="92">
        <f t="shared" si="118"/>
        <v>0</v>
      </c>
      <c r="H1503" s="62" t="e">
        <f t="shared" si="119"/>
        <v>#DIV/0!</v>
      </c>
      <c r="I1503" s="57"/>
      <c r="J1503" s="57"/>
      <c r="K1503" s="57"/>
      <c r="L1503" s="57"/>
      <c r="M1503" s="58"/>
      <c r="N1503" s="57"/>
      <c r="O1503" s="57"/>
      <c r="P1503" s="57"/>
      <c r="Q1503" s="57"/>
      <c r="R1503" s="57"/>
      <c r="S1503" s="61"/>
      <c r="T1503" s="57"/>
      <c r="U1503" s="57"/>
      <c r="V1503" s="57"/>
      <c r="W1503" s="57"/>
      <c r="X1503" s="57"/>
      <c r="Y1503" s="57"/>
      <c r="Z1503" s="57"/>
      <c r="AA1503" s="57"/>
      <c r="AB1503" s="57"/>
      <c r="AC1503" s="57"/>
      <c r="AD1503" s="57"/>
      <c r="AE1503" s="57"/>
      <c r="AF1503" s="57"/>
      <c r="AG1503" s="57"/>
      <c r="AH1503" s="57"/>
      <c r="AI1503" s="57"/>
      <c r="AJ1503" s="57"/>
      <c r="AK1503" s="57"/>
      <c r="AL1503" s="57"/>
      <c r="AM1503" s="57"/>
      <c r="AN1503" s="57"/>
      <c r="AO1503" s="57"/>
      <c r="AP1503" s="57"/>
      <c r="AQ1503" s="57"/>
      <c r="AR1503" s="57"/>
      <c r="AS1503" s="57"/>
      <c r="AT1503" s="57"/>
      <c r="AU1503" s="57"/>
      <c r="AV1503" s="57"/>
      <c r="AW1503" s="57"/>
      <c r="AX1503" s="57"/>
      <c r="AY1503" s="57"/>
      <c r="AZ1503" s="57"/>
      <c r="BA1503" s="57"/>
      <c r="BB1503" s="57"/>
      <c r="BC1503" s="57"/>
      <c r="BD1503" s="57"/>
      <c r="BE1503" s="57"/>
      <c r="BF1503" s="57"/>
    </row>
    <row r="1504" spans="1:58" s="59" customFormat="1" x14ac:dyDescent="0.25">
      <c r="A1504" s="53"/>
      <c r="B1504" s="60"/>
      <c r="C1504" s="57">
        <f t="shared" si="116"/>
        <v>0</v>
      </c>
      <c r="D1504" s="56"/>
      <c r="E1504" s="57">
        <f>[1]DETAY!$A$2</f>
        <v>0</v>
      </c>
      <c r="F1504" s="90">
        <f t="shared" si="117"/>
        <v>0</v>
      </c>
      <c r="G1504" s="92">
        <f t="shared" si="118"/>
        <v>0</v>
      </c>
      <c r="H1504" s="62" t="e">
        <f t="shared" si="119"/>
        <v>#DIV/0!</v>
      </c>
      <c r="I1504" s="57"/>
      <c r="J1504" s="57"/>
      <c r="K1504" s="57"/>
      <c r="L1504" s="57"/>
      <c r="M1504" s="58"/>
      <c r="N1504" s="57"/>
      <c r="O1504" s="57"/>
      <c r="P1504" s="57"/>
      <c r="Q1504" s="57"/>
      <c r="R1504" s="57"/>
      <c r="S1504" s="61"/>
      <c r="T1504" s="57"/>
      <c r="U1504" s="57"/>
      <c r="V1504" s="57"/>
      <c r="W1504" s="57"/>
      <c r="X1504" s="57"/>
      <c r="Y1504" s="57"/>
      <c r="Z1504" s="57"/>
      <c r="AA1504" s="57"/>
      <c r="AB1504" s="57"/>
      <c r="AC1504" s="57"/>
      <c r="AD1504" s="57"/>
      <c r="AE1504" s="57"/>
      <c r="AF1504" s="57"/>
      <c r="AG1504" s="57"/>
      <c r="AH1504" s="57"/>
      <c r="AI1504" s="57"/>
      <c r="AJ1504" s="57"/>
      <c r="AK1504" s="57"/>
      <c r="AL1504" s="57"/>
      <c r="AM1504" s="57"/>
      <c r="AN1504" s="57"/>
      <c r="AO1504" s="57"/>
      <c r="AP1504" s="57"/>
      <c r="AQ1504" s="57"/>
      <c r="AR1504" s="57"/>
      <c r="AS1504" s="57"/>
      <c r="AT1504" s="57"/>
      <c r="AU1504" s="57"/>
      <c r="AV1504" s="57"/>
      <c r="AW1504" s="57"/>
      <c r="AX1504" s="57"/>
      <c r="AY1504" s="57"/>
      <c r="AZ1504" s="57"/>
      <c r="BA1504" s="57"/>
      <c r="BB1504" s="57"/>
      <c r="BC1504" s="57"/>
      <c r="BD1504" s="57"/>
      <c r="BE1504" s="57"/>
      <c r="BF1504" s="57"/>
    </row>
    <row r="1505" spans="1:58" s="59" customFormat="1" x14ac:dyDescent="0.25">
      <c r="A1505" s="53"/>
      <c r="B1505" s="60"/>
      <c r="C1505" s="57">
        <f t="shared" si="116"/>
        <v>0</v>
      </c>
      <c r="D1505" s="56"/>
      <c r="E1505" s="57">
        <f>[1]DETAY!$A$2</f>
        <v>0</v>
      </c>
      <c r="F1505" s="90">
        <f t="shared" si="117"/>
        <v>0</v>
      </c>
      <c r="G1505" s="92">
        <f t="shared" si="118"/>
        <v>0</v>
      </c>
      <c r="H1505" s="62" t="e">
        <f t="shared" si="119"/>
        <v>#DIV/0!</v>
      </c>
      <c r="I1505" s="57"/>
      <c r="J1505" s="57"/>
      <c r="K1505" s="57"/>
      <c r="L1505" s="57"/>
      <c r="M1505" s="58"/>
      <c r="N1505" s="57"/>
      <c r="O1505" s="57"/>
      <c r="P1505" s="57"/>
      <c r="Q1505" s="57"/>
      <c r="R1505" s="57"/>
      <c r="S1505" s="61"/>
      <c r="T1505" s="57"/>
      <c r="U1505" s="57"/>
      <c r="V1505" s="57"/>
      <c r="W1505" s="57"/>
      <c r="X1505" s="57"/>
      <c r="Y1505" s="57"/>
      <c r="Z1505" s="57"/>
      <c r="AA1505" s="57"/>
      <c r="AB1505" s="57"/>
      <c r="AC1505" s="57"/>
      <c r="AD1505" s="57"/>
      <c r="AE1505" s="57"/>
      <c r="AF1505" s="57"/>
      <c r="AG1505" s="57"/>
      <c r="AH1505" s="57"/>
      <c r="AI1505" s="57"/>
      <c r="AJ1505" s="57"/>
      <c r="AK1505" s="57"/>
      <c r="AL1505" s="57"/>
      <c r="AM1505" s="57"/>
      <c r="AN1505" s="57"/>
      <c r="AO1505" s="57"/>
      <c r="AP1505" s="57"/>
      <c r="AQ1505" s="57"/>
      <c r="AR1505" s="57"/>
      <c r="AS1505" s="57"/>
      <c r="AT1505" s="57"/>
      <c r="AU1505" s="57"/>
      <c r="AV1505" s="57"/>
      <c r="AW1505" s="57"/>
      <c r="AX1505" s="57"/>
      <c r="AY1505" s="57"/>
      <c r="AZ1505" s="57"/>
      <c r="BA1505" s="57"/>
      <c r="BB1505" s="57"/>
      <c r="BC1505" s="57"/>
      <c r="BD1505" s="57"/>
      <c r="BE1505" s="57"/>
      <c r="BF1505" s="57"/>
    </row>
    <row r="1506" spans="1:58" s="59" customFormat="1" x14ac:dyDescent="0.25">
      <c r="A1506" s="53"/>
      <c r="B1506" s="60"/>
      <c r="C1506" s="57">
        <f t="shared" si="116"/>
        <v>0</v>
      </c>
      <c r="D1506" s="56"/>
      <c r="E1506" s="57">
        <f>[1]DETAY!$A$2</f>
        <v>0</v>
      </c>
      <c r="F1506" s="90">
        <f t="shared" si="117"/>
        <v>0</v>
      </c>
      <c r="G1506" s="92">
        <f t="shared" si="118"/>
        <v>0</v>
      </c>
      <c r="H1506" s="62" t="e">
        <f t="shared" si="119"/>
        <v>#DIV/0!</v>
      </c>
      <c r="I1506" s="57"/>
      <c r="J1506" s="57"/>
      <c r="K1506" s="57"/>
      <c r="L1506" s="57"/>
      <c r="M1506" s="58"/>
      <c r="N1506" s="57"/>
      <c r="O1506" s="57"/>
      <c r="P1506" s="57"/>
      <c r="Q1506" s="57"/>
      <c r="R1506" s="57"/>
      <c r="S1506" s="61"/>
      <c r="T1506" s="57"/>
      <c r="U1506" s="57"/>
      <c r="V1506" s="57"/>
      <c r="W1506" s="57"/>
      <c r="X1506" s="57"/>
      <c r="Y1506" s="57"/>
      <c r="Z1506" s="57"/>
      <c r="AA1506" s="57"/>
      <c r="AB1506" s="57"/>
      <c r="AC1506" s="57"/>
      <c r="AD1506" s="57"/>
      <c r="AE1506" s="57"/>
      <c r="AF1506" s="57"/>
      <c r="AG1506" s="57"/>
      <c r="AH1506" s="57"/>
      <c r="AI1506" s="57"/>
      <c r="AJ1506" s="57"/>
      <c r="AK1506" s="57"/>
      <c r="AL1506" s="57"/>
      <c r="AM1506" s="57"/>
      <c r="AN1506" s="57"/>
      <c r="AO1506" s="57"/>
      <c r="AP1506" s="57"/>
      <c r="AQ1506" s="57"/>
      <c r="AR1506" s="57"/>
      <c r="AS1506" s="57"/>
      <c r="AT1506" s="57"/>
      <c r="AU1506" s="57"/>
      <c r="AV1506" s="57"/>
      <c r="AW1506" s="57"/>
      <c r="AX1506" s="57"/>
      <c r="AY1506" s="57"/>
      <c r="AZ1506" s="57"/>
      <c r="BA1506" s="57"/>
      <c r="BB1506" s="57"/>
      <c r="BC1506" s="57"/>
      <c r="BD1506" s="57"/>
      <c r="BE1506" s="57"/>
      <c r="BF1506" s="57"/>
    </row>
    <row r="1507" spans="1:58" s="59" customFormat="1" x14ac:dyDescent="0.25">
      <c r="A1507" s="53"/>
      <c r="B1507" s="60"/>
      <c r="C1507" s="57">
        <f t="shared" si="116"/>
        <v>0</v>
      </c>
      <c r="D1507" s="56"/>
      <c r="E1507" s="57">
        <f>[1]DETAY!$A$2</f>
        <v>0</v>
      </c>
      <c r="F1507" s="90">
        <f t="shared" si="117"/>
        <v>0</v>
      </c>
      <c r="G1507" s="92">
        <f t="shared" si="118"/>
        <v>0</v>
      </c>
      <c r="H1507" s="62" t="e">
        <f t="shared" si="119"/>
        <v>#DIV/0!</v>
      </c>
      <c r="I1507" s="57"/>
      <c r="J1507" s="57"/>
      <c r="K1507" s="57"/>
      <c r="L1507" s="57"/>
      <c r="M1507" s="58"/>
      <c r="N1507" s="57"/>
      <c r="O1507" s="57"/>
      <c r="P1507" s="57"/>
      <c r="Q1507" s="57"/>
      <c r="R1507" s="57"/>
      <c r="S1507" s="61"/>
      <c r="T1507" s="57"/>
      <c r="U1507" s="57"/>
      <c r="V1507" s="57"/>
      <c r="W1507" s="57"/>
      <c r="X1507" s="57"/>
      <c r="Y1507" s="57"/>
      <c r="Z1507" s="57"/>
      <c r="AA1507" s="57"/>
      <c r="AB1507" s="57"/>
      <c r="AC1507" s="57"/>
      <c r="AD1507" s="57"/>
      <c r="AE1507" s="57"/>
      <c r="AF1507" s="57"/>
      <c r="AG1507" s="57"/>
      <c r="AH1507" s="57"/>
      <c r="AI1507" s="57"/>
      <c r="AJ1507" s="57"/>
      <c r="AK1507" s="57"/>
      <c r="AL1507" s="57"/>
      <c r="AM1507" s="57"/>
      <c r="AN1507" s="57"/>
      <c r="AO1507" s="57"/>
      <c r="AP1507" s="57"/>
      <c r="AQ1507" s="57"/>
      <c r="AR1507" s="57"/>
      <c r="AS1507" s="57"/>
      <c r="AT1507" s="57"/>
      <c r="AU1507" s="57"/>
      <c r="AV1507" s="57"/>
      <c r="AW1507" s="57"/>
      <c r="AX1507" s="57"/>
      <c r="AY1507" s="57"/>
      <c r="AZ1507" s="57"/>
      <c r="BA1507" s="57"/>
      <c r="BB1507" s="57"/>
      <c r="BC1507" s="57"/>
      <c r="BD1507" s="57"/>
      <c r="BE1507" s="57"/>
      <c r="BF1507" s="57"/>
    </row>
    <row r="1508" spans="1:58" s="59" customFormat="1" x14ac:dyDescent="0.25">
      <c r="A1508" s="53"/>
      <c r="B1508" s="60"/>
      <c r="C1508" s="57">
        <f t="shared" si="116"/>
        <v>0</v>
      </c>
      <c r="D1508" s="56"/>
      <c r="E1508" s="57">
        <f>[1]DETAY!$A$2</f>
        <v>0</v>
      </c>
      <c r="F1508" s="90">
        <f t="shared" si="117"/>
        <v>0</v>
      </c>
      <c r="G1508" s="92">
        <f t="shared" si="118"/>
        <v>0</v>
      </c>
      <c r="H1508" s="62" t="e">
        <f t="shared" si="119"/>
        <v>#DIV/0!</v>
      </c>
      <c r="I1508" s="57"/>
      <c r="J1508" s="57"/>
      <c r="K1508" s="57"/>
      <c r="L1508" s="57"/>
      <c r="M1508" s="58"/>
      <c r="N1508" s="57"/>
      <c r="O1508" s="57"/>
      <c r="P1508" s="57"/>
      <c r="Q1508" s="57"/>
      <c r="R1508" s="57"/>
      <c r="S1508" s="61"/>
      <c r="T1508" s="57"/>
      <c r="U1508" s="57"/>
      <c r="V1508" s="57"/>
      <c r="W1508" s="57"/>
      <c r="X1508" s="57"/>
      <c r="Y1508" s="57"/>
      <c r="Z1508" s="57"/>
      <c r="AA1508" s="57"/>
      <c r="AB1508" s="57"/>
      <c r="AC1508" s="57"/>
      <c r="AD1508" s="57"/>
      <c r="AE1508" s="57"/>
      <c r="AF1508" s="57"/>
      <c r="AG1508" s="57"/>
      <c r="AH1508" s="57"/>
      <c r="AI1508" s="57"/>
      <c r="AJ1508" s="57"/>
      <c r="AK1508" s="57"/>
      <c r="AL1508" s="57"/>
      <c r="AM1508" s="57"/>
      <c r="AN1508" s="57"/>
      <c r="AO1508" s="57"/>
      <c r="AP1508" s="57"/>
      <c r="AQ1508" s="57"/>
      <c r="AR1508" s="57"/>
      <c r="AS1508" s="57"/>
      <c r="AT1508" s="57"/>
      <c r="AU1508" s="57"/>
      <c r="AV1508" s="57"/>
      <c r="AW1508" s="57"/>
      <c r="AX1508" s="57"/>
      <c r="AY1508" s="57"/>
      <c r="AZ1508" s="57"/>
      <c r="BA1508" s="57"/>
      <c r="BB1508" s="57"/>
      <c r="BC1508" s="57"/>
      <c r="BD1508" s="57"/>
      <c r="BE1508" s="57"/>
      <c r="BF1508" s="57"/>
    </row>
    <row r="1509" spans="1:58" s="59" customFormat="1" x14ac:dyDescent="0.25">
      <c r="A1509" s="53"/>
      <c r="B1509" s="60"/>
      <c r="C1509" s="57">
        <f t="shared" si="116"/>
        <v>0</v>
      </c>
      <c r="D1509" s="56"/>
      <c r="E1509" s="57">
        <f>[1]DETAY!$A$2</f>
        <v>0</v>
      </c>
      <c r="F1509" s="90">
        <f t="shared" si="117"/>
        <v>0</v>
      </c>
      <c r="G1509" s="92">
        <f t="shared" si="118"/>
        <v>0</v>
      </c>
      <c r="H1509" s="62" t="e">
        <f t="shared" si="119"/>
        <v>#DIV/0!</v>
      </c>
      <c r="I1509" s="57"/>
      <c r="J1509" s="57"/>
      <c r="K1509" s="57"/>
      <c r="L1509" s="57"/>
      <c r="M1509" s="58"/>
      <c r="N1509" s="57"/>
      <c r="O1509" s="57"/>
      <c r="P1509" s="57"/>
      <c r="Q1509" s="57"/>
      <c r="R1509" s="57"/>
      <c r="S1509" s="61"/>
      <c r="T1509" s="57"/>
      <c r="U1509" s="57"/>
      <c r="V1509" s="57"/>
      <c r="W1509" s="57"/>
      <c r="X1509" s="57"/>
      <c r="Y1509" s="57"/>
      <c r="Z1509" s="57"/>
      <c r="AA1509" s="57"/>
      <c r="AB1509" s="57"/>
      <c r="AC1509" s="57"/>
      <c r="AD1509" s="57"/>
      <c r="AE1509" s="57"/>
      <c r="AF1509" s="57"/>
      <c r="AG1509" s="57"/>
      <c r="AH1509" s="57"/>
      <c r="AI1509" s="57"/>
      <c r="AJ1509" s="57"/>
      <c r="AK1509" s="57"/>
      <c r="AL1509" s="57"/>
      <c r="AM1509" s="57"/>
      <c r="AN1509" s="57"/>
      <c r="AO1509" s="57"/>
      <c r="AP1509" s="57"/>
      <c r="AQ1509" s="57"/>
      <c r="AR1509" s="57"/>
      <c r="AS1509" s="57"/>
      <c r="AT1509" s="57"/>
      <c r="AU1509" s="57"/>
      <c r="AV1509" s="57"/>
      <c r="AW1509" s="57"/>
      <c r="AX1509" s="57"/>
      <c r="AY1509" s="57"/>
      <c r="AZ1509" s="57"/>
      <c r="BA1509" s="57"/>
      <c r="BB1509" s="57"/>
      <c r="BC1509" s="57"/>
      <c r="BD1509" s="57"/>
      <c r="BE1509" s="57"/>
      <c r="BF1509" s="57"/>
    </row>
    <row r="1510" spans="1:58" s="59" customFormat="1" x14ac:dyDescent="0.25">
      <c r="A1510" s="53"/>
      <c r="B1510" s="60"/>
      <c r="C1510" s="57">
        <f t="shared" si="116"/>
        <v>0</v>
      </c>
      <c r="D1510" s="56"/>
      <c r="E1510" s="57">
        <f>[1]DETAY!$A$2</f>
        <v>0</v>
      </c>
      <c r="F1510" s="90">
        <f t="shared" si="117"/>
        <v>0</v>
      </c>
      <c r="G1510" s="92">
        <f t="shared" si="118"/>
        <v>0</v>
      </c>
      <c r="H1510" s="62" t="e">
        <f t="shared" si="119"/>
        <v>#DIV/0!</v>
      </c>
      <c r="I1510" s="57"/>
      <c r="J1510" s="57"/>
      <c r="K1510" s="57"/>
      <c r="L1510" s="57"/>
      <c r="M1510" s="58"/>
      <c r="N1510" s="57"/>
      <c r="O1510" s="57"/>
      <c r="P1510" s="57"/>
      <c r="Q1510" s="57"/>
      <c r="R1510" s="57"/>
      <c r="S1510" s="61"/>
      <c r="T1510" s="57"/>
      <c r="U1510" s="57"/>
      <c r="V1510" s="57"/>
      <c r="W1510" s="57"/>
      <c r="X1510" s="57"/>
      <c r="Y1510" s="57"/>
      <c r="Z1510" s="57"/>
      <c r="AA1510" s="57"/>
      <c r="AB1510" s="57"/>
      <c r="AC1510" s="57"/>
      <c r="AD1510" s="57"/>
      <c r="AE1510" s="57"/>
      <c r="AF1510" s="57"/>
      <c r="AG1510" s="57"/>
      <c r="AH1510" s="57"/>
      <c r="AI1510" s="57"/>
      <c r="AJ1510" s="57"/>
      <c r="AK1510" s="57"/>
      <c r="AL1510" s="57"/>
      <c r="AM1510" s="57"/>
      <c r="AN1510" s="57"/>
      <c r="AO1510" s="57"/>
      <c r="AP1510" s="57"/>
      <c r="AQ1510" s="57"/>
      <c r="AR1510" s="57"/>
      <c r="AS1510" s="57"/>
      <c r="AT1510" s="57"/>
      <c r="AU1510" s="57"/>
      <c r="AV1510" s="57"/>
      <c r="AW1510" s="57"/>
      <c r="AX1510" s="57"/>
      <c r="AY1510" s="57"/>
      <c r="AZ1510" s="57"/>
      <c r="BA1510" s="57"/>
      <c r="BB1510" s="57"/>
      <c r="BC1510" s="57"/>
      <c r="BD1510" s="57"/>
      <c r="BE1510" s="57"/>
      <c r="BF1510" s="57"/>
    </row>
    <row r="1511" spans="1:58" s="59" customFormat="1" x14ac:dyDescent="0.25">
      <c r="A1511" s="53"/>
      <c r="B1511" s="60"/>
      <c r="C1511" s="57">
        <f t="shared" si="116"/>
        <v>0</v>
      </c>
      <c r="D1511" s="56"/>
      <c r="E1511" s="57">
        <f>[1]DETAY!$A$2</f>
        <v>0</v>
      </c>
      <c r="F1511" s="90">
        <f t="shared" si="117"/>
        <v>0</v>
      </c>
      <c r="G1511" s="92">
        <f t="shared" si="118"/>
        <v>0</v>
      </c>
      <c r="H1511" s="62" t="e">
        <f t="shared" si="119"/>
        <v>#DIV/0!</v>
      </c>
      <c r="I1511" s="57"/>
      <c r="J1511" s="57"/>
      <c r="K1511" s="57"/>
      <c r="L1511" s="57"/>
      <c r="M1511" s="58"/>
      <c r="N1511" s="57"/>
      <c r="O1511" s="57"/>
      <c r="P1511" s="57"/>
      <c r="Q1511" s="57"/>
      <c r="R1511" s="57"/>
      <c r="S1511" s="61"/>
      <c r="T1511" s="57"/>
      <c r="U1511" s="57"/>
      <c r="V1511" s="57"/>
      <c r="W1511" s="57"/>
      <c r="X1511" s="57"/>
      <c r="Y1511" s="57"/>
      <c r="Z1511" s="57"/>
      <c r="AA1511" s="57"/>
      <c r="AB1511" s="57"/>
      <c r="AC1511" s="57"/>
      <c r="AD1511" s="57"/>
      <c r="AE1511" s="57"/>
      <c r="AF1511" s="57"/>
      <c r="AG1511" s="57"/>
      <c r="AH1511" s="57"/>
      <c r="AI1511" s="57"/>
      <c r="AJ1511" s="57"/>
      <c r="AK1511" s="57"/>
      <c r="AL1511" s="57"/>
      <c r="AM1511" s="57"/>
      <c r="AN1511" s="57"/>
      <c r="AO1511" s="57"/>
      <c r="AP1511" s="57"/>
      <c r="AQ1511" s="57"/>
      <c r="AR1511" s="57"/>
      <c r="AS1511" s="57"/>
      <c r="AT1511" s="57"/>
      <c r="AU1511" s="57"/>
      <c r="AV1511" s="57"/>
      <c r="AW1511" s="57"/>
      <c r="AX1511" s="57"/>
      <c r="AY1511" s="57"/>
      <c r="AZ1511" s="57"/>
      <c r="BA1511" s="57"/>
      <c r="BB1511" s="57"/>
      <c r="BC1511" s="57"/>
      <c r="BD1511" s="57"/>
      <c r="BE1511" s="57"/>
      <c r="BF1511" s="57"/>
    </row>
    <row r="1512" spans="1:58" s="59" customFormat="1" x14ac:dyDescent="0.25">
      <c r="A1512" s="53"/>
      <c r="B1512" s="60"/>
      <c r="C1512" s="57">
        <f t="shared" si="116"/>
        <v>0</v>
      </c>
      <c r="D1512" s="56"/>
      <c r="E1512" s="57">
        <f>[1]DETAY!$A$2</f>
        <v>0</v>
      </c>
      <c r="F1512" s="90">
        <f t="shared" si="117"/>
        <v>0</v>
      </c>
      <c r="G1512" s="92">
        <f t="shared" si="118"/>
        <v>0</v>
      </c>
      <c r="H1512" s="62" t="e">
        <f t="shared" si="119"/>
        <v>#DIV/0!</v>
      </c>
      <c r="I1512" s="57"/>
      <c r="J1512" s="57"/>
      <c r="K1512" s="57"/>
      <c r="L1512" s="57"/>
      <c r="M1512" s="58"/>
      <c r="N1512" s="57"/>
      <c r="O1512" s="57"/>
      <c r="P1512" s="57"/>
      <c r="Q1512" s="57"/>
      <c r="R1512" s="57"/>
      <c r="S1512" s="61"/>
      <c r="T1512" s="57"/>
      <c r="U1512" s="57"/>
      <c r="V1512" s="57"/>
      <c r="W1512" s="57"/>
      <c r="X1512" s="57"/>
      <c r="Y1512" s="57"/>
      <c r="Z1512" s="57"/>
      <c r="AA1512" s="57"/>
      <c r="AB1512" s="57"/>
      <c r="AC1512" s="57"/>
      <c r="AD1512" s="57"/>
      <c r="AE1512" s="57"/>
      <c r="AF1512" s="57"/>
      <c r="AG1512" s="57"/>
      <c r="AH1512" s="57"/>
      <c r="AI1512" s="57"/>
      <c r="AJ1512" s="57"/>
      <c r="AK1512" s="57"/>
      <c r="AL1512" s="57"/>
      <c r="AM1512" s="57"/>
      <c r="AN1512" s="57"/>
      <c r="AO1512" s="57"/>
      <c r="AP1512" s="57"/>
      <c r="AQ1512" s="57"/>
      <c r="AR1512" s="57"/>
      <c r="AS1512" s="57"/>
      <c r="AT1512" s="57"/>
      <c r="AU1512" s="57"/>
      <c r="AV1512" s="57"/>
      <c r="AW1512" s="57"/>
      <c r="AX1512" s="57"/>
      <c r="AY1512" s="57"/>
      <c r="AZ1512" s="57"/>
      <c r="BA1512" s="57"/>
      <c r="BB1512" s="57"/>
      <c r="BC1512" s="57"/>
      <c r="BD1512" s="57"/>
      <c r="BE1512" s="57"/>
      <c r="BF1512" s="57"/>
    </row>
    <row r="1513" spans="1:58" s="59" customFormat="1" x14ac:dyDescent="0.25">
      <c r="A1513" s="53"/>
      <c r="B1513" s="60"/>
      <c r="C1513" s="57">
        <f t="shared" si="116"/>
        <v>0</v>
      </c>
      <c r="D1513" s="56"/>
      <c r="E1513" s="57">
        <f>[1]DETAY!$A$2</f>
        <v>0</v>
      </c>
      <c r="F1513" s="90">
        <f t="shared" si="117"/>
        <v>0</v>
      </c>
      <c r="G1513" s="92">
        <f t="shared" si="118"/>
        <v>0</v>
      </c>
      <c r="H1513" s="62" t="e">
        <f t="shared" si="119"/>
        <v>#DIV/0!</v>
      </c>
      <c r="I1513" s="57"/>
      <c r="J1513" s="57"/>
      <c r="K1513" s="57"/>
      <c r="L1513" s="57"/>
      <c r="M1513" s="58"/>
      <c r="N1513" s="57"/>
      <c r="O1513" s="57"/>
      <c r="P1513" s="57"/>
      <c r="Q1513" s="57"/>
      <c r="R1513" s="57"/>
      <c r="S1513" s="61"/>
      <c r="T1513" s="57"/>
      <c r="U1513" s="57"/>
      <c r="V1513" s="57"/>
      <c r="W1513" s="57"/>
      <c r="X1513" s="57"/>
      <c r="Y1513" s="57"/>
      <c r="Z1513" s="57"/>
      <c r="AA1513" s="57"/>
      <c r="AB1513" s="57"/>
      <c r="AC1513" s="57"/>
      <c r="AD1513" s="57"/>
      <c r="AE1513" s="57"/>
      <c r="AF1513" s="57"/>
      <c r="AG1513" s="57"/>
      <c r="AH1513" s="57"/>
      <c r="AI1513" s="57"/>
      <c r="AJ1513" s="57"/>
      <c r="AK1513" s="57"/>
      <c r="AL1513" s="57"/>
      <c r="AM1513" s="57"/>
      <c r="AN1513" s="57"/>
      <c r="AO1513" s="57"/>
      <c r="AP1513" s="57"/>
      <c r="AQ1513" s="57"/>
      <c r="AR1513" s="57"/>
      <c r="AS1513" s="57"/>
      <c r="AT1513" s="57"/>
      <c r="AU1513" s="57"/>
      <c r="AV1513" s="57"/>
      <c r="AW1513" s="57"/>
      <c r="AX1513" s="57"/>
      <c r="AY1513" s="57"/>
      <c r="AZ1513" s="57"/>
      <c r="BA1513" s="57"/>
      <c r="BB1513" s="57"/>
      <c r="BC1513" s="57"/>
      <c r="BD1513" s="57"/>
      <c r="BE1513" s="57"/>
      <c r="BF1513" s="57"/>
    </row>
    <row r="1514" spans="1:58" s="59" customFormat="1" x14ac:dyDescent="0.25">
      <c r="A1514" s="53"/>
      <c r="B1514" s="60"/>
      <c r="C1514" s="57">
        <f t="shared" si="116"/>
        <v>0</v>
      </c>
      <c r="D1514" s="56"/>
      <c r="E1514" s="57">
        <f>[1]DETAY!$A$2</f>
        <v>0</v>
      </c>
      <c r="F1514" s="90">
        <f t="shared" si="117"/>
        <v>0</v>
      </c>
      <c r="G1514" s="92">
        <f t="shared" si="118"/>
        <v>0</v>
      </c>
      <c r="H1514" s="62" t="e">
        <f t="shared" si="119"/>
        <v>#DIV/0!</v>
      </c>
      <c r="I1514" s="57"/>
      <c r="J1514" s="57"/>
      <c r="K1514" s="57"/>
      <c r="L1514" s="57"/>
      <c r="M1514" s="58"/>
      <c r="N1514" s="57"/>
      <c r="O1514" s="57"/>
      <c r="P1514" s="57"/>
      <c r="Q1514" s="57"/>
      <c r="R1514" s="57"/>
      <c r="S1514" s="61"/>
      <c r="T1514" s="57"/>
      <c r="U1514" s="57"/>
      <c r="V1514" s="57"/>
      <c r="W1514" s="57"/>
      <c r="X1514" s="57"/>
      <c r="Y1514" s="57"/>
      <c r="Z1514" s="57"/>
      <c r="AA1514" s="57"/>
      <c r="AB1514" s="57"/>
      <c r="AC1514" s="57"/>
      <c r="AD1514" s="57"/>
      <c r="AE1514" s="57"/>
      <c r="AF1514" s="57"/>
      <c r="AG1514" s="57"/>
      <c r="AH1514" s="57"/>
      <c r="AI1514" s="57"/>
      <c r="AJ1514" s="57"/>
      <c r="AK1514" s="57"/>
      <c r="AL1514" s="57"/>
      <c r="AM1514" s="57"/>
      <c r="AN1514" s="57"/>
      <c r="AO1514" s="57"/>
      <c r="AP1514" s="57"/>
      <c r="AQ1514" s="57"/>
      <c r="AR1514" s="57"/>
      <c r="AS1514" s="57"/>
      <c r="AT1514" s="57"/>
      <c r="AU1514" s="57"/>
      <c r="AV1514" s="57"/>
      <c r="AW1514" s="57"/>
      <c r="AX1514" s="57"/>
      <c r="AY1514" s="57"/>
      <c r="AZ1514" s="57"/>
      <c r="BA1514" s="57"/>
      <c r="BB1514" s="57"/>
      <c r="BC1514" s="57"/>
      <c r="BD1514" s="57"/>
      <c r="BE1514" s="57"/>
      <c r="BF1514" s="57"/>
    </row>
    <row r="1515" spans="1:58" s="59" customFormat="1" x14ac:dyDescent="0.25">
      <c r="A1515" s="53"/>
      <c r="B1515" s="60"/>
      <c r="C1515" s="57">
        <f t="shared" si="116"/>
        <v>0</v>
      </c>
      <c r="D1515" s="56"/>
      <c r="E1515" s="57">
        <f>[1]DETAY!$A$2</f>
        <v>0</v>
      </c>
      <c r="F1515" s="90">
        <f t="shared" si="117"/>
        <v>0</v>
      </c>
      <c r="G1515" s="92">
        <f t="shared" si="118"/>
        <v>0</v>
      </c>
      <c r="H1515" s="62" t="e">
        <f t="shared" si="119"/>
        <v>#DIV/0!</v>
      </c>
      <c r="I1515" s="57"/>
      <c r="J1515" s="57"/>
      <c r="K1515" s="57"/>
      <c r="L1515" s="57"/>
      <c r="M1515" s="58"/>
      <c r="N1515" s="57"/>
      <c r="O1515" s="57"/>
      <c r="P1515" s="57"/>
      <c r="Q1515" s="57"/>
      <c r="R1515" s="57"/>
      <c r="S1515" s="61"/>
      <c r="T1515" s="57"/>
      <c r="U1515" s="57"/>
      <c r="V1515" s="57"/>
      <c r="W1515" s="57"/>
      <c r="X1515" s="57"/>
      <c r="Y1515" s="57"/>
      <c r="Z1515" s="57"/>
      <c r="AA1515" s="57"/>
      <c r="AB1515" s="57"/>
      <c r="AC1515" s="57"/>
      <c r="AD1515" s="57"/>
      <c r="AE1515" s="57"/>
      <c r="AF1515" s="57"/>
      <c r="AG1515" s="57"/>
      <c r="AH1515" s="57"/>
      <c r="AI1515" s="57"/>
      <c r="AJ1515" s="57"/>
      <c r="AK1515" s="57"/>
      <c r="AL1515" s="57"/>
      <c r="AM1515" s="57"/>
      <c r="AN1515" s="57"/>
      <c r="AO1515" s="57"/>
      <c r="AP1515" s="57"/>
      <c r="AQ1515" s="57"/>
      <c r="AR1515" s="57"/>
      <c r="AS1515" s="57"/>
      <c r="AT1515" s="57"/>
      <c r="AU1515" s="57"/>
      <c r="AV1515" s="57"/>
      <c r="AW1515" s="57"/>
      <c r="AX1515" s="57"/>
      <c r="AY1515" s="57"/>
      <c r="AZ1515" s="57"/>
      <c r="BA1515" s="57"/>
      <c r="BB1515" s="57"/>
      <c r="BC1515" s="57"/>
      <c r="BD1515" s="57"/>
      <c r="BE1515" s="57"/>
      <c r="BF1515" s="57"/>
    </row>
    <row r="1516" spans="1:58" s="59" customFormat="1" x14ac:dyDescent="0.25">
      <c r="A1516" s="53"/>
      <c r="B1516" s="60"/>
      <c r="C1516" s="57">
        <f t="shared" si="116"/>
        <v>0</v>
      </c>
      <c r="D1516" s="56"/>
      <c r="E1516" s="57">
        <f>[1]DETAY!$A$2</f>
        <v>0</v>
      </c>
      <c r="F1516" s="90">
        <f t="shared" si="117"/>
        <v>0</v>
      </c>
      <c r="G1516" s="92">
        <f t="shared" si="118"/>
        <v>0</v>
      </c>
      <c r="H1516" s="62" t="e">
        <f t="shared" si="119"/>
        <v>#DIV/0!</v>
      </c>
      <c r="I1516" s="57"/>
      <c r="J1516" s="57"/>
      <c r="K1516" s="57"/>
      <c r="L1516" s="57"/>
      <c r="M1516" s="58"/>
      <c r="N1516" s="57"/>
      <c r="O1516" s="57"/>
      <c r="P1516" s="57"/>
      <c r="Q1516" s="57"/>
      <c r="R1516" s="57"/>
      <c r="S1516" s="61"/>
      <c r="T1516" s="57"/>
      <c r="U1516" s="57"/>
      <c r="V1516" s="57"/>
      <c r="W1516" s="57"/>
      <c r="X1516" s="57"/>
      <c r="Y1516" s="57"/>
      <c r="Z1516" s="57"/>
      <c r="AA1516" s="57"/>
      <c r="AB1516" s="57"/>
      <c r="AC1516" s="57"/>
      <c r="AD1516" s="57"/>
      <c r="AE1516" s="57"/>
      <c r="AF1516" s="57"/>
      <c r="AG1516" s="57"/>
      <c r="AH1516" s="57"/>
      <c r="AI1516" s="57"/>
      <c r="AJ1516" s="57"/>
      <c r="AK1516" s="57"/>
      <c r="AL1516" s="57"/>
      <c r="AM1516" s="57"/>
      <c r="AN1516" s="57"/>
      <c r="AO1516" s="57"/>
      <c r="AP1516" s="57"/>
      <c r="AQ1516" s="57"/>
      <c r="AR1516" s="57"/>
      <c r="AS1516" s="57"/>
      <c r="AT1516" s="57"/>
      <c r="AU1516" s="57"/>
      <c r="AV1516" s="57"/>
      <c r="AW1516" s="57"/>
      <c r="AX1516" s="57"/>
      <c r="AY1516" s="57"/>
      <c r="AZ1516" s="57"/>
      <c r="BA1516" s="57"/>
      <c r="BB1516" s="57"/>
      <c r="BC1516" s="57"/>
      <c r="BD1516" s="57"/>
      <c r="BE1516" s="57"/>
      <c r="BF1516" s="57"/>
    </row>
    <row r="1517" spans="1:58" s="59" customFormat="1" x14ac:dyDescent="0.25">
      <c r="A1517" s="53"/>
      <c r="B1517" s="60"/>
      <c r="C1517" s="57">
        <f t="shared" si="116"/>
        <v>0</v>
      </c>
      <c r="D1517" s="56"/>
      <c r="E1517" s="57">
        <f>[1]DETAY!$A$2</f>
        <v>0</v>
      </c>
      <c r="F1517" s="90">
        <f t="shared" si="117"/>
        <v>0</v>
      </c>
      <c r="G1517" s="92">
        <f t="shared" si="118"/>
        <v>0</v>
      </c>
      <c r="H1517" s="62" t="e">
        <f t="shared" si="119"/>
        <v>#DIV/0!</v>
      </c>
      <c r="I1517" s="57"/>
      <c r="J1517" s="57"/>
      <c r="K1517" s="57"/>
      <c r="L1517" s="57"/>
      <c r="M1517" s="58"/>
      <c r="N1517" s="57"/>
      <c r="O1517" s="57"/>
      <c r="P1517" s="57"/>
      <c r="Q1517" s="57"/>
      <c r="R1517" s="57"/>
      <c r="S1517" s="61"/>
      <c r="T1517" s="57"/>
      <c r="U1517" s="57"/>
      <c r="V1517" s="57"/>
      <c r="W1517" s="57"/>
      <c r="X1517" s="57"/>
      <c r="Y1517" s="57"/>
      <c r="Z1517" s="57"/>
      <c r="AA1517" s="57"/>
      <c r="AB1517" s="57"/>
      <c r="AC1517" s="57"/>
      <c r="AD1517" s="57"/>
      <c r="AE1517" s="57"/>
      <c r="AF1517" s="57"/>
      <c r="AG1517" s="57"/>
      <c r="AH1517" s="57"/>
      <c r="AI1517" s="57"/>
      <c r="AJ1517" s="57"/>
      <c r="AK1517" s="57"/>
      <c r="AL1517" s="57"/>
      <c r="AM1517" s="57"/>
      <c r="AN1517" s="57"/>
      <c r="AO1517" s="57"/>
      <c r="AP1517" s="57"/>
      <c r="AQ1517" s="57"/>
      <c r="AR1517" s="57"/>
      <c r="AS1517" s="57"/>
      <c r="AT1517" s="57"/>
      <c r="AU1517" s="57"/>
      <c r="AV1517" s="57"/>
      <c r="AW1517" s="57"/>
      <c r="AX1517" s="57"/>
      <c r="AY1517" s="57"/>
      <c r="AZ1517" s="57"/>
      <c r="BA1517" s="57"/>
      <c r="BB1517" s="57"/>
      <c r="BC1517" s="57"/>
      <c r="BD1517" s="57"/>
      <c r="BE1517" s="57"/>
      <c r="BF1517" s="57"/>
    </row>
    <row r="1518" spans="1:58" s="59" customFormat="1" x14ac:dyDescent="0.25">
      <c r="A1518" s="53"/>
      <c r="B1518" s="60"/>
      <c r="C1518" s="57">
        <f t="shared" si="116"/>
        <v>0</v>
      </c>
      <c r="D1518" s="56"/>
      <c r="E1518" s="57">
        <f>[1]DETAY!$A$2</f>
        <v>0</v>
      </c>
      <c r="F1518" s="90">
        <f t="shared" si="117"/>
        <v>0</v>
      </c>
      <c r="G1518" s="92">
        <f t="shared" si="118"/>
        <v>0</v>
      </c>
      <c r="H1518" s="62" t="e">
        <f t="shared" si="119"/>
        <v>#DIV/0!</v>
      </c>
      <c r="I1518" s="57"/>
      <c r="J1518" s="57"/>
      <c r="K1518" s="57"/>
      <c r="L1518" s="57"/>
      <c r="M1518" s="58"/>
      <c r="N1518" s="57"/>
      <c r="O1518" s="57"/>
      <c r="P1518" s="57"/>
      <c r="Q1518" s="57"/>
      <c r="R1518" s="57"/>
      <c r="S1518" s="61"/>
      <c r="T1518" s="57"/>
      <c r="U1518" s="57"/>
      <c r="V1518" s="57"/>
      <c r="W1518" s="57"/>
      <c r="X1518" s="57"/>
      <c r="Y1518" s="57"/>
      <c r="Z1518" s="57"/>
      <c r="AA1518" s="57"/>
      <c r="AB1518" s="57"/>
      <c r="AC1518" s="57"/>
      <c r="AD1518" s="57"/>
      <c r="AE1518" s="57"/>
      <c r="AF1518" s="57"/>
      <c r="AG1518" s="57"/>
      <c r="AH1518" s="57"/>
      <c r="AI1518" s="57"/>
      <c r="AJ1518" s="57"/>
      <c r="AK1518" s="57"/>
      <c r="AL1518" s="57"/>
      <c r="AM1518" s="57"/>
      <c r="AN1518" s="57"/>
      <c r="AO1518" s="57"/>
      <c r="AP1518" s="57"/>
      <c r="AQ1518" s="57"/>
      <c r="AR1518" s="57"/>
      <c r="AS1518" s="57"/>
      <c r="AT1518" s="57"/>
      <c r="AU1518" s="57"/>
      <c r="AV1518" s="57"/>
      <c r="AW1518" s="57"/>
      <c r="AX1518" s="57"/>
      <c r="AY1518" s="57"/>
      <c r="AZ1518" s="57"/>
      <c r="BA1518" s="57"/>
      <c r="BB1518" s="57"/>
      <c r="BC1518" s="57"/>
      <c r="BD1518" s="57"/>
      <c r="BE1518" s="57"/>
      <c r="BF1518" s="57"/>
    </row>
    <row r="1519" spans="1:58" s="59" customFormat="1" x14ac:dyDescent="0.25">
      <c r="A1519" s="53"/>
      <c r="B1519" s="60"/>
      <c r="C1519" s="57">
        <f t="shared" si="116"/>
        <v>0</v>
      </c>
      <c r="D1519" s="56"/>
      <c r="E1519" s="57">
        <f>[1]DETAY!$A$2</f>
        <v>0</v>
      </c>
      <c r="F1519" s="90">
        <f t="shared" si="117"/>
        <v>0</v>
      </c>
      <c r="G1519" s="92">
        <f t="shared" si="118"/>
        <v>0</v>
      </c>
      <c r="H1519" s="62" t="e">
        <f t="shared" si="119"/>
        <v>#DIV/0!</v>
      </c>
      <c r="I1519" s="57"/>
      <c r="J1519" s="57"/>
      <c r="K1519" s="57"/>
      <c r="L1519" s="57"/>
      <c r="M1519" s="58"/>
      <c r="N1519" s="57"/>
      <c r="O1519" s="57"/>
      <c r="P1519" s="57"/>
      <c r="Q1519" s="57"/>
      <c r="R1519" s="57"/>
      <c r="S1519" s="61"/>
      <c r="T1519" s="57"/>
      <c r="U1519" s="57"/>
      <c r="V1519" s="57"/>
      <c r="W1519" s="57"/>
      <c r="X1519" s="57"/>
      <c r="Y1519" s="57"/>
      <c r="Z1519" s="57"/>
      <c r="AA1519" s="57"/>
      <c r="AB1519" s="57"/>
      <c r="AC1519" s="57"/>
      <c r="AD1519" s="57"/>
      <c r="AE1519" s="57"/>
      <c r="AF1519" s="57"/>
      <c r="AG1519" s="57"/>
      <c r="AH1519" s="57"/>
      <c r="AI1519" s="57"/>
      <c r="AJ1519" s="57"/>
      <c r="AK1519" s="57"/>
      <c r="AL1519" s="57"/>
      <c r="AM1519" s="57"/>
      <c r="AN1519" s="57"/>
      <c r="AO1519" s="57"/>
      <c r="AP1519" s="57"/>
      <c r="AQ1519" s="57"/>
      <c r="AR1519" s="57"/>
      <c r="AS1519" s="57"/>
      <c r="AT1519" s="57"/>
      <c r="AU1519" s="57"/>
      <c r="AV1519" s="57"/>
      <c r="AW1519" s="57"/>
      <c r="AX1519" s="57"/>
      <c r="AY1519" s="57"/>
      <c r="AZ1519" s="57"/>
      <c r="BA1519" s="57"/>
      <c r="BB1519" s="57"/>
      <c r="BC1519" s="57"/>
      <c r="BD1519" s="57"/>
      <c r="BE1519" s="57"/>
      <c r="BF1519" s="57"/>
    </row>
    <row r="1520" spans="1:58" s="59" customFormat="1" x14ac:dyDescent="0.25">
      <c r="A1520" s="53"/>
      <c r="B1520" s="60"/>
      <c r="C1520" s="57">
        <f t="shared" si="116"/>
        <v>0</v>
      </c>
      <c r="D1520" s="56"/>
      <c r="E1520" s="57">
        <f>[1]DETAY!$A$2</f>
        <v>0</v>
      </c>
      <c r="F1520" s="90">
        <f t="shared" si="117"/>
        <v>0</v>
      </c>
      <c r="G1520" s="92">
        <f t="shared" si="118"/>
        <v>0</v>
      </c>
      <c r="H1520" s="62" t="e">
        <f t="shared" si="119"/>
        <v>#DIV/0!</v>
      </c>
      <c r="I1520" s="57"/>
      <c r="J1520" s="57"/>
      <c r="K1520" s="57"/>
      <c r="L1520" s="57"/>
      <c r="M1520" s="58"/>
      <c r="N1520" s="57"/>
      <c r="O1520" s="57"/>
      <c r="P1520" s="57"/>
      <c r="Q1520" s="57"/>
      <c r="R1520" s="57"/>
      <c r="S1520" s="61"/>
      <c r="T1520" s="57"/>
      <c r="U1520" s="57"/>
      <c r="V1520" s="57"/>
      <c r="W1520" s="57"/>
      <c r="X1520" s="57"/>
      <c r="Y1520" s="57"/>
      <c r="Z1520" s="57"/>
      <c r="AA1520" s="57"/>
      <c r="AB1520" s="57"/>
      <c r="AC1520" s="57"/>
      <c r="AD1520" s="57"/>
      <c r="AE1520" s="57"/>
      <c r="AF1520" s="57"/>
      <c r="AG1520" s="57"/>
      <c r="AH1520" s="57"/>
      <c r="AI1520" s="57"/>
      <c r="AJ1520" s="57"/>
      <c r="AK1520" s="57"/>
      <c r="AL1520" s="57"/>
      <c r="AM1520" s="57"/>
      <c r="AN1520" s="57"/>
      <c r="AO1520" s="57"/>
      <c r="AP1520" s="57"/>
      <c r="AQ1520" s="57"/>
      <c r="AR1520" s="57"/>
      <c r="AS1520" s="57"/>
      <c r="AT1520" s="57"/>
      <c r="AU1520" s="57"/>
      <c r="AV1520" s="57"/>
      <c r="AW1520" s="57"/>
      <c r="AX1520" s="57"/>
      <c r="AY1520" s="57"/>
      <c r="AZ1520" s="57"/>
      <c r="BA1520" s="57"/>
      <c r="BB1520" s="57"/>
      <c r="BC1520" s="57"/>
      <c r="BD1520" s="57"/>
      <c r="BE1520" s="57"/>
      <c r="BF1520" s="57"/>
    </row>
    <row r="1521" spans="1:58" s="59" customFormat="1" x14ac:dyDescent="0.25">
      <c r="A1521" s="53"/>
      <c r="B1521" s="60"/>
      <c r="C1521" s="57">
        <f t="shared" si="116"/>
        <v>0</v>
      </c>
      <c r="D1521" s="56"/>
      <c r="E1521" s="57">
        <f>[1]DETAY!$A$2</f>
        <v>0</v>
      </c>
      <c r="F1521" s="90">
        <f t="shared" si="117"/>
        <v>0</v>
      </c>
      <c r="G1521" s="92">
        <f t="shared" si="118"/>
        <v>0</v>
      </c>
      <c r="H1521" s="62" t="e">
        <f t="shared" si="119"/>
        <v>#DIV/0!</v>
      </c>
      <c r="I1521" s="57"/>
      <c r="J1521" s="57"/>
      <c r="K1521" s="57"/>
      <c r="L1521" s="57"/>
      <c r="M1521" s="58"/>
      <c r="N1521" s="57"/>
      <c r="O1521" s="57"/>
      <c r="P1521" s="57"/>
      <c r="Q1521" s="57"/>
      <c r="R1521" s="57"/>
      <c r="S1521" s="61"/>
      <c r="T1521" s="57"/>
      <c r="U1521" s="57"/>
      <c r="V1521" s="57"/>
      <c r="W1521" s="57"/>
      <c r="X1521" s="57"/>
      <c r="Y1521" s="57"/>
      <c r="Z1521" s="57"/>
      <c r="AA1521" s="57"/>
      <c r="AB1521" s="57"/>
      <c r="AC1521" s="57"/>
      <c r="AD1521" s="57"/>
      <c r="AE1521" s="57"/>
      <c r="AF1521" s="57"/>
      <c r="AG1521" s="57"/>
      <c r="AH1521" s="57"/>
      <c r="AI1521" s="57"/>
      <c r="AJ1521" s="57"/>
      <c r="AK1521" s="57"/>
      <c r="AL1521" s="57"/>
      <c r="AM1521" s="57"/>
      <c r="AN1521" s="57"/>
      <c r="AO1521" s="57"/>
      <c r="AP1521" s="57"/>
      <c r="AQ1521" s="57"/>
      <c r="AR1521" s="57"/>
      <c r="AS1521" s="57"/>
      <c r="AT1521" s="57"/>
      <c r="AU1521" s="57"/>
      <c r="AV1521" s="57"/>
      <c r="AW1521" s="57"/>
      <c r="AX1521" s="57"/>
      <c r="AY1521" s="57"/>
      <c r="AZ1521" s="57"/>
      <c r="BA1521" s="57"/>
      <c r="BB1521" s="57"/>
      <c r="BC1521" s="57"/>
      <c r="BD1521" s="57"/>
      <c r="BE1521" s="57"/>
      <c r="BF1521" s="57"/>
    </row>
    <row r="1522" spans="1:58" s="59" customFormat="1" x14ac:dyDescent="0.25">
      <c r="A1522" s="53"/>
      <c r="B1522" s="60"/>
      <c r="C1522" s="57">
        <f t="shared" si="116"/>
        <v>0</v>
      </c>
      <c r="D1522" s="56"/>
      <c r="E1522" s="57">
        <f>[1]DETAY!$A$2</f>
        <v>0</v>
      </c>
      <c r="F1522" s="90">
        <f t="shared" si="117"/>
        <v>0</v>
      </c>
      <c r="G1522" s="92">
        <f t="shared" si="118"/>
        <v>0</v>
      </c>
      <c r="H1522" s="62" t="e">
        <f t="shared" si="119"/>
        <v>#DIV/0!</v>
      </c>
      <c r="I1522" s="57"/>
      <c r="J1522" s="57"/>
      <c r="K1522" s="57"/>
      <c r="L1522" s="57"/>
      <c r="M1522" s="58"/>
      <c r="N1522" s="57"/>
      <c r="O1522" s="57"/>
      <c r="P1522" s="57"/>
      <c r="Q1522" s="57"/>
      <c r="R1522" s="57"/>
      <c r="S1522" s="61"/>
      <c r="T1522" s="57"/>
      <c r="U1522" s="57"/>
      <c r="V1522" s="57"/>
      <c r="W1522" s="57"/>
      <c r="X1522" s="57"/>
      <c r="Y1522" s="57"/>
      <c r="Z1522" s="57"/>
      <c r="AA1522" s="57"/>
      <c r="AB1522" s="57"/>
      <c r="AC1522" s="57"/>
      <c r="AD1522" s="57"/>
      <c r="AE1522" s="57"/>
      <c r="AF1522" s="57"/>
      <c r="AG1522" s="57"/>
      <c r="AH1522" s="57"/>
      <c r="AI1522" s="57"/>
      <c r="AJ1522" s="57"/>
      <c r="AK1522" s="57"/>
      <c r="AL1522" s="57"/>
      <c r="AM1522" s="57"/>
      <c r="AN1522" s="57"/>
      <c r="AO1522" s="57"/>
      <c r="AP1522" s="57"/>
      <c r="AQ1522" s="57"/>
      <c r="AR1522" s="57"/>
      <c r="AS1522" s="57"/>
      <c r="AT1522" s="57"/>
      <c r="AU1522" s="57"/>
      <c r="AV1522" s="57"/>
      <c r="AW1522" s="57"/>
      <c r="AX1522" s="57"/>
      <c r="AY1522" s="57"/>
      <c r="AZ1522" s="57"/>
      <c r="BA1522" s="57"/>
      <c r="BB1522" s="57"/>
      <c r="BC1522" s="57"/>
      <c r="BD1522" s="57"/>
      <c r="BE1522" s="57"/>
      <c r="BF1522" s="57"/>
    </row>
    <row r="1523" spans="1:58" s="59" customFormat="1" x14ac:dyDescent="0.25">
      <c r="A1523" s="53"/>
      <c r="B1523" s="60"/>
      <c r="C1523" s="57">
        <f t="shared" si="116"/>
        <v>0</v>
      </c>
      <c r="D1523" s="56"/>
      <c r="E1523" s="57">
        <f>[1]DETAY!$A$2</f>
        <v>0</v>
      </c>
      <c r="F1523" s="90">
        <f t="shared" si="117"/>
        <v>0</v>
      </c>
      <c r="G1523" s="92">
        <f t="shared" si="118"/>
        <v>0</v>
      </c>
      <c r="H1523" s="62" t="e">
        <f t="shared" si="119"/>
        <v>#DIV/0!</v>
      </c>
      <c r="I1523" s="57"/>
      <c r="J1523" s="57"/>
      <c r="K1523" s="57"/>
      <c r="L1523" s="57"/>
      <c r="M1523" s="58"/>
      <c r="N1523" s="57"/>
      <c r="O1523" s="57"/>
      <c r="P1523" s="57"/>
      <c r="Q1523" s="57"/>
      <c r="R1523" s="57"/>
      <c r="S1523" s="61"/>
      <c r="T1523" s="57"/>
      <c r="U1523" s="57"/>
      <c r="V1523" s="57"/>
      <c r="W1523" s="57"/>
      <c r="X1523" s="57"/>
      <c r="Y1523" s="57"/>
      <c r="Z1523" s="57"/>
      <c r="AA1523" s="57"/>
      <c r="AB1523" s="57"/>
      <c r="AC1523" s="57"/>
      <c r="AD1523" s="57"/>
      <c r="AE1523" s="57"/>
      <c r="AF1523" s="57"/>
      <c r="AG1523" s="57"/>
      <c r="AH1523" s="57"/>
      <c r="AI1523" s="57"/>
      <c r="AJ1523" s="57"/>
      <c r="AK1523" s="57"/>
      <c r="AL1523" s="57"/>
      <c r="AM1523" s="57"/>
      <c r="AN1523" s="57"/>
      <c r="AO1523" s="57"/>
      <c r="AP1523" s="57"/>
      <c r="AQ1523" s="57"/>
      <c r="AR1523" s="57"/>
      <c r="AS1523" s="57"/>
      <c r="AT1523" s="57"/>
      <c r="AU1523" s="57"/>
      <c r="AV1523" s="57"/>
      <c r="AW1523" s="57"/>
      <c r="AX1523" s="57"/>
      <c r="AY1523" s="57"/>
      <c r="AZ1523" s="57"/>
      <c r="BA1523" s="57"/>
      <c r="BB1523" s="57"/>
      <c r="BC1523" s="57"/>
      <c r="BD1523" s="57"/>
      <c r="BE1523" s="57"/>
      <c r="BF1523" s="57"/>
    </row>
    <row r="1524" spans="1:58" s="59" customFormat="1" x14ac:dyDescent="0.25">
      <c r="A1524" s="53"/>
      <c r="B1524" s="60"/>
      <c r="C1524" s="57">
        <f t="shared" si="116"/>
        <v>0</v>
      </c>
      <c r="D1524" s="56"/>
      <c r="E1524" s="57">
        <f>[1]DETAY!$A$2</f>
        <v>0</v>
      </c>
      <c r="F1524" s="90">
        <f t="shared" si="117"/>
        <v>0</v>
      </c>
      <c r="G1524" s="92">
        <f t="shared" si="118"/>
        <v>0</v>
      </c>
      <c r="H1524" s="62" t="e">
        <f t="shared" si="119"/>
        <v>#DIV/0!</v>
      </c>
      <c r="I1524" s="57"/>
      <c r="J1524" s="57"/>
      <c r="K1524" s="57"/>
      <c r="L1524" s="57"/>
      <c r="M1524" s="58"/>
      <c r="N1524" s="57"/>
      <c r="O1524" s="57"/>
      <c r="P1524" s="57"/>
      <c r="Q1524" s="57"/>
      <c r="R1524" s="57"/>
      <c r="S1524" s="61"/>
      <c r="T1524" s="57"/>
      <c r="U1524" s="57"/>
      <c r="V1524" s="57"/>
      <c r="W1524" s="57"/>
      <c r="X1524" s="57"/>
      <c r="Y1524" s="57"/>
      <c r="Z1524" s="57"/>
      <c r="AA1524" s="57"/>
      <c r="AB1524" s="57"/>
      <c r="AC1524" s="57"/>
      <c r="AD1524" s="57"/>
      <c r="AE1524" s="57"/>
      <c r="AF1524" s="57"/>
      <c r="AG1524" s="57"/>
      <c r="AH1524" s="57"/>
      <c r="AI1524" s="57"/>
      <c r="AJ1524" s="57"/>
      <c r="AK1524" s="57"/>
      <c r="AL1524" s="57"/>
      <c r="AM1524" s="57"/>
      <c r="AN1524" s="57"/>
      <c r="AO1524" s="57"/>
      <c r="AP1524" s="57"/>
      <c r="AQ1524" s="57"/>
      <c r="AR1524" s="57"/>
      <c r="AS1524" s="57"/>
      <c r="AT1524" s="57"/>
      <c r="AU1524" s="57"/>
      <c r="AV1524" s="57"/>
      <c r="AW1524" s="57"/>
      <c r="AX1524" s="57"/>
      <c r="AY1524" s="57"/>
      <c r="AZ1524" s="57"/>
      <c r="BA1524" s="57"/>
      <c r="BB1524" s="57"/>
      <c r="BC1524" s="57"/>
      <c r="BD1524" s="57"/>
      <c r="BE1524" s="57"/>
      <c r="BF1524" s="57"/>
    </row>
    <row r="1525" spans="1:58" s="59" customFormat="1" x14ac:dyDescent="0.25">
      <c r="A1525" s="53"/>
      <c r="B1525" s="60"/>
      <c r="C1525" s="57">
        <f t="shared" si="116"/>
        <v>0</v>
      </c>
      <c r="D1525" s="56"/>
      <c r="E1525" s="57">
        <f>[1]DETAY!$A$2</f>
        <v>0</v>
      </c>
      <c r="F1525" s="90">
        <f t="shared" si="117"/>
        <v>0</v>
      </c>
      <c r="G1525" s="92">
        <f t="shared" si="118"/>
        <v>0</v>
      </c>
      <c r="H1525" s="62" t="e">
        <f t="shared" si="119"/>
        <v>#DIV/0!</v>
      </c>
      <c r="I1525" s="57"/>
      <c r="J1525" s="57"/>
      <c r="K1525" s="57"/>
      <c r="L1525" s="57"/>
      <c r="M1525" s="58"/>
      <c r="N1525" s="57"/>
      <c r="O1525" s="57"/>
      <c r="P1525" s="57"/>
      <c r="Q1525" s="57"/>
      <c r="R1525" s="57"/>
      <c r="S1525" s="61"/>
      <c r="T1525" s="57"/>
      <c r="U1525" s="57"/>
      <c r="V1525" s="57"/>
      <c r="W1525" s="57"/>
      <c r="X1525" s="57"/>
      <c r="Y1525" s="57"/>
      <c r="Z1525" s="57"/>
      <c r="AA1525" s="57"/>
      <c r="AB1525" s="57"/>
      <c r="AC1525" s="57"/>
      <c r="AD1525" s="57"/>
      <c r="AE1525" s="57"/>
      <c r="AF1525" s="57"/>
      <c r="AG1525" s="57"/>
      <c r="AH1525" s="57"/>
      <c r="AI1525" s="57"/>
      <c r="AJ1525" s="57"/>
      <c r="AK1525" s="57"/>
      <c r="AL1525" s="57"/>
      <c r="AM1525" s="57"/>
      <c r="AN1525" s="57"/>
      <c r="AO1525" s="57"/>
      <c r="AP1525" s="57"/>
      <c r="AQ1525" s="57"/>
      <c r="AR1525" s="57"/>
      <c r="AS1525" s="57"/>
      <c r="AT1525" s="57"/>
      <c r="AU1525" s="57"/>
      <c r="AV1525" s="57"/>
      <c r="AW1525" s="57"/>
      <c r="AX1525" s="57"/>
      <c r="AY1525" s="57"/>
      <c r="AZ1525" s="57"/>
      <c r="BA1525" s="57"/>
      <c r="BB1525" s="57"/>
      <c r="BC1525" s="57"/>
      <c r="BD1525" s="57"/>
      <c r="BE1525" s="57"/>
      <c r="BF1525" s="57"/>
    </row>
    <row r="1526" spans="1:58" s="59" customFormat="1" x14ac:dyDescent="0.25">
      <c r="A1526" s="53"/>
      <c r="B1526" s="60"/>
      <c r="C1526" s="57">
        <f t="shared" si="116"/>
        <v>0</v>
      </c>
      <c r="D1526" s="56"/>
      <c r="E1526" s="57">
        <f>[1]DETAY!$A$2</f>
        <v>0</v>
      </c>
      <c r="F1526" s="90">
        <f t="shared" si="117"/>
        <v>0</v>
      </c>
      <c r="G1526" s="92">
        <f t="shared" si="118"/>
        <v>0</v>
      </c>
      <c r="H1526" s="62" t="e">
        <f t="shared" si="119"/>
        <v>#DIV/0!</v>
      </c>
      <c r="I1526" s="57"/>
      <c r="J1526" s="57"/>
      <c r="K1526" s="57"/>
      <c r="L1526" s="57"/>
      <c r="M1526" s="58"/>
      <c r="N1526" s="57"/>
      <c r="O1526" s="57"/>
      <c r="P1526" s="57"/>
      <c r="Q1526" s="57"/>
      <c r="R1526" s="57"/>
      <c r="S1526" s="61"/>
      <c r="T1526" s="57"/>
      <c r="U1526" s="57"/>
      <c r="V1526" s="57"/>
      <c r="W1526" s="57"/>
      <c r="X1526" s="57"/>
      <c r="Y1526" s="57"/>
      <c r="Z1526" s="57"/>
      <c r="AA1526" s="57"/>
      <c r="AB1526" s="57"/>
      <c r="AC1526" s="57"/>
      <c r="AD1526" s="57"/>
      <c r="AE1526" s="57"/>
      <c r="AF1526" s="57"/>
      <c r="AG1526" s="57"/>
      <c r="AH1526" s="57"/>
      <c r="AI1526" s="57"/>
      <c r="AJ1526" s="57"/>
      <c r="AK1526" s="57"/>
      <c r="AL1526" s="57"/>
      <c r="AM1526" s="57"/>
      <c r="AN1526" s="57"/>
      <c r="AO1526" s="57"/>
      <c r="AP1526" s="57"/>
      <c r="AQ1526" s="57"/>
      <c r="AR1526" s="57"/>
      <c r="AS1526" s="57"/>
      <c r="AT1526" s="57"/>
      <c r="AU1526" s="57"/>
      <c r="AV1526" s="57"/>
      <c r="AW1526" s="57"/>
      <c r="AX1526" s="57"/>
      <c r="AY1526" s="57"/>
      <c r="AZ1526" s="57"/>
      <c r="BA1526" s="57"/>
      <c r="BB1526" s="57"/>
      <c r="BC1526" s="57"/>
      <c r="BD1526" s="57"/>
      <c r="BE1526" s="57"/>
      <c r="BF1526" s="57"/>
    </row>
    <row r="1527" spans="1:58" s="59" customFormat="1" x14ac:dyDescent="0.25">
      <c r="A1527" s="53"/>
      <c r="B1527" s="60"/>
      <c r="C1527" s="57">
        <f t="shared" si="116"/>
        <v>0</v>
      </c>
      <c r="D1527" s="56"/>
      <c r="E1527" s="57">
        <f>[1]DETAY!$A$2</f>
        <v>0</v>
      </c>
      <c r="F1527" s="90">
        <f t="shared" si="117"/>
        <v>0</v>
      </c>
      <c r="G1527" s="92">
        <f t="shared" si="118"/>
        <v>0</v>
      </c>
      <c r="H1527" s="62" t="e">
        <f t="shared" si="119"/>
        <v>#DIV/0!</v>
      </c>
      <c r="I1527" s="57"/>
      <c r="J1527" s="57"/>
      <c r="K1527" s="57"/>
      <c r="L1527" s="57"/>
      <c r="M1527" s="58"/>
      <c r="N1527" s="57"/>
      <c r="O1527" s="57"/>
      <c r="P1527" s="57"/>
      <c r="Q1527" s="57"/>
      <c r="R1527" s="57"/>
      <c r="S1527" s="61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  <c r="BA1527" s="57"/>
      <c r="BB1527" s="57"/>
      <c r="BC1527" s="57"/>
      <c r="BD1527" s="57"/>
      <c r="BE1527" s="57"/>
      <c r="BF1527" s="57"/>
    </row>
    <row r="1528" spans="1:58" s="59" customFormat="1" x14ac:dyDescent="0.25">
      <c r="A1528" s="53"/>
      <c r="B1528" s="60"/>
      <c r="C1528" s="57">
        <f t="shared" si="116"/>
        <v>0</v>
      </c>
      <c r="D1528" s="56"/>
      <c r="E1528" s="57">
        <f>[1]DETAY!$A$2</f>
        <v>0</v>
      </c>
      <c r="F1528" s="90">
        <f t="shared" si="117"/>
        <v>0</v>
      </c>
      <c r="G1528" s="92">
        <f t="shared" si="118"/>
        <v>0</v>
      </c>
      <c r="H1528" s="62" t="e">
        <f t="shared" si="119"/>
        <v>#DIV/0!</v>
      </c>
      <c r="I1528" s="57"/>
      <c r="J1528" s="57"/>
      <c r="K1528" s="57"/>
      <c r="L1528" s="57"/>
      <c r="M1528" s="58"/>
      <c r="N1528" s="57"/>
      <c r="O1528" s="57"/>
      <c r="P1528" s="57"/>
      <c r="Q1528" s="57"/>
      <c r="R1528" s="57"/>
      <c r="S1528" s="61"/>
      <c r="T1528" s="57"/>
      <c r="U1528" s="57"/>
      <c r="V1528" s="57"/>
      <c r="W1528" s="57"/>
      <c r="X1528" s="57"/>
      <c r="Y1528" s="57"/>
      <c r="Z1528" s="57"/>
      <c r="AA1528" s="57"/>
      <c r="AB1528" s="57"/>
      <c r="AC1528" s="57"/>
      <c r="AD1528" s="57"/>
      <c r="AE1528" s="57"/>
      <c r="AF1528" s="57"/>
      <c r="AG1528" s="57"/>
      <c r="AH1528" s="57"/>
      <c r="AI1528" s="57"/>
      <c r="AJ1528" s="57"/>
      <c r="AK1528" s="57"/>
      <c r="AL1528" s="57"/>
      <c r="AM1528" s="57"/>
      <c r="AN1528" s="57"/>
      <c r="AO1528" s="57"/>
      <c r="AP1528" s="57"/>
      <c r="AQ1528" s="57"/>
      <c r="AR1528" s="57"/>
      <c r="AS1528" s="57"/>
      <c r="AT1528" s="57"/>
      <c r="AU1528" s="57"/>
      <c r="AV1528" s="57"/>
      <c r="AW1528" s="57"/>
      <c r="AX1528" s="57"/>
      <c r="AY1528" s="57"/>
      <c r="AZ1528" s="57"/>
      <c r="BA1528" s="57"/>
      <c r="BB1528" s="57"/>
      <c r="BC1528" s="57"/>
      <c r="BD1528" s="57"/>
      <c r="BE1528" s="57"/>
      <c r="BF1528" s="57"/>
    </row>
    <row r="1529" spans="1:58" s="59" customFormat="1" x14ac:dyDescent="0.25">
      <c r="A1529" s="53"/>
      <c r="B1529" s="60"/>
      <c r="C1529" s="57">
        <f t="shared" si="116"/>
        <v>0</v>
      </c>
      <c r="D1529" s="56"/>
      <c r="E1529" s="57">
        <f>[1]DETAY!$A$2</f>
        <v>0</v>
      </c>
      <c r="F1529" s="90">
        <f t="shared" si="117"/>
        <v>0</v>
      </c>
      <c r="G1529" s="92">
        <f t="shared" si="118"/>
        <v>0</v>
      </c>
      <c r="H1529" s="62" t="e">
        <f t="shared" si="119"/>
        <v>#DIV/0!</v>
      </c>
      <c r="I1529" s="57"/>
      <c r="J1529" s="57"/>
      <c r="K1529" s="57"/>
      <c r="L1529" s="57"/>
      <c r="M1529" s="58"/>
      <c r="N1529" s="57"/>
      <c r="O1529" s="57"/>
      <c r="P1529" s="57"/>
      <c r="Q1529" s="57"/>
      <c r="R1529" s="57"/>
      <c r="S1529" s="61"/>
      <c r="T1529" s="57"/>
      <c r="U1529" s="57"/>
      <c r="V1529" s="57"/>
      <c r="W1529" s="57"/>
      <c r="X1529" s="57"/>
      <c r="Y1529" s="57"/>
      <c r="Z1529" s="57"/>
      <c r="AA1529" s="57"/>
      <c r="AB1529" s="57"/>
      <c r="AC1529" s="57"/>
      <c r="AD1529" s="57"/>
      <c r="AE1529" s="57"/>
      <c r="AF1529" s="57"/>
      <c r="AG1529" s="57"/>
      <c r="AH1529" s="57"/>
      <c r="AI1529" s="57"/>
      <c r="AJ1529" s="57"/>
      <c r="AK1529" s="57"/>
      <c r="AL1529" s="57"/>
      <c r="AM1529" s="57"/>
      <c r="AN1529" s="57"/>
      <c r="AO1529" s="57"/>
      <c r="AP1529" s="57"/>
      <c r="AQ1529" s="57"/>
      <c r="AR1529" s="57"/>
      <c r="AS1529" s="57"/>
      <c r="AT1529" s="57"/>
      <c r="AU1529" s="57"/>
      <c r="AV1529" s="57"/>
      <c r="AW1529" s="57"/>
      <c r="AX1529" s="57"/>
      <c r="AY1529" s="57"/>
      <c r="AZ1529" s="57"/>
      <c r="BA1529" s="57"/>
      <c r="BB1529" s="57"/>
      <c r="BC1529" s="57"/>
      <c r="BD1529" s="57"/>
      <c r="BE1529" s="57"/>
      <c r="BF1529" s="57"/>
    </row>
    <row r="1530" spans="1:58" s="59" customFormat="1" x14ac:dyDescent="0.25">
      <c r="A1530" s="53"/>
      <c r="B1530" s="60"/>
      <c r="C1530" s="57">
        <f t="shared" si="116"/>
        <v>0</v>
      </c>
      <c r="D1530" s="56"/>
      <c r="E1530" s="57">
        <f>[1]DETAY!$A$2</f>
        <v>0</v>
      </c>
      <c r="F1530" s="90">
        <f t="shared" si="117"/>
        <v>0</v>
      </c>
      <c r="G1530" s="92">
        <f t="shared" si="118"/>
        <v>0</v>
      </c>
      <c r="H1530" s="62" t="e">
        <f t="shared" si="119"/>
        <v>#DIV/0!</v>
      </c>
      <c r="I1530" s="57"/>
      <c r="J1530" s="57"/>
      <c r="K1530" s="57"/>
      <c r="L1530" s="57"/>
      <c r="M1530" s="58"/>
      <c r="N1530" s="57"/>
      <c r="O1530" s="57"/>
      <c r="P1530" s="57"/>
      <c r="Q1530" s="57"/>
      <c r="R1530" s="57"/>
      <c r="S1530" s="61"/>
      <c r="T1530" s="57"/>
      <c r="U1530" s="57"/>
      <c r="V1530" s="57"/>
      <c r="W1530" s="57"/>
      <c r="X1530" s="57"/>
      <c r="Y1530" s="57"/>
      <c r="Z1530" s="57"/>
      <c r="AA1530" s="57"/>
      <c r="AB1530" s="57"/>
      <c r="AC1530" s="57"/>
      <c r="AD1530" s="57"/>
      <c r="AE1530" s="57"/>
      <c r="AF1530" s="57"/>
      <c r="AG1530" s="57"/>
      <c r="AH1530" s="57"/>
      <c r="AI1530" s="57"/>
      <c r="AJ1530" s="57"/>
      <c r="AK1530" s="57"/>
      <c r="AL1530" s="57"/>
      <c r="AM1530" s="57"/>
      <c r="AN1530" s="57"/>
      <c r="AO1530" s="57"/>
      <c r="AP1530" s="57"/>
      <c r="AQ1530" s="57"/>
      <c r="AR1530" s="57"/>
      <c r="AS1530" s="57"/>
      <c r="AT1530" s="57"/>
      <c r="AU1530" s="57"/>
      <c r="AV1530" s="57"/>
      <c r="AW1530" s="57"/>
      <c r="AX1530" s="57"/>
      <c r="AY1530" s="57"/>
      <c r="AZ1530" s="57"/>
      <c r="BA1530" s="57"/>
      <c r="BB1530" s="57"/>
      <c r="BC1530" s="57"/>
      <c r="BD1530" s="57"/>
      <c r="BE1530" s="57"/>
      <c r="BF1530" s="57"/>
    </row>
    <row r="1531" spans="1:58" s="59" customFormat="1" x14ac:dyDescent="0.25">
      <c r="A1531" s="53"/>
      <c r="B1531" s="60"/>
      <c r="C1531" s="57">
        <f t="shared" si="116"/>
        <v>0</v>
      </c>
      <c r="D1531" s="56"/>
      <c r="E1531" s="57">
        <f>[1]DETAY!$A$2</f>
        <v>0</v>
      </c>
      <c r="F1531" s="90">
        <f t="shared" si="117"/>
        <v>0</v>
      </c>
      <c r="G1531" s="92">
        <f t="shared" si="118"/>
        <v>0</v>
      </c>
      <c r="H1531" s="62" t="e">
        <f t="shared" si="119"/>
        <v>#DIV/0!</v>
      </c>
      <c r="I1531" s="57"/>
      <c r="J1531" s="57"/>
      <c r="K1531" s="57"/>
      <c r="L1531" s="57"/>
      <c r="M1531" s="58"/>
      <c r="N1531" s="57"/>
      <c r="O1531" s="57"/>
      <c r="P1531" s="57"/>
      <c r="Q1531" s="57"/>
      <c r="R1531" s="57"/>
      <c r="S1531" s="61"/>
      <c r="T1531" s="57"/>
      <c r="U1531" s="57"/>
      <c r="V1531" s="57"/>
      <c r="W1531" s="57"/>
      <c r="X1531" s="57"/>
      <c r="Y1531" s="57"/>
      <c r="Z1531" s="57"/>
      <c r="AA1531" s="57"/>
      <c r="AB1531" s="57"/>
      <c r="AC1531" s="57"/>
      <c r="AD1531" s="57"/>
      <c r="AE1531" s="57"/>
      <c r="AF1531" s="57"/>
      <c r="AG1531" s="57"/>
      <c r="AH1531" s="57"/>
      <c r="AI1531" s="57"/>
      <c r="AJ1531" s="57"/>
      <c r="AK1531" s="57"/>
      <c r="AL1531" s="57"/>
      <c r="AM1531" s="57"/>
      <c r="AN1531" s="57"/>
      <c r="AO1531" s="57"/>
      <c r="AP1531" s="57"/>
      <c r="AQ1531" s="57"/>
      <c r="AR1531" s="57"/>
      <c r="AS1531" s="57"/>
      <c r="AT1531" s="57"/>
      <c r="AU1531" s="57"/>
      <c r="AV1531" s="57"/>
      <c r="AW1531" s="57"/>
      <c r="AX1531" s="57"/>
      <c r="AY1531" s="57"/>
      <c r="AZ1531" s="57"/>
      <c r="BA1531" s="57"/>
      <c r="BB1531" s="57"/>
      <c r="BC1531" s="57"/>
      <c r="BD1531" s="57"/>
      <c r="BE1531" s="57"/>
      <c r="BF1531" s="57"/>
    </row>
    <row r="1532" spans="1:58" s="59" customFormat="1" x14ac:dyDescent="0.25">
      <c r="A1532" s="53"/>
      <c r="B1532" s="60"/>
      <c r="C1532" s="57">
        <f t="shared" si="116"/>
        <v>0</v>
      </c>
      <c r="D1532" s="56"/>
      <c r="E1532" s="57">
        <f>[1]DETAY!$A$2</f>
        <v>0</v>
      </c>
      <c r="F1532" s="90">
        <f t="shared" si="117"/>
        <v>0</v>
      </c>
      <c r="G1532" s="92">
        <f t="shared" si="118"/>
        <v>0</v>
      </c>
      <c r="H1532" s="62" t="e">
        <f t="shared" si="119"/>
        <v>#DIV/0!</v>
      </c>
      <c r="I1532" s="57"/>
      <c r="J1532" s="57"/>
      <c r="K1532" s="57"/>
      <c r="L1532" s="57"/>
      <c r="M1532" s="58"/>
      <c r="N1532" s="57"/>
      <c r="O1532" s="57"/>
      <c r="P1532" s="57"/>
      <c r="Q1532" s="57"/>
      <c r="R1532" s="57"/>
      <c r="S1532" s="61"/>
      <c r="T1532" s="57"/>
      <c r="U1532" s="57"/>
      <c r="V1532" s="57"/>
      <c r="W1532" s="57"/>
      <c r="X1532" s="57"/>
      <c r="Y1532" s="57"/>
      <c r="Z1532" s="57"/>
      <c r="AA1532" s="57"/>
      <c r="AB1532" s="57"/>
      <c r="AC1532" s="57"/>
      <c r="AD1532" s="57"/>
      <c r="AE1532" s="57"/>
      <c r="AF1532" s="57"/>
      <c r="AG1532" s="57"/>
      <c r="AH1532" s="57"/>
      <c r="AI1532" s="57"/>
      <c r="AJ1532" s="57"/>
      <c r="AK1532" s="57"/>
      <c r="AL1532" s="57"/>
      <c r="AM1532" s="57"/>
      <c r="AN1532" s="57"/>
      <c r="AO1532" s="57"/>
      <c r="AP1532" s="57"/>
      <c r="AQ1532" s="57"/>
      <c r="AR1532" s="57"/>
      <c r="AS1532" s="57"/>
      <c r="AT1532" s="57"/>
      <c r="AU1532" s="57"/>
      <c r="AV1532" s="57"/>
      <c r="AW1532" s="57"/>
      <c r="AX1532" s="57"/>
      <c r="AY1532" s="57"/>
      <c r="AZ1532" s="57"/>
      <c r="BA1532" s="57"/>
      <c r="BB1532" s="57"/>
      <c r="BC1532" s="57"/>
      <c r="BD1532" s="57"/>
      <c r="BE1532" s="57"/>
      <c r="BF1532" s="57"/>
    </row>
    <row r="1533" spans="1:58" s="59" customFormat="1" x14ac:dyDescent="0.25">
      <c r="A1533" s="53"/>
      <c r="B1533" s="60"/>
      <c r="C1533" s="57">
        <f t="shared" si="116"/>
        <v>0</v>
      </c>
      <c r="D1533" s="56"/>
      <c r="E1533" s="57">
        <f>[1]DETAY!$A$2</f>
        <v>0</v>
      </c>
      <c r="F1533" s="90">
        <f t="shared" si="117"/>
        <v>0</v>
      </c>
      <c r="G1533" s="92">
        <f t="shared" si="118"/>
        <v>0</v>
      </c>
      <c r="H1533" s="62" t="e">
        <f t="shared" si="119"/>
        <v>#DIV/0!</v>
      </c>
      <c r="I1533" s="57"/>
      <c r="J1533" s="57"/>
      <c r="K1533" s="57"/>
      <c r="L1533" s="57"/>
      <c r="M1533" s="58"/>
      <c r="N1533" s="57"/>
      <c r="O1533" s="57"/>
      <c r="P1533" s="57"/>
      <c r="Q1533" s="57"/>
      <c r="R1533" s="57"/>
      <c r="S1533" s="61"/>
      <c r="T1533" s="57"/>
      <c r="U1533" s="57"/>
      <c r="V1533" s="57"/>
      <c r="W1533" s="57"/>
      <c r="X1533" s="57"/>
      <c r="Y1533" s="57"/>
      <c r="Z1533" s="57"/>
      <c r="AA1533" s="57"/>
      <c r="AB1533" s="57"/>
      <c r="AC1533" s="57"/>
      <c r="AD1533" s="57"/>
      <c r="AE1533" s="57"/>
      <c r="AF1533" s="57"/>
      <c r="AG1533" s="57"/>
      <c r="AH1533" s="57"/>
      <c r="AI1533" s="57"/>
      <c r="AJ1533" s="57"/>
      <c r="AK1533" s="57"/>
      <c r="AL1533" s="57"/>
      <c r="AM1533" s="57"/>
      <c r="AN1533" s="57"/>
      <c r="AO1533" s="57"/>
      <c r="AP1533" s="57"/>
      <c r="AQ1533" s="57"/>
      <c r="AR1533" s="57"/>
      <c r="AS1533" s="57"/>
      <c r="AT1533" s="57"/>
      <c r="AU1533" s="57"/>
      <c r="AV1533" s="57"/>
      <c r="AW1533" s="57"/>
      <c r="AX1533" s="57"/>
      <c r="AY1533" s="57"/>
      <c r="AZ1533" s="57"/>
      <c r="BA1533" s="57"/>
      <c r="BB1533" s="57"/>
      <c r="BC1533" s="57"/>
      <c r="BD1533" s="57"/>
      <c r="BE1533" s="57"/>
      <c r="BF1533" s="57"/>
    </row>
    <row r="1534" spans="1:58" s="59" customFormat="1" x14ac:dyDescent="0.25">
      <c r="A1534" s="53"/>
      <c r="B1534" s="60"/>
      <c r="C1534" s="57">
        <f t="shared" si="116"/>
        <v>0</v>
      </c>
      <c r="D1534" s="56"/>
      <c r="E1534" s="57">
        <f>[1]DETAY!$A$2</f>
        <v>0</v>
      </c>
      <c r="F1534" s="90">
        <f t="shared" si="117"/>
        <v>0</v>
      </c>
      <c r="G1534" s="92">
        <f t="shared" si="118"/>
        <v>0</v>
      </c>
      <c r="H1534" s="62" t="e">
        <f t="shared" si="119"/>
        <v>#DIV/0!</v>
      </c>
      <c r="I1534" s="57"/>
      <c r="J1534" s="57"/>
      <c r="K1534" s="57"/>
      <c r="L1534" s="57"/>
      <c r="M1534" s="58"/>
      <c r="N1534" s="57"/>
      <c r="O1534" s="57"/>
      <c r="P1534" s="57"/>
      <c r="Q1534" s="57"/>
      <c r="R1534" s="57"/>
      <c r="S1534" s="61"/>
      <c r="T1534" s="57"/>
      <c r="U1534" s="57"/>
      <c r="V1534" s="57"/>
      <c r="W1534" s="57"/>
      <c r="X1534" s="57"/>
      <c r="Y1534" s="57"/>
      <c r="Z1534" s="57"/>
      <c r="AA1534" s="57"/>
      <c r="AB1534" s="57"/>
      <c r="AC1534" s="57"/>
      <c r="AD1534" s="57"/>
      <c r="AE1534" s="57"/>
      <c r="AF1534" s="57"/>
      <c r="AG1534" s="57"/>
      <c r="AH1534" s="57"/>
      <c r="AI1534" s="57"/>
      <c r="AJ1534" s="57"/>
      <c r="AK1534" s="57"/>
      <c r="AL1534" s="57"/>
      <c r="AM1534" s="57"/>
      <c r="AN1534" s="57"/>
      <c r="AO1534" s="57"/>
      <c r="AP1534" s="57"/>
      <c r="AQ1534" s="57"/>
      <c r="AR1534" s="57"/>
      <c r="AS1534" s="57"/>
      <c r="AT1534" s="57"/>
      <c r="AU1534" s="57"/>
      <c r="AV1534" s="57"/>
      <c r="AW1534" s="57"/>
      <c r="AX1534" s="57"/>
      <c r="AY1534" s="57"/>
      <c r="AZ1534" s="57"/>
      <c r="BA1534" s="57"/>
      <c r="BB1534" s="57"/>
      <c r="BC1534" s="57"/>
      <c r="BD1534" s="57"/>
      <c r="BE1534" s="57"/>
      <c r="BF1534" s="57"/>
    </row>
    <row r="1535" spans="1:58" s="59" customFormat="1" x14ac:dyDescent="0.25">
      <c r="A1535" s="53"/>
      <c r="B1535" s="60"/>
      <c r="C1535" s="57">
        <f t="shared" si="116"/>
        <v>0</v>
      </c>
      <c r="D1535" s="56"/>
      <c r="E1535" s="57">
        <f>[1]DETAY!$A$2</f>
        <v>0</v>
      </c>
      <c r="F1535" s="90">
        <f t="shared" si="117"/>
        <v>0</v>
      </c>
      <c r="G1535" s="92">
        <f t="shared" si="118"/>
        <v>0</v>
      </c>
      <c r="H1535" s="62" t="e">
        <f t="shared" si="119"/>
        <v>#DIV/0!</v>
      </c>
      <c r="I1535" s="57"/>
      <c r="J1535" s="57"/>
      <c r="K1535" s="57"/>
      <c r="L1535" s="57"/>
      <c r="M1535" s="58"/>
      <c r="N1535" s="57"/>
      <c r="O1535" s="57"/>
      <c r="P1535" s="57"/>
      <c r="Q1535" s="57"/>
      <c r="R1535" s="57"/>
      <c r="S1535" s="61"/>
      <c r="T1535" s="57"/>
      <c r="U1535" s="57"/>
      <c r="V1535" s="57"/>
      <c r="W1535" s="57"/>
      <c r="X1535" s="57"/>
      <c r="Y1535" s="57"/>
      <c r="Z1535" s="57"/>
      <c r="AA1535" s="57"/>
      <c r="AB1535" s="57"/>
      <c r="AC1535" s="57"/>
      <c r="AD1535" s="57"/>
      <c r="AE1535" s="57"/>
      <c r="AF1535" s="57"/>
      <c r="AG1535" s="57"/>
      <c r="AH1535" s="57"/>
      <c r="AI1535" s="57"/>
      <c r="AJ1535" s="57"/>
      <c r="AK1535" s="57"/>
      <c r="AL1535" s="57"/>
      <c r="AM1535" s="57"/>
      <c r="AN1535" s="57"/>
      <c r="AO1535" s="57"/>
      <c r="AP1535" s="57"/>
      <c r="AQ1535" s="57"/>
      <c r="AR1535" s="57"/>
      <c r="AS1535" s="57"/>
      <c r="AT1535" s="57"/>
      <c r="AU1535" s="57"/>
      <c r="AV1535" s="57"/>
      <c r="AW1535" s="57"/>
      <c r="AX1535" s="57"/>
      <c r="AY1535" s="57"/>
      <c r="AZ1535" s="57"/>
      <c r="BA1535" s="57"/>
      <c r="BB1535" s="57"/>
      <c r="BC1535" s="57"/>
      <c r="BD1535" s="57"/>
      <c r="BE1535" s="57"/>
      <c r="BF1535" s="57"/>
    </row>
    <row r="1536" spans="1:58" s="59" customFormat="1" x14ac:dyDescent="0.25">
      <c r="A1536" s="53"/>
      <c r="B1536" s="60"/>
      <c r="C1536" s="57">
        <f t="shared" si="116"/>
        <v>0</v>
      </c>
      <c r="D1536" s="56"/>
      <c r="E1536" s="57">
        <f>[1]DETAY!$A$2</f>
        <v>0</v>
      </c>
      <c r="F1536" s="90">
        <f t="shared" si="117"/>
        <v>0</v>
      </c>
      <c r="G1536" s="92">
        <f t="shared" si="118"/>
        <v>0</v>
      </c>
      <c r="H1536" s="62" t="e">
        <f t="shared" si="119"/>
        <v>#DIV/0!</v>
      </c>
      <c r="I1536" s="57"/>
      <c r="J1536" s="57"/>
      <c r="K1536" s="57"/>
      <c r="L1536" s="57"/>
      <c r="M1536" s="58"/>
      <c r="N1536" s="57"/>
      <c r="O1536" s="57"/>
      <c r="P1536" s="57"/>
      <c r="Q1536" s="57"/>
      <c r="R1536" s="57"/>
      <c r="S1536" s="61"/>
      <c r="T1536" s="57"/>
      <c r="U1536" s="57"/>
      <c r="V1536" s="57"/>
      <c r="W1536" s="57"/>
      <c r="X1536" s="57"/>
      <c r="Y1536" s="57"/>
      <c r="Z1536" s="57"/>
      <c r="AA1536" s="57"/>
      <c r="AB1536" s="57"/>
      <c r="AC1536" s="57"/>
      <c r="AD1536" s="57"/>
      <c r="AE1536" s="57"/>
      <c r="AF1536" s="57"/>
      <c r="AG1536" s="57"/>
      <c r="AH1536" s="57"/>
      <c r="AI1536" s="57"/>
      <c r="AJ1536" s="57"/>
      <c r="AK1536" s="57"/>
      <c r="AL1536" s="57"/>
      <c r="AM1536" s="57"/>
      <c r="AN1536" s="57"/>
      <c r="AO1536" s="57"/>
      <c r="AP1536" s="57"/>
      <c r="AQ1536" s="57"/>
      <c r="AR1536" s="57"/>
      <c r="AS1536" s="57"/>
      <c r="AT1536" s="57"/>
      <c r="AU1536" s="57"/>
      <c r="AV1536" s="57"/>
      <c r="AW1536" s="57"/>
      <c r="AX1536" s="57"/>
      <c r="AY1536" s="57"/>
      <c r="AZ1536" s="57"/>
      <c r="BA1536" s="57"/>
      <c r="BB1536" s="57"/>
      <c r="BC1536" s="57"/>
      <c r="BD1536" s="57"/>
      <c r="BE1536" s="57"/>
      <c r="BF1536" s="57"/>
    </row>
    <row r="1537" spans="1:58" s="59" customFormat="1" x14ac:dyDescent="0.25">
      <c r="A1537" s="53"/>
      <c r="B1537" s="60"/>
      <c r="C1537" s="57">
        <f t="shared" si="116"/>
        <v>0</v>
      </c>
      <c r="D1537" s="56"/>
      <c r="E1537" s="57">
        <f>[1]DETAY!$A$2</f>
        <v>0</v>
      </c>
      <c r="F1537" s="90">
        <f t="shared" si="117"/>
        <v>0</v>
      </c>
      <c r="G1537" s="92">
        <f t="shared" si="118"/>
        <v>0</v>
      </c>
      <c r="H1537" s="62" t="e">
        <f t="shared" si="119"/>
        <v>#DIV/0!</v>
      </c>
      <c r="I1537" s="57"/>
      <c r="J1537" s="57"/>
      <c r="K1537" s="57"/>
      <c r="L1537" s="57"/>
      <c r="M1537" s="58"/>
      <c r="N1537" s="57"/>
      <c r="O1537" s="57"/>
      <c r="P1537" s="57"/>
      <c r="Q1537" s="57"/>
      <c r="R1537" s="57"/>
      <c r="S1537" s="61"/>
      <c r="T1537" s="57"/>
      <c r="U1537" s="57"/>
      <c r="V1537" s="57"/>
      <c r="W1537" s="57"/>
      <c r="X1537" s="57"/>
      <c r="Y1537" s="57"/>
      <c r="Z1537" s="57"/>
      <c r="AA1537" s="57"/>
      <c r="AB1537" s="57"/>
      <c r="AC1537" s="57"/>
      <c r="AD1537" s="57"/>
      <c r="AE1537" s="57"/>
      <c r="AF1537" s="57"/>
      <c r="AG1537" s="57"/>
      <c r="AH1537" s="57"/>
      <c r="AI1537" s="57"/>
      <c r="AJ1537" s="57"/>
      <c r="AK1537" s="57"/>
      <c r="AL1537" s="57"/>
      <c r="AM1537" s="57"/>
      <c r="AN1537" s="57"/>
      <c r="AO1537" s="57"/>
      <c r="AP1537" s="57"/>
      <c r="AQ1537" s="57"/>
      <c r="AR1537" s="57"/>
      <c r="AS1537" s="57"/>
      <c r="AT1537" s="57"/>
      <c r="AU1537" s="57"/>
      <c r="AV1537" s="57"/>
      <c r="AW1537" s="57"/>
      <c r="AX1537" s="57"/>
      <c r="AY1537" s="57"/>
      <c r="AZ1537" s="57"/>
      <c r="BA1537" s="57"/>
      <c r="BB1537" s="57"/>
      <c r="BC1537" s="57"/>
      <c r="BD1537" s="57"/>
      <c r="BE1537" s="57"/>
      <c r="BF1537" s="57"/>
    </row>
    <row r="1538" spans="1:58" s="59" customFormat="1" x14ac:dyDescent="0.25">
      <c r="A1538" s="53"/>
      <c r="B1538" s="60"/>
      <c r="C1538" s="57">
        <f t="shared" si="116"/>
        <v>0</v>
      </c>
      <c r="D1538" s="56"/>
      <c r="E1538" s="57">
        <f>[1]DETAY!$A$2</f>
        <v>0</v>
      </c>
      <c r="F1538" s="90">
        <f t="shared" si="117"/>
        <v>0</v>
      </c>
      <c r="G1538" s="92">
        <f t="shared" si="118"/>
        <v>0</v>
      </c>
      <c r="H1538" s="62" t="e">
        <f t="shared" si="119"/>
        <v>#DIV/0!</v>
      </c>
      <c r="I1538" s="57"/>
      <c r="J1538" s="57"/>
      <c r="K1538" s="57"/>
      <c r="L1538" s="57"/>
      <c r="M1538" s="58"/>
      <c r="N1538" s="57"/>
      <c r="O1538" s="57"/>
      <c r="P1538" s="57"/>
      <c r="Q1538" s="57"/>
      <c r="R1538" s="57"/>
      <c r="S1538" s="61"/>
      <c r="T1538" s="57"/>
      <c r="U1538" s="57"/>
      <c r="V1538" s="57"/>
      <c r="W1538" s="57"/>
      <c r="X1538" s="57"/>
      <c r="Y1538" s="57"/>
      <c r="Z1538" s="57"/>
      <c r="AA1538" s="57"/>
      <c r="AB1538" s="57"/>
      <c r="AC1538" s="57"/>
      <c r="AD1538" s="57"/>
      <c r="AE1538" s="57"/>
      <c r="AF1538" s="57"/>
      <c r="AG1538" s="57"/>
      <c r="AH1538" s="57"/>
      <c r="AI1538" s="57"/>
      <c r="AJ1538" s="57"/>
      <c r="AK1538" s="57"/>
      <c r="AL1538" s="57"/>
      <c r="AM1538" s="57"/>
      <c r="AN1538" s="57"/>
      <c r="AO1538" s="57"/>
      <c r="AP1538" s="57"/>
      <c r="AQ1538" s="57"/>
      <c r="AR1538" s="57"/>
      <c r="AS1538" s="57"/>
      <c r="AT1538" s="57"/>
      <c r="AU1538" s="57"/>
      <c r="AV1538" s="57"/>
      <c r="AW1538" s="57"/>
      <c r="AX1538" s="57"/>
      <c r="AY1538" s="57"/>
      <c r="AZ1538" s="57"/>
      <c r="BA1538" s="57"/>
      <c r="BB1538" s="57"/>
      <c r="BC1538" s="57"/>
      <c r="BD1538" s="57"/>
      <c r="BE1538" s="57"/>
      <c r="BF1538" s="57"/>
    </row>
    <row r="1539" spans="1:58" s="59" customFormat="1" x14ac:dyDescent="0.25">
      <c r="A1539" s="53"/>
      <c r="B1539" s="60"/>
      <c r="C1539" s="57">
        <f t="shared" si="116"/>
        <v>0</v>
      </c>
      <c r="D1539" s="56"/>
      <c r="E1539" s="57">
        <f>[1]DETAY!$A$2</f>
        <v>0</v>
      </c>
      <c r="F1539" s="90">
        <f t="shared" si="117"/>
        <v>0</v>
      </c>
      <c r="G1539" s="92">
        <f t="shared" si="118"/>
        <v>0</v>
      </c>
      <c r="H1539" s="62" t="e">
        <f t="shared" si="119"/>
        <v>#DIV/0!</v>
      </c>
      <c r="I1539" s="57"/>
      <c r="J1539" s="57"/>
      <c r="K1539" s="57"/>
      <c r="L1539" s="57"/>
      <c r="M1539" s="58"/>
      <c r="N1539" s="57"/>
      <c r="O1539" s="57"/>
      <c r="P1539" s="57"/>
      <c r="Q1539" s="57"/>
      <c r="R1539" s="57"/>
      <c r="S1539" s="61"/>
      <c r="T1539" s="57"/>
      <c r="U1539" s="57"/>
      <c r="V1539" s="57"/>
      <c r="W1539" s="57"/>
      <c r="X1539" s="57"/>
      <c r="Y1539" s="57"/>
      <c r="Z1539" s="57"/>
      <c r="AA1539" s="57"/>
      <c r="AB1539" s="57"/>
      <c r="AC1539" s="57"/>
      <c r="AD1539" s="57"/>
      <c r="AE1539" s="57"/>
      <c r="AF1539" s="57"/>
      <c r="AG1539" s="57"/>
      <c r="AH1539" s="57"/>
      <c r="AI1539" s="57"/>
      <c r="AJ1539" s="57"/>
      <c r="AK1539" s="57"/>
      <c r="AL1539" s="57"/>
      <c r="AM1539" s="57"/>
      <c r="AN1539" s="57"/>
      <c r="AO1539" s="57"/>
      <c r="AP1539" s="57"/>
      <c r="AQ1539" s="57"/>
      <c r="AR1539" s="57"/>
      <c r="AS1539" s="57"/>
      <c r="AT1539" s="57"/>
      <c r="AU1539" s="57"/>
      <c r="AV1539" s="57"/>
      <c r="AW1539" s="57"/>
      <c r="AX1539" s="57"/>
      <c r="AY1539" s="57"/>
      <c r="AZ1539" s="57"/>
      <c r="BA1539" s="57"/>
      <c r="BB1539" s="57"/>
      <c r="BC1539" s="57"/>
      <c r="BD1539" s="57"/>
      <c r="BE1539" s="57"/>
      <c r="BF1539" s="57"/>
    </row>
    <row r="1540" spans="1:58" s="59" customFormat="1" x14ac:dyDescent="0.25">
      <c r="A1540" s="53"/>
      <c r="B1540" s="60"/>
      <c r="C1540" s="57">
        <f t="shared" si="116"/>
        <v>0</v>
      </c>
      <c r="D1540" s="56"/>
      <c r="E1540" s="57">
        <f>[1]DETAY!$A$2</f>
        <v>0</v>
      </c>
      <c r="F1540" s="90">
        <f t="shared" si="117"/>
        <v>0</v>
      </c>
      <c r="G1540" s="92">
        <f t="shared" si="118"/>
        <v>0</v>
      </c>
      <c r="H1540" s="62" t="e">
        <f t="shared" si="119"/>
        <v>#DIV/0!</v>
      </c>
      <c r="I1540" s="57"/>
      <c r="J1540" s="57"/>
      <c r="K1540" s="57"/>
      <c r="L1540" s="57"/>
      <c r="M1540" s="58"/>
      <c r="N1540" s="57"/>
      <c r="O1540" s="57"/>
      <c r="P1540" s="57"/>
      <c r="Q1540" s="57"/>
      <c r="R1540" s="57"/>
      <c r="S1540" s="61"/>
      <c r="T1540" s="57"/>
      <c r="U1540" s="57"/>
      <c r="V1540" s="57"/>
      <c r="W1540" s="57"/>
      <c r="X1540" s="57"/>
      <c r="Y1540" s="57"/>
      <c r="Z1540" s="57"/>
      <c r="AA1540" s="57"/>
      <c r="AB1540" s="57"/>
      <c r="AC1540" s="57"/>
      <c r="AD1540" s="57"/>
      <c r="AE1540" s="57"/>
      <c r="AF1540" s="57"/>
      <c r="AG1540" s="57"/>
      <c r="AH1540" s="57"/>
      <c r="AI1540" s="57"/>
      <c r="AJ1540" s="57"/>
      <c r="AK1540" s="57"/>
      <c r="AL1540" s="57"/>
      <c r="AM1540" s="57"/>
      <c r="AN1540" s="57"/>
      <c r="AO1540" s="57"/>
      <c r="AP1540" s="57"/>
      <c r="AQ1540" s="57"/>
      <c r="AR1540" s="57"/>
      <c r="AS1540" s="57"/>
      <c r="AT1540" s="57"/>
      <c r="AU1540" s="57"/>
      <c r="AV1540" s="57"/>
      <c r="AW1540" s="57"/>
      <c r="AX1540" s="57"/>
      <c r="AY1540" s="57"/>
      <c r="AZ1540" s="57"/>
      <c r="BA1540" s="57"/>
      <c r="BB1540" s="57"/>
      <c r="BC1540" s="57"/>
      <c r="BD1540" s="57"/>
      <c r="BE1540" s="57"/>
      <c r="BF1540" s="57"/>
    </row>
    <row r="1541" spans="1:58" s="59" customFormat="1" x14ac:dyDescent="0.25">
      <c r="A1541" s="53"/>
      <c r="B1541" s="60"/>
      <c r="C1541" s="57">
        <f t="shared" si="116"/>
        <v>0</v>
      </c>
      <c r="D1541" s="56"/>
      <c r="E1541" s="57">
        <f>[1]DETAY!$A$2</f>
        <v>0</v>
      </c>
      <c r="F1541" s="90">
        <f t="shared" si="117"/>
        <v>0</v>
      </c>
      <c r="G1541" s="92">
        <f t="shared" si="118"/>
        <v>0</v>
      </c>
      <c r="H1541" s="62" t="e">
        <f t="shared" si="119"/>
        <v>#DIV/0!</v>
      </c>
      <c r="I1541" s="57"/>
      <c r="J1541" s="57"/>
      <c r="K1541" s="57"/>
      <c r="L1541" s="57"/>
      <c r="M1541" s="58"/>
      <c r="N1541" s="57"/>
      <c r="O1541" s="57"/>
      <c r="P1541" s="57"/>
      <c r="Q1541" s="57"/>
      <c r="R1541" s="57"/>
      <c r="S1541" s="61"/>
      <c r="T1541" s="57"/>
      <c r="U1541" s="57"/>
      <c r="V1541" s="57"/>
      <c r="W1541" s="57"/>
      <c r="X1541" s="57"/>
      <c r="Y1541" s="57"/>
      <c r="Z1541" s="57"/>
      <c r="AA1541" s="57"/>
      <c r="AB1541" s="57"/>
      <c r="AC1541" s="57"/>
      <c r="AD1541" s="57"/>
      <c r="AE1541" s="57"/>
      <c r="AF1541" s="57"/>
      <c r="AG1541" s="57"/>
      <c r="AH1541" s="57"/>
      <c r="AI1541" s="57"/>
      <c r="AJ1541" s="57"/>
      <c r="AK1541" s="57"/>
      <c r="AL1541" s="57"/>
      <c r="AM1541" s="57"/>
      <c r="AN1541" s="57"/>
      <c r="AO1541" s="57"/>
      <c r="AP1541" s="57"/>
      <c r="AQ1541" s="57"/>
      <c r="AR1541" s="57"/>
      <c r="AS1541" s="57"/>
      <c r="AT1541" s="57"/>
      <c r="AU1541" s="57"/>
      <c r="AV1541" s="57"/>
      <c r="AW1541" s="57"/>
      <c r="AX1541" s="57"/>
      <c r="AY1541" s="57"/>
      <c r="AZ1541" s="57"/>
      <c r="BA1541" s="57"/>
      <c r="BB1541" s="57"/>
      <c r="BC1541" s="57"/>
      <c r="BD1541" s="57"/>
      <c r="BE1541" s="57"/>
      <c r="BF1541" s="57"/>
    </row>
    <row r="1542" spans="1:58" s="59" customFormat="1" x14ac:dyDescent="0.25">
      <c r="A1542" s="53"/>
      <c r="B1542" s="60"/>
      <c r="C1542" s="57">
        <f t="shared" si="116"/>
        <v>0</v>
      </c>
      <c r="D1542" s="56"/>
      <c r="E1542" s="57">
        <f>[1]DETAY!$A$2</f>
        <v>0</v>
      </c>
      <c r="F1542" s="90">
        <f t="shared" si="117"/>
        <v>0</v>
      </c>
      <c r="G1542" s="92">
        <f t="shared" si="118"/>
        <v>0</v>
      </c>
      <c r="H1542" s="62" t="e">
        <f t="shared" si="119"/>
        <v>#DIV/0!</v>
      </c>
      <c r="I1542" s="57"/>
      <c r="J1542" s="57"/>
      <c r="K1542" s="57"/>
      <c r="L1542" s="57"/>
      <c r="M1542" s="58"/>
      <c r="N1542" s="57"/>
      <c r="O1542" s="57"/>
      <c r="P1542" s="57"/>
      <c r="Q1542" s="57"/>
      <c r="R1542" s="57"/>
      <c r="S1542" s="61"/>
      <c r="T1542" s="57"/>
      <c r="U1542" s="57"/>
      <c r="V1542" s="57"/>
      <c r="W1542" s="57"/>
      <c r="X1542" s="57"/>
      <c r="Y1542" s="57"/>
      <c r="Z1542" s="57"/>
      <c r="AA1542" s="57"/>
      <c r="AB1542" s="57"/>
      <c r="AC1542" s="57"/>
      <c r="AD1542" s="57"/>
      <c r="AE1542" s="57"/>
      <c r="AF1542" s="57"/>
      <c r="AG1542" s="57"/>
      <c r="AH1542" s="57"/>
      <c r="AI1542" s="57"/>
      <c r="AJ1542" s="57"/>
      <c r="AK1542" s="57"/>
      <c r="AL1542" s="57"/>
      <c r="AM1542" s="57"/>
      <c r="AN1542" s="57"/>
      <c r="AO1542" s="57"/>
      <c r="AP1542" s="57"/>
      <c r="AQ1542" s="57"/>
      <c r="AR1542" s="57"/>
      <c r="AS1542" s="57"/>
      <c r="AT1542" s="57"/>
      <c r="AU1542" s="57"/>
      <c r="AV1542" s="57"/>
      <c r="AW1542" s="57"/>
      <c r="AX1542" s="57"/>
      <c r="AY1542" s="57"/>
      <c r="AZ1542" s="57"/>
      <c r="BA1542" s="57"/>
      <c r="BB1542" s="57"/>
      <c r="BC1542" s="57"/>
      <c r="BD1542" s="57"/>
      <c r="BE1542" s="57"/>
      <c r="BF1542" s="57"/>
    </row>
    <row r="1543" spans="1:58" s="59" customFormat="1" x14ac:dyDescent="0.25">
      <c r="A1543" s="53"/>
      <c r="B1543" s="60"/>
      <c r="C1543" s="57">
        <f t="shared" si="116"/>
        <v>0</v>
      </c>
      <c r="D1543" s="56"/>
      <c r="E1543" s="57">
        <f>[1]DETAY!$A$2</f>
        <v>0</v>
      </c>
      <c r="F1543" s="90">
        <f t="shared" si="117"/>
        <v>0</v>
      </c>
      <c r="G1543" s="92">
        <f t="shared" si="118"/>
        <v>0</v>
      </c>
      <c r="H1543" s="62" t="e">
        <f t="shared" si="119"/>
        <v>#DIV/0!</v>
      </c>
      <c r="I1543" s="57"/>
      <c r="J1543" s="57"/>
      <c r="K1543" s="57"/>
      <c r="L1543" s="57"/>
      <c r="M1543" s="58"/>
      <c r="N1543" s="57"/>
      <c r="O1543" s="57"/>
      <c r="P1543" s="57"/>
      <c r="Q1543" s="57"/>
      <c r="R1543" s="57"/>
      <c r="S1543" s="61"/>
      <c r="T1543" s="57"/>
      <c r="U1543" s="57"/>
      <c r="V1543" s="57"/>
      <c r="W1543" s="57"/>
      <c r="X1543" s="57"/>
      <c r="Y1543" s="57"/>
      <c r="Z1543" s="57"/>
      <c r="AA1543" s="57"/>
      <c r="AB1543" s="57"/>
      <c r="AC1543" s="57"/>
      <c r="AD1543" s="57"/>
      <c r="AE1543" s="57"/>
      <c r="AF1543" s="57"/>
      <c r="AG1543" s="57"/>
      <c r="AH1543" s="57"/>
      <c r="AI1543" s="57"/>
      <c r="AJ1543" s="57"/>
      <c r="AK1543" s="57"/>
      <c r="AL1543" s="57"/>
      <c r="AM1543" s="57"/>
      <c r="AN1543" s="57"/>
      <c r="AO1543" s="57"/>
      <c r="AP1543" s="57"/>
      <c r="AQ1543" s="57"/>
      <c r="AR1543" s="57"/>
      <c r="AS1543" s="57"/>
      <c r="AT1543" s="57"/>
      <c r="AU1543" s="57"/>
      <c r="AV1543" s="57"/>
      <c r="AW1543" s="57"/>
      <c r="AX1543" s="57"/>
      <c r="AY1543" s="57"/>
      <c r="AZ1543" s="57"/>
      <c r="BA1543" s="57"/>
      <c r="BB1543" s="57"/>
      <c r="BC1543" s="57"/>
      <c r="BD1543" s="57"/>
      <c r="BE1543" s="57"/>
      <c r="BF1543" s="57"/>
    </row>
    <row r="1544" spans="1:58" s="59" customFormat="1" x14ac:dyDescent="0.25">
      <c r="A1544" s="53"/>
      <c r="B1544" s="60"/>
      <c r="C1544" s="57">
        <f t="shared" ref="C1544:C1607" si="120">WEEKNUM(B1544)</f>
        <v>0</v>
      </c>
      <c r="D1544" s="56"/>
      <c r="E1544" s="57">
        <f>[1]DETAY!$A$2</f>
        <v>0</v>
      </c>
      <c r="F1544" s="90">
        <f t="shared" ref="F1544:F1607" si="121">D1544-G1544</f>
        <v>0</v>
      </c>
      <c r="G1544" s="92">
        <f t="shared" ref="G1544:G1607" si="122">SUBTOTAL(9,I1544:BD1544)</f>
        <v>0</v>
      </c>
      <c r="H1544" s="62" t="e">
        <f t="shared" ref="H1544:H1607" si="123">F1544/D1544</f>
        <v>#DIV/0!</v>
      </c>
      <c r="I1544" s="57"/>
      <c r="J1544" s="57"/>
      <c r="K1544" s="57"/>
      <c r="L1544" s="57"/>
      <c r="M1544" s="58"/>
      <c r="N1544" s="57"/>
      <c r="O1544" s="57"/>
      <c r="P1544" s="57"/>
      <c r="Q1544" s="57"/>
      <c r="R1544" s="57"/>
      <c r="S1544" s="61"/>
      <c r="T1544" s="57"/>
      <c r="U1544" s="57"/>
      <c r="V1544" s="57"/>
      <c r="W1544" s="57"/>
      <c r="X1544" s="57"/>
      <c r="Y1544" s="57"/>
      <c r="Z1544" s="57"/>
      <c r="AA1544" s="57"/>
      <c r="AB1544" s="57"/>
      <c r="AC1544" s="57"/>
      <c r="AD1544" s="57"/>
      <c r="AE1544" s="57"/>
      <c r="AF1544" s="57"/>
      <c r="AG1544" s="57"/>
      <c r="AH1544" s="57"/>
      <c r="AI1544" s="57"/>
      <c r="AJ1544" s="57"/>
      <c r="AK1544" s="57"/>
      <c r="AL1544" s="57"/>
      <c r="AM1544" s="57"/>
      <c r="AN1544" s="57"/>
      <c r="AO1544" s="57"/>
      <c r="AP1544" s="57"/>
      <c r="AQ1544" s="57"/>
      <c r="AR1544" s="57"/>
      <c r="AS1544" s="57"/>
      <c r="AT1544" s="57"/>
      <c r="AU1544" s="57"/>
      <c r="AV1544" s="57"/>
      <c r="AW1544" s="57"/>
      <c r="AX1544" s="57"/>
      <c r="AY1544" s="57"/>
      <c r="AZ1544" s="57"/>
      <c r="BA1544" s="57"/>
      <c r="BB1544" s="57"/>
      <c r="BC1544" s="57"/>
      <c r="BD1544" s="57"/>
      <c r="BE1544" s="57"/>
      <c r="BF1544" s="57"/>
    </row>
    <row r="1545" spans="1:58" s="59" customFormat="1" x14ac:dyDescent="0.25">
      <c r="A1545" s="53"/>
      <c r="B1545" s="60"/>
      <c r="C1545" s="57">
        <f t="shared" si="120"/>
        <v>0</v>
      </c>
      <c r="D1545" s="56"/>
      <c r="E1545" s="57">
        <f>[1]DETAY!$A$2</f>
        <v>0</v>
      </c>
      <c r="F1545" s="90">
        <f t="shared" si="121"/>
        <v>0</v>
      </c>
      <c r="G1545" s="92">
        <f t="shared" si="122"/>
        <v>0</v>
      </c>
      <c r="H1545" s="62" t="e">
        <f t="shared" si="123"/>
        <v>#DIV/0!</v>
      </c>
      <c r="I1545" s="57"/>
      <c r="J1545" s="57"/>
      <c r="K1545" s="57"/>
      <c r="L1545" s="57"/>
      <c r="M1545" s="58"/>
      <c r="N1545" s="57"/>
      <c r="O1545" s="57"/>
      <c r="P1545" s="57"/>
      <c r="Q1545" s="57"/>
      <c r="R1545" s="57"/>
      <c r="S1545" s="61"/>
      <c r="T1545" s="57"/>
      <c r="U1545" s="57"/>
      <c r="V1545" s="57"/>
      <c r="W1545" s="57"/>
      <c r="X1545" s="57"/>
      <c r="Y1545" s="57"/>
      <c r="Z1545" s="57"/>
      <c r="AA1545" s="57"/>
      <c r="AB1545" s="57"/>
      <c r="AC1545" s="57"/>
      <c r="AD1545" s="57"/>
      <c r="AE1545" s="57"/>
      <c r="AF1545" s="57"/>
      <c r="AG1545" s="57"/>
      <c r="AH1545" s="57"/>
      <c r="AI1545" s="57"/>
      <c r="AJ1545" s="57"/>
      <c r="AK1545" s="57"/>
      <c r="AL1545" s="57"/>
      <c r="AM1545" s="57"/>
      <c r="AN1545" s="57"/>
      <c r="AO1545" s="57"/>
      <c r="AP1545" s="57"/>
      <c r="AQ1545" s="57"/>
      <c r="AR1545" s="57"/>
      <c r="AS1545" s="57"/>
      <c r="AT1545" s="57"/>
      <c r="AU1545" s="57"/>
      <c r="AV1545" s="57"/>
      <c r="AW1545" s="57"/>
      <c r="AX1545" s="57"/>
      <c r="AY1545" s="57"/>
      <c r="AZ1545" s="57"/>
      <c r="BA1545" s="57"/>
      <c r="BB1545" s="57"/>
      <c r="BC1545" s="57"/>
      <c r="BD1545" s="57"/>
      <c r="BE1545" s="57"/>
      <c r="BF1545" s="57"/>
    </row>
    <row r="1546" spans="1:58" s="59" customFormat="1" x14ac:dyDescent="0.25">
      <c r="A1546" s="53"/>
      <c r="B1546" s="60"/>
      <c r="C1546" s="57">
        <f t="shared" si="120"/>
        <v>0</v>
      </c>
      <c r="D1546" s="56"/>
      <c r="E1546" s="57">
        <f>[1]DETAY!$A$2</f>
        <v>0</v>
      </c>
      <c r="F1546" s="90">
        <f t="shared" si="121"/>
        <v>0</v>
      </c>
      <c r="G1546" s="92">
        <f t="shared" si="122"/>
        <v>0</v>
      </c>
      <c r="H1546" s="62" t="e">
        <f t="shared" si="123"/>
        <v>#DIV/0!</v>
      </c>
      <c r="I1546" s="57"/>
      <c r="J1546" s="57"/>
      <c r="K1546" s="57"/>
      <c r="L1546" s="57"/>
      <c r="M1546" s="58"/>
      <c r="N1546" s="57"/>
      <c r="O1546" s="57"/>
      <c r="P1546" s="57"/>
      <c r="Q1546" s="57"/>
      <c r="R1546" s="57"/>
      <c r="S1546" s="61"/>
      <c r="T1546" s="57"/>
      <c r="U1546" s="57"/>
      <c r="V1546" s="57"/>
      <c r="W1546" s="57"/>
      <c r="X1546" s="57"/>
      <c r="Y1546" s="57"/>
      <c r="Z1546" s="57"/>
      <c r="AA1546" s="57"/>
      <c r="AB1546" s="57"/>
      <c r="AC1546" s="57"/>
      <c r="AD1546" s="57"/>
      <c r="AE1546" s="57"/>
      <c r="AF1546" s="57"/>
      <c r="AG1546" s="57"/>
      <c r="AH1546" s="57"/>
      <c r="AI1546" s="57"/>
      <c r="AJ1546" s="57"/>
      <c r="AK1546" s="57"/>
      <c r="AL1546" s="57"/>
      <c r="AM1546" s="57"/>
      <c r="AN1546" s="57"/>
      <c r="AO1546" s="57"/>
      <c r="AP1546" s="57"/>
      <c r="AQ1546" s="57"/>
      <c r="AR1546" s="57"/>
      <c r="AS1546" s="57"/>
      <c r="AT1546" s="57"/>
      <c r="AU1546" s="57"/>
      <c r="AV1546" s="57"/>
      <c r="AW1546" s="57"/>
      <c r="AX1546" s="57"/>
      <c r="AY1546" s="57"/>
      <c r="AZ1546" s="57"/>
      <c r="BA1546" s="57"/>
      <c r="BB1546" s="57"/>
      <c r="BC1546" s="57"/>
      <c r="BD1546" s="57"/>
      <c r="BE1546" s="57"/>
      <c r="BF1546" s="57"/>
    </row>
    <row r="1547" spans="1:58" s="59" customFormat="1" x14ac:dyDescent="0.25">
      <c r="A1547" s="53"/>
      <c r="B1547" s="60"/>
      <c r="C1547" s="57">
        <f t="shared" si="120"/>
        <v>0</v>
      </c>
      <c r="D1547" s="56"/>
      <c r="E1547" s="57">
        <f>[1]DETAY!$A$2</f>
        <v>0</v>
      </c>
      <c r="F1547" s="90">
        <f t="shared" si="121"/>
        <v>0</v>
      </c>
      <c r="G1547" s="92">
        <f t="shared" si="122"/>
        <v>0</v>
      </c>
      <c r="H1547" s="62" t="e">
        <f t="shared" si="123"/>
        <v>#DIV/0!</v>
      </c>
      <c r="I1547" s="57"/>
      <c r="J1547" s="57"/>
      <c r="K1547" s="57"/>
      <c r="L1547" s="57"/>
      <c r="M1547" s="58"/>
      <c r="N1547" s="57"/>
      <c r="O1547" s="57"/>
      <c r="P1547" s="57"/>
      <c r="Q1547" s="57"/>
      <c r="R1547" s="57"/>
      <c r="S1547" s="61"/>
      <c r="T1547" s="57"/>
      <c r="U1547" s="57"/>
      <c r="V1547" s="57"/>
      <c r="W1547" s="57"/>
      <c r="X1547" s="57"/>
      <c r="Y1547" s="57"/>
      <c r="Z1547" s="57"/>
      <c r="AA1547" s="57"/>
      <c r="AB1547" s="57"/>
      <c r="AC1547" s="57"/>
      <c r="AD1547" s="57"/>
      <c r="AE1547" s="57"/>
      <c r="AF1547" s="57"/>
      <c r="AG1547" s="57"/>
      <c r="AH1547" s="57"/>
      <c r="AI1547" s="57"/>
      <c r="AJ1547" s="57"/>
      <c r="AK1547" s="57"/>
      <c r="AL1547" s="57"/>
      <c r="AM1547" s="57"/>
      <c r="AN1547" s="57"/>
      <c r="AO1547" s="57"/>
      <c r="AP1547" s="57"/>
      <c r="AQ1547" s="57"/>
      <c r="AR1547" s="57"/>
      <c r="AS1547" s="57"/>
      <c r="AT1547" s="57"/>
      <c r="AU1547" s="57"/>
      <c r="AV1547" s="57"/>
      <c r="AW1547" s="57"/>
      <c r="AX1547" s="57"/>
      <c r="AY1547" s="57"/>
      <c r="AZ1547" s="57"/>
      <c r="BA1547" s="57"/>
      <c r="BB1547" s="57"/>
      <c r="BC1547" s="57"/>
      <c r="BD1547" s="57"/>
      <c r="BE1547" s="57"/>
      <c r="BF1547" s="57"/>
    </row>
    <row r="1548" spans="1:58" s="59" customFormat="1" x14ac:dyDescent="0.25">
      <c r="A1548" s="53"/>
      <c r="B1548" s="60"/>
      <c r="C1548" s="57">
        <f t="shared" si="120"/>
        <v>0</v>
      </c>
      <c r="D1548" s="56"/>
      <c r="E1548" s="57">
        <f>[1]DETAY!$A$2</f>
        <v>0</v>
      </c>
      <c r="F1548" s="90">
        <f t="shared" si="121"/>
        <v>0</v>
      </c>
      <c r="G1548" s="92">
        <f t="shared" si="122"/>
        <v>0</v>
      </c>
      <c r="H1548" s="62" t="e">
        <f t="shared" si="123"/>
        <v>#DIV/0!</v>
      </c>
      <c r="I1548" s="57"/>
      <c r="J1548" s="57"/>
      <c r="K1548" s="57"/>
      <c r="L1548" s="57"/>
      <c r="M1548" s="58"/>
      <c r="N1548" s="57"/>
      <c r="O1548" s="57"/>
      <c r="P1548" s="57"/>
      <c r="Q1548" s="57"/>
      <c r="R1548" s="57"/>
      <c r="S1548" s="61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A1548" s="57"/>
      <c r="BB1548" s="57"/>
      <c r="BC1548" s="57"/>
      <c r="BD1548" s="57"/>
      <c r="BE1548" s="57"/>
      <c r="BF1548" s="57"/>
    </row>
    <row r="1549" spans="1:58" s="59" customFormat="1" x14ac:dyDescent="0.25">
      <c r="A1549" s="53"/>
      <c r="B1549" s="60"/>
      <c r="C1549" s="57">
        <f t="shared" si="120"/>
        <v>0</v>
      </c>
      <c r="D1549" s="56"/>
      <c r="E1549" s="57">
        <f>[1]DETAY!$A$2</f>
        <v>0</v>
      </c>
      <c r="F1549" s="90">
        <f t="shared" si="121"/>
        <v>0</v>
      </c>
      <c r="G1549" s="92">
        <f t="shared" si="122"/>
        <v>0</v>
      </c>
      <c r="H1549" s="62" t="e">
        <f t="shared" si="123"/>
        <v>#DIV/0!</v>
      </c>
      <c r="I1549" s="57"/>
      <c r="J1549" s="57"/>
      <c r="K1549" s="57"/>
      <c r="L1549" s="57"/>
      <c r="M1549" s="58"/>
      <c r="N1549" s="57"/>
      <c r="O1549" s="57"/>
      <c r="P1549" s="57"/>
      <c r="Q1549" s="57"/>
      <c r="R1549" s="57"/>
      <c r="S1549" s="61"/>
      <c r="T1549" s="57"/>
      <c r="U1549" s="57"/>
      <c r="V1549" s="57"/>
      <c r="W1549" s="57"/>
      <c r="X1549" s="57"/>
      <c r="Y1549" s="57"/>
      <c r="Z1549" s="57"/>
      <c r="AA1549" s="57"/>
      <c r="AB1549" s="57"/>
      <c r="AC1549" s="57"/>
      <c r="AD1549" s="57"/>
      <c r="AE1549" s="57"/>
      <c r="AF1549" s="57"/>
      <c r="AG1549" s="57"/>
      <c r="AH1549" s="57"/>
      <c r="AI1549" s="57"/>
      <c r="AJ1549" s="57"/>
      <c r="AK1549" s="57"/>
      <c r="AL1549" s="57"/>
      <c r="AM1549" s="57"/>
      <c r="AN1549" s="57"/>
      <c r="AO1549" s="57"/>
      <c r="AP1549" s="57"/>
      <c r="AQ1549" s="57"/>
      <c r="AR1549" s="57"/>
      <c r="AS1549" s="57"/>
      <c r="AT1549" s="57"/>
      <c r="AU1549" s="57"/>
      <c r="AV1549" s="57"/>
      <c r="AW1549" s="57"/>
      <c r="AX1549" s="57"/>
      <c r="AY1549" s="57"/>
      <c r="AZ1549" s="57"/>
      <c r="BA1549" s="57"/>
      <c r="BB1549" s="57"/>
      <c r="BC1549" s="57"/>
      <c r="BD1549" s="57"/>
      <c r="BE1549" s="57"/>
      <c r="BF1549" s="57"/>
    </row>
    <row r="1550" spans="1:58" s="59" customFormat="1" x14ac:dyDescent="0.25">
      <c r="A1550" s="53"/>
      <c r="B1550" s="60"/>
      <c r="C1550" s="57">
        <f t="shared" si="120"/>
        <v>0</v>
      </c>
      <c r="D1550" s="56"/>
      <c r="E1550" s="57">
        <f>[1]DETAY!$A$2</f>
        <v>0</v>
      </c>
      <c r="F1550" s="90">
        <f t="shared" si="121"/>
        <v>0</v>
      </c>
      <c r="G1550" s="92">
        <f t="shared" si="122"/>
        <v>0</v>
      </c>
      <c r="H1550" s="62" t="e">
        <f t="shared" si="123"/>
        <v>#DIV/0!</v>
      </c>
      <c r="I1550" s="57"/>
      <c r="J1550" s="57"/>
      <c r="K1550" s="57"/>
      <c r="L1550" s="57"/>
      <c r="M1550" s="58"/>
      <c r="N1550" s="57"/>
      <c r="O1550" s="57"/>
      <c r="P1550" s="57"/>
      <c r="Q1550" s="57"/>
      <c r="R1550" s="57"/>
      <c r="S1550" s="61"/>
      <c r="T1550" s="57"/>
      <c r="U1550" s="57"/>
      <c r="V1550" s="57"/>
      <c r="W1550" s="57"/>
      <c r="X1550" s="57"/>
      <c r="Y1550" s="57"/>
      <c r="Z1550" s="57"/>
      <c r="AA1550" s="57"/>
      <c r="AB1550" s="57"/>
      <c r="AC1550" s="57"/>
      <c r="AD1550" s="57"/>
      <c r="AE1550" s="57"/>
      <c r="AF1550" s="57"/>
      <c r="AG1550" s="57"/>
      <c r="AH1550" s="57"/>
      <c r="AI1550" s="57"/>
      <c r="AJ1550" s="57"/>
      <c r="AK1550" s="57"/>
      <c r="AL1550" s="57"/>
      <c r="AM1550" s="57"/>
      <c r="AN1550" s="57"/>
      <c r="AO1550" s="57"/>
      <c r="AP1550" s="57"/>
      <c r="AQ1550" s="57"/>
      <c r="AR1550" s="57"/>
      <c r="AS1550" s="57"/>
      <c r="AT1550" s="57"/>
      <c r="AU1550" s="57"/>
      <c r="AV1550" s="57"/>
      <c r="AW1550" s="57"/>
      <c r="AX1550" s="57"/>
      <c r="AY1550" s="57"/>
      <c r="AZ1550" s="57"/>
      <c r="BA1550" s="57"/>
      <c r="BB1550" s="57"/>
      <c r="BC1550" s="57"/>
      <c r="BD1550" s="57"/>
      <c r="BE1550" s="57"/>
      <c r="BF1550" s="57"/>
    </row>
    <row r="1551" spans="1:58" s="59" customFormat="1" x14ac:dyDescent="0.25">
      <c r="A1551" s="53"/>
      <c r="B1551" s="60"/>
      <c r="C1551" s="57">
        <f t="shared" si="120"/>
        <v>0</v>
      </c>
      <c r="D1551" s="56"/>
      <c r="E1551" s="57">
        <f>[1]DETAY!$A$2</f>
        <v>0</v>
      </c>
      <c r="F1551" s="90">
        <f t="shared" si="121"/>
        <v>0</v>
      </c>
      <c r="G1551" s="92">
        <f t="shared" si="122"/>
        <v>0</v>
      </c>
      <c r="H1551" s="62" t="e">
        <f t="shared" si="123"/>
        <v>#DIV/0!</v>
      </c>
      <c r="I1551" s="57"/>
      <c r="J1551" s="57"/>
      <c r="K1551" s="57"/>
      <c r="L1551" s="57"/>
      <c r="M1551" s="58"/>
      <c r="N1551" s="57"/>
      <c r="O1551" s="57"/>
      <c r="P1551" s="57"/>
      <c r="Q1551" s="57"/>
      <c r="R1551" s="57"/>
      <c r="S1551" s="61"/>
      <c r="T1551" s="57"/>
      <c r="U1551" s="57"/>
      <c r="V1551" s="57"/>
      <c r="W1551" s="57"/>
      <c r="X1551" s="57"/>
      <c r="Y1551" s="57"/>
      <c r="Z1551" s="57"/>
      <c r="AA1551" s="57"/>
      <c r="AB1551" s="57"/>
      <c r="AC1551" s="57"/>
      <c r="AD1551" s="57"/>
      <c r="AE1551" s="57"/>
      <c r="AF1551" s="57"/>
      <c r="AG1551" s="57"/>
      <c r="AH1551" s="57"/>
      <c r="AI1551" s="57"/>
      <c r="AJ1551" s="57"/>
      <c r="AK1551" s="57"/>
      <c r="AL1551" s="57"/>
      <c r="AM1551" s="57"/>
      <c r="AN1551" s="57"/>
      <c r="AO1551" s="57"/>
      <c r="AP1551" s="57"/>
      <c r="AQ1551" s="57"/>
      <c r="AR1551" s="57"/>
      <c r="AS1551" s="57"/>
      <c r="AT1551" s="57"/>
      <c r="AU1551" s="57"/>
      <c r="AV1551" s="57"/>
      <c r="AW1551" s="57"/>
      <c r="AX1551" s="57"/>
      <c r="AY1551" s="57"/>
      <c r="AZ1551" s="57"/>
      <c r="BA1551" s="57"/>
      <c r="BB1551" s="57"/>
      <c r="BC1551" s="57"/>
      <c r="BD1551" s="57"/>
      <c r="BE1551" s="57"/>
      <c r="BF1551" s="57"/>
    </row>
    <row r="1552" spans="1:58" s="59" customFormat="1" x14ac:dyDescent="0.25">
      <c r="A1552" s="53"/>
      <c r="B1552" s="60"/>
      <c r="C1552" s="57">
        <f t="shared" si="120"/>
        <v>0</v>
      </c>
      <c r="D1552" s="56"/>
      <c r="E1552" s="57">
        <f>[1]DETAY!$A$2</f>
        <v>0</v>
      </c>
      <c r="F1552" s="90">
        <f t="shared" si="121"/>
        <v>0</v>
      </c>
      <c r="G1552" s="92">
        <f t="shared" si="122"/>
        <v>0</v>
      </c>
      <c r="H1552" s="62" t="e">
        <f t="shared" si="123"/>
        <v>#DIV/0!</v>
      </c>
      <c r="I1552" s="57"/>
      <c r="J1552" s="57"/>
      <c r="K1552" s="57"/>
      <c r="L1552" s="57"/>
      <c r="M1552" s="58"/>
      <c r="N1552" s="57"/>
      <c r="O1552" s="57"/>
      <c r="P1552" s="57"/>
      <c r="Q1552" s="57"/>
      <c r="R1552" s="57"/>
      <c r="S1552" s="61"/>
      <c r="T1552" s="57"/>
      <c r="U1552" s="57"/>
      <c r="V1552" s="57"/>
      <c r="W1552" s="57"/>
      <c r="X1552" s="57"/>
      <c r="Y1552" s="57"/>
      <c r="Z1552" s="57"/>
      <c r="AA1552" s="57"/>
      <c r="AB1552" s="57"/>
      <c r="AC1552" s="57"/>
      <c r="AD1552" s="57"/>
      <c r="AE1552" s="57"/>
      <c r="AF1552" s="57"/>
      <c r="AG1552" s="57"/>
      <c r="AH1552" s="57"/>
      <c r="AI1552" s="57"/>
      <c r="AJ1552" s="57"/>
      <c r="AK1552" s="57"/>
      <c r="AL1552" s="57"/>
      <c r="AM1552" s="57"/>
      <c r="AN1552" s="57"/>
      <c r="AO1552" s="57"/>
      <c r="AP1552" s="57"/>
      <c r="AQ1552" s="57"/>
      <c r="AR1552" s="57"/>
      <c r="AS1552" s="57"/>
      <c r="AT1552" s="57"/>
      <c r="AU1552" s="57"/>
      <c r="AV1552" s="57"/>
      <c r="AW1552" s="57"/>
      <c r="AX1552" s="57"/>
      <c r="AY1552" s="57"/>
      <c r="AZ1552" s="57"/>
      <c r="BA1552" s="57"/>
      <c r="BB1552" s="57"/>
      <c r="BC1552" s="57"/>
      <c r="BD1552" s="57"/>
      <c r="BE1552" s="57"/>
      <c r="BF1552" s="57"/>
    </row>
    <row r="1553" spans="1:58" s="59" customFormat="1" x14ac:dyDescent="0.25">
      <c r="A1553" s="53"/>
      <c r="B1553" s="60"/>
      <c r="C1553" s="57">
        <f t="shared" si="120"/>
        <v>0</v>
      </c>
      <c r="D1553" s="56"/>
      <c r="E1553" s="57">
        <f>[1]DETAY!$A$2</f>
        <v>0</v>
      </c>
      <c r="F1553" s="90">
        <f t="shared" si="121"/>
        <v>0</v>
      </c>
      <c r="G1553" s="92">
        <f t="shared" si="122"/>
        <v>0</v>
      </c>
      <c r="H1553" s="62" t="e">
        <f t="shared" si="123"/>
        <v>#DIV/0!</v>
      </c>
      <c r="I1553" s="57"/>
      <c r="J1553" s="57"/>
      <c r="K1553" s="57"/>
      <c r="L1553" s="57"/>
      <c r="M1553" s="58"/>
      <c r="N1553" s="57"/>
      <c r="O1553" s="57"/>
      <c r="P1553" s="57"/>
      <c r="Q1553" s="57"/>
      <c r="R1553" s="57"/>
      <c r="S1553" s="61"/>
      <c r="T1553" s="57"/>
      <c r="U1553" s="57"/>
      <c r="V1553" s="57"/>
      <c r="W1553" s="57"/>
      <c r="X1553" s="57"/>
      <c r="Y1553" s="57"/>
      <c r="Z1553" s="57"/>
      <c r="AA1553" s="57"/>
      <c r="AB1553" s="57"/>
      <c r="AC1553" s="57"/>
      <c r="AD1553" s="57"/>
      <c r="AE1553" s="57"/>
      <c r="AF1553" s="57"/>
      <c r="AG1553" s="57"/>
      <c r="AH1553" s="57"/>
      <c r="AI1553" s="57"/>
      <c r="AJ1553" s="57"/>
      <c r="AK1553" s="57"/>
      <c r="AL1553" s="57"/>
      <c r="AM1553" s="57"/>
      <c r="AN1553" s="57"/>
      <c r="AO1553" s="57"/>
      <c r="AP1553" s="57"/>
      <c r="AQ1553" s="57"/>
      <c r="AR1553" s="57"/>
      <c r="AS1553" s="57"/>
      <c r="AT1553" s="57"/>
      <c r="AU1553" s="57"/>
      <c r="AV1553" s="57"/>
      <c r="AW1553" s="57"/>
      <c r="AX1553" s="57"/>
      <c r="AY1553" s="57"/>
      <c r="AZ1553" s="57"/>
      <c r="BA1553" s="57"/>
      <c r="BB1553" s="57"/>
      <c r="BC1553" s="57"/>
      <c r="BD1553" s="57"/>
      <c r="BE1553" s="57"/>
      <c r="BF1553" s="57"/>
    </row>
    <row r="1554" spans="1:58" s="59" customFormat="1" x14ac:dyDescent="0.25">
      <c r="A1554" s="53"/>
      <c r="B1554" s="60"/>
      <c r="C1554" s="57">
        <f t="shared" si="120"/>
        <v>0</v>
      </c>
      <c r="D1554" s="56"/>
      <c r="E1554" s="57">
        <f>[1]DETAY!$A$2</f>
        <v>0</v>
      </c>
      <c r="F1554" s="90">
        <f t="shared" si="121"/>
        <v>0</v>
      </c>
      <c r="G1554" s="92">
        <f t="shared" si="122"/>
        <v>0</v>
      </c>
      <c r="H1554" s="62" t="e">
        <f t="shared" si="123"/>
        <v>#DIV/0!</v>
      </c>
      <c r="I1554" s="57"/>
      <c r="J1554" s="57"/>
      <c r="K1554" s="57"/>
      <c r="L1554" s="57"/>
      <c r="M1554" s="58"/>
      <c r="N1554" s="57"/>
      <c r="O1554" s="57"/>
      <c r="P1554" s="57"/>
      <c r="Q1554" s="57"/>
      <c r="R1554" s="57"/>
      <c r="S1554" s="61"/>
      <c r="T1554" s="57"/>
      <c r="U1554" s="57"/>
      <c r="V1554" s="57"/>
      <c r="W1554" s="57"/>
      <c r="X1554" s="57"/>
      <c r="Y1554" s="57"/>
      <c r="Z1554" s="57"/>
      <c r="AA1554" s="57"/>
      <c r="AB1554" s="57"/>
      <c r="AC1554" s="57"/>
      <c r="AD1554" s="57"/>
      <c r="AE1554" s="57"/>
      <c r="AF1554" s="57"/>
      <c r="AG1554" s="57"/>
      <c r="AH1554" s="57"/>
      <c r="AI1554" s="57"/>
      <c r="AJ1554" s="57"/>
      <c r="AK1554" s="57"/>
      <c r="AL1554" s="57"/>
      <c r="AM1554" s="57"/>
      <c r="AN1554" s="57"/>
      <c r="AO1554" s="57"/>
      <c r="AP1554" s="57"/>
      <c r="AQ1554" s="57"/>
      <c r="AR1554" s="57"/>
      <c r="AS1554" s="57"/>
      <c r="AT1554" s="57"/>
      <c r="AU1554" s="57"/>
      <c r="AV1554" s="57"/>
      <c r="AW1554" s="57"/>
      <c r="AX1554" s="57"/>
      <c r="AY1554" s="57"/>
      <c r="AZ1554" s="57"/>
      <c r="BA1554" s="57"/>
      <c r="BB1554" s="57"/>
      <c r="BC1554" s="57"/>
      <c r="BD1554" s="57"/>
      <c r="BE1554" s="57"/>
      <c r="BF1554" s="57"/>
    </row>
    <row r="1555" spans="1:58" s="59" customFormat="1" x14ac:dyDescent="0.25">
      <c r="A1555" s="53"/>
      <c r="B1555" s="60"/>
      <c r="C1555" s="57">
        <f t="shared" si="120"/>
        <v>0</v>
      </c>
      <c r="D1555" s="56"/>
      <c r="E1555" s="57">
        <f>[1]DETAY!$A$2</f>
        <v>0</v>
      </c>
      <c r="F1555" s="90">
        <f t="shared" si="121"/>
        <v>0</v>
      </c>
      <c r="G1555" s="92">
        <f t="shared" si="122"/>
        <v>0</v>
      </c>
      <c r="H1555" s="62" t="e">
        <f t="shared" si="123"/>
        <v>#DIV/0!</v>
      </c>
      <c r="I1555" s="57"/>
      <c r="J1555" s="57"/>
      <c r="K1555" s="57"/>
      <c r="L1555" s="57"/>
      <c r="M1555" s="58"/>
      <c r="N1555" s="57"/>
      <c r="O1555" s="57"/>
      <c r="P1555" s="57"/>
      <c r="Q1555" s="57"/>
      <c r="R1555" s="57"/>
      <c r="S1555" s="61"/>
      <c r="T1555" s="57"/>
      <c r="U1555" s="57"/>
      <c r="V1555" s="57"/>
      <c r="W1555" s="57"/>
      <c r="X1555" s="57"/>
      <c r="Y1555" s="57"/>
      <c r="Z1555" s="57"/>
      <c r="AA1555" s="57"/>
      <c r="AB1555" s="57"/>
      <c r="AC1555" s="57"/>
      <c r="AD1555" s="57"/>
      <c r="AE1555" s="57"/>
      <c r="AF1555" s="57"/>
      <c r="AG1555" s="57"/>
      <c r="AH1555" s="57"/>
      <c r="AI1555" s="57"/>
      <c r="AJ1555" s="57"/>
      <c r="AK1555" s="57"/>
      <c r="AL1555" s="57"/>
      <c r="AM1555" s="57"/>
      <c r="AN1555" s="57"/>
      <c r="AO1555" s="57"/>
      <c r="AP1555" s="57"/>
      <c r="AQ1555" s="57"/>
      <c r="AR1555" s="57"/>
      <c r="AS1555" s="57"/>
      <c r="AT1555" s="57"/>
      <c r="AU1555" s="57"/>
      <c r="AV1555" s="57"/>
      <c r="AW1555" s="57"/>
      <c r="AX1555" s="57"/>
      <c r="AY1555" s="57"/>
      <c r="AZ1555" s="57"/>
      <c r="BA1555" s="57"/>
      <c r="BB1555" s="57"/>
      <c r="BC1555" s="57"/>
      <c r="BD1555" s="57"/>
      <c r="BE1555" s="57"/>
      <c r="BF1555" s="57"/>
    </row>
    <row r="1556" spans="1:58" s="59" customFormat="1" x14ac:dyDescent="0.25">
      <c r="A1556" s="53"/>
      <c r="B1556" s="60"/>
      <c r="C1556" s="57">
        <f t="shared" si="120"/>
        <v>0</v>
      </c>
      <c r="D1556" s="56"/>
      <c r="E1556" s="57">
        <f>[1]DETAY!$A$2</f>
        <v>0</v>
      </c>
      <c r="F1556" s="90">
        <f t="shared" si="121"/>
        <v>0</v>
      </c>
      <c r="G1556" s="92">
        <f t="shared" si="122"/>
        <v>0</v>
      </c>
      <c r="H1556" s="62" t="e">
        <f t="shared" si="123"/>
        <v>#DIV/0!</v>
      </c>
      <c r="I1556" s="57"/>
      <c r="J1556" s="57"/>
      <c r="K1556" s="57"/>
      <c r="L1556" s="57"/>
      <c r="M1556" s="58"/>
      <c r="N1556" s="57"/>
      <c r="O1556" s="57"/>
      <c r="P1556" s="57"/>
      <c r="Q1556" s="57"/>
      <c r="R1556" s="57"/>
      <c r="S1556" s="61"/>
      <c r="T1556" s="57"/>
      <c r="U1556" s="57"/>
      <c r="V1556" s="57"/>
      <c r="W1556" s="57"/>
      <c r="X1556" s="57"/>
      <c r="Y1556" s="57"/>
      <c r="Z1556" s="57"/>
      <c r="AA1556" s="57"/>
      <c r="AB1556" s="57"/>
      <c r="AC1556" s="57"/>
      <c r="AD1556" s="57"/>
      <c r="AE1556" s="57"/>
      <c r="AF1556" s="57"/>
      <c r="AG1556" s="57"/>
      <c r="AH1556" s="57"/>
      <c r="AI1556" s="57"/>
      <c r="AJ1556" s="57"/>
      <c r="AK1556" s="57"/>
      <c r="AL1556" s="57"/>
      <c r="AM1556" s="57"/>
      <c r="AN1556" s="57"/>
      <c r="AO1556" s="57"/>
      <c r="AP1556" s="57"/>
      <c r="AQ1556" s="57"/>
      <c r="AR1556" s="57"/>
      <c r="AS1556" s="57"/>
      <c r="AT1556" s="57"/>
      <c r="AU1556" s="57"/>
      <c r="AV1556" s="57"/>
      <c r="AW1556" s="57"/>
      <c r="AX1556" s="57"/>
      <c r="AY1556" s="57"/>
      <c r="AZ1556" s="57"/>
      <c r="BA1556" s="57"/>
      <c r="BB1556" s="57"/>
      <c r="BC1556" s="57"/>
      <c r="BD1556" s="57"/>
      <c r="BE1556" s="57"/>
      <c r="BF1556" s="57"/>
    </row>
    <row r="1557" spans="1:58" s="59" customFormat="1" x14ac:dyDescent="0.25">
      <c r="A1557" s="53"/>
      <c r="B1557" s="60"/>
      <c r="C1557" s="57">
        <f t="shared" si="120"/>
        <v>0</v>
      </c>
      <c r="D1557" s="56"/>
      <c r="E1557" s="57">
        <f>[1]DETAY!$A$2</f>
        <v>0</v>
      </c>
      <c r="F1557" s="90">
        <f t="shared" si="121"/>
        <v>0</v>
      </c>
      <c r="G1557" s="92">
        <f t="shared" si="122"/>
        <v>0</v>
      </c>
      <c r="H1557" s="62" t="e">
        <f t="shared" si="123"/>
        <v>#DIV/0!</v>
      </c>
      <c r="I1557" s="57"/>
      <c r="J1557" s="57"/>
      <c r="K1557" s="57"/>
      <c r="L1557" s="57"/>
      <c r="M1557" s="58"/>
      <c r="N1557" s="57"/>
      <c r="O1557" s="57"/>
      <c r="P1557" s="57"/>
      <c r="Q1557" s="57"/>
      <c r="R1557" s="57"/>
      <c r="S1557" s="61"/>
      <c r="T1557" s="57"/>
      <c r="U1557" s="57"/>
      <c r="V1557" s="57"/>
      <c r="W1557" s="57"/>
      <c r="X1557" s="57"/>
      <c r="Y1557" s="57"/>
      <c r="Z1557" s="57"/>
      <c r="AA1557" s="57"/>
      <c r="AB1557" s="57"/>
      <c r="AC1557" s="57"/>
      <c r="AD1557" s="57"/>
      <c r="AE1557" s="57"/>
      <c r="AF1557" s="57"/>
      <c r="AG1557" s="57"/>
      <c r="AH1557" s="57"/>
      <c r="AI1557" s="57"/>
      <c r="AJ1557" s="57"/>
      <c r="AK1557" s="57"/>
      <c r="AL1557" s="57"/>
      <c r="AM1557" s="57"/>
      <c r="AN1557" s="57"/>
      <c r="AO1557" s="57"/>
      <c r="AP1557" s="57"/>
      <c r="AQ1557" s="57"/>
      <c r="AR1557" s="57"/>
      <c r="AS1557" s="57"/>
      <c r="AT1557" s="57"/>
      <c r="AU1557" s="57"/>
      <c r="AV1557" s="57"/>
      <c r="AW1557" s="57"/>
      <c r="AX1557" s="57"/>
      <c r="AY1557" s="57"/>
      <c r="AZ1557" s="57"/>
      <c r="BA1557" s="57"/>
      <c r="BB1557" s="57"/>
      <c r="BC1557" s="57"/>
      <c r="BD1557" s="57"/>
      <c r="BE1557" s="57"/>
      <c r="BF1557" s="57"/>
    </row>
    <row r="1558" spans="1:58" s="59" customFormat="1" x14ac:dyDescent="0.25">
      <c r="A1558" s="53"/>
      <c r="B1558" s="60"/>
      <c r="C1558" s="57">
        <f t="shared" si="120"/>
        <v>0</v>
      </c>
      <c r="D1558" s="56"/>
      <c r="E1558" s="57">
        <f>[1]DETAY!$A$2</f>
        <v>0</v>
      </c>
      <c r="F1558" s="90">
        <f t="shared" si="121"/>
        <v>0</v>
      </c>
      <c r="G1558" s="92">
        <f t="shared" si="122"/>
        <v>0</v>
      </c>
      <c r="H1558" s="62" t="e">
        <f t="shared" si="123"/>
        <v>#DIV/0!</v>
      </c>
      <c r="I1558" s="57"/>
      <c r="J1558" s="57"/>
      <c r="K1558" s="57"/>
      <c r="L1558" s="57"/>
      <c r="M1558" s="58"/>
      <c r="N1558" s="57"/>
      <c r="O1558" s="57"/>
      <c r="P1558" s="57"/>
      <c r="Q1558" s="57"/>
      <c r="R1558" s="57"/>
      <c r="S1558" s="61"/>
      <c r="T1558" s="57"/>
      <c r="U1558" s="57"/>
      <c r="V1558" s="57"/>
      <c r="W1558" s="57"/>
      <c r="X1558" s="57"/>
      <c r="Y1558" s="57"/>
      <c r="Z1558" s="57"/>
      <c r="AA1558" s="57"/>
      <c r="AB1558" s="57"/>
      <c r="AC1558" s="57"/>
      <c r="AD1558" s="57"/>
      <c r="AE1558" s="57"/>
      <c r="AF1558" s="57"/>
      <c r="AG1558" s="57"/>
      <c r="AH1558" s="57"/>
      <c r="AI1558" s="57"/>
      <c r="AJ1558" s="57"/>
      <c r="AK1558" s="57"/>
      <c r="AL1558" s="57"/>
      <c r="AM1558" s="57"/>
      <c r="AN1558" s="57"/>
      <c r="AO1558" s="57"/>
      <c r="AP1558" s="57"/>
      <c r="AQ1558" s="57"/>
      <c r="AR1558" s="57"/>
      <c r="AS1558" s="57"/>
      <c r="AT1558" s="57"/>
      <c r="AU1558" s="57"/>
      <c r="AV1558" s="57"/>
      <c r="AW1558" s="57"/>
      <c r="AX1558" s="57"/>
      <c r="AY1558" s="57"/>
      <c r="AZ1558" s="57"/>
      <c r="BA1558" s="57"/>
      <c r="BB1558" s="57"/>
      <c r="BC1558" s="57"/>
      <c r="BD1558" s="57"/>
      <c r="BE1558" s="57"/>
      <c r="BF1558" s="57"/>
    </row>
    <row r="1559" spans="1:58" s="59" customFormat="1" x14ac:dyDescent="0.25">
      <c r="A1559" s="53"/>
      <c r="B1559" s="60"/>
      <c r="C1559" s="57">
        <f t="shared" si="120"/>
        <v>0</v>
      </c>
      <c r="D1559" s="56"/>
      <c r="E1559" s="57">
        <f>[1]DETAY!$A$2</f>
        <v>0</v>
      </c>
      <c r="F1559" s="90">
        <f t="shared" si="121"/>
        <v>0</v>
      </c>
      <c r="G1559" s="92">
        <f t="shared" si="122"/>
        <v>0</v>
      </c>
      <c r="H1559" s="62" t="e">
        <f t="shared" si="123"/>
        <v>#DIV/0!</v>
      </c>
      <c r="I1559" s="57"/>
      <c r="J1559" s="57"/>
      <c r="K1559" s="57"/>
      <c r="L1559" s="57"/>
      <c r="M1559" s="58"/>
      <c r="N1559" s="57"/>
      <c r="O1559" s="57"/>
      <c r="P1559" s="57"/>
      <c r="Q1559" s="57"/>
      <c r="R1559" s="57"/>
      <c r="S1559" s="61"/>
      <c r="T1559" s="57"/>
      <c r="U1559" s="57"/>
      <c r="V1559" s="57"/>
      <c r="W1559" s="57"/>
      <c r="X1559" s="57"/>
      <c r="Y1559" s="57"/>
      <c r="Z1559" s="57"/>
      <c r="AA1559" s="57"/>
      <c r="AB1559" s="57"/>
      <c r="AC1559" s="57"/>
      <c r="AD1559" s="57"/>
      <c r="AE1559" s="57"/>
      <c r="AF1559" s="57"/>
      <c r="AG1559" s="57"/>
      <c r="AH1559" s="57"/>
      <c r="AI1559" s="57"/>
      <c r="AJ1559" s="57"/>
      <c r="AK1559" s="57"/>
      <c r="AL1559" s="57"/>
      <c r="AM1559" s="57"/>
      <c r="AN1559" s="57"/>
      <c r="AO1559" s="57"/>
      <c r="AP1559" s="57"/>
      <c r="AQ1559" s="57"/>
      <c r="AR1559" s="57"/>
      <c r="AS1559" s="57"/>
      <c r="AT1559" s="57"/>
      <c r="AU1559" s="57"/>
      <c r="AV1559" s="57"/>
      <c r="AW1559" s="57"/>
      <c r="AX1559" s="57"/>
      <c r="AY1559" s="57"/>
      <c r="AZ1559" s="57"/>
      <c r="BA1559" s="57"/>
      <c r="BB1559" s="57"/>
      <c r="BC1559" s="57"/>
      <c r="BD1559" s="57"/>
      <c r="BE1559" s="57"/>
      <c r="BF1559" s="57"/>
    </row>
    <row r="1560" spans="1:58" s="59" customFormat="1" x14ac:dyDescent="0.25">
      <c r="A1560" s="53"/>
      <c r="B1560" s="60"/>
      <c r="C1560" s="57">
        <f t="shared" si="120"/>
        <v>0</v>
      </c>
      <c r="D1560" s="56"/>
      <c r="E1560" s="57">
        <f>[1]DETAY!$A$2</f>
        <v>0</v>
      </c>
      <c r="F1560" s="90">
        <f t="shared" si="121"/>
        <v>0</v>
      </c>
      <c r="G1560" s="92">
        <f t="shared" si="122"/>
        <v>0</v>
      </c>
      <c r="H1560" s="62" t="e">
        <f t="shared" si="123"/>
        <v>#DIV/0!</v>
      </c>
      <c r="I1560" s="57"/>
      <c r="J1560" s="57"/>
      <c r="K1560" s="57"/>
      <c r="L1560" s="57"/>
      <c r="M1560" s="58"/>
      <c r="N1560" s="57"/>
      <c r="O1560" s="57"/>
      <c r="P1560" s="57"/>
      <c r="Q1560" s="57"/>
      <c r="R1560" s="57"/>
      <c r="S1560" s="61"/>
      <c r="T1560" s="57"/>
      <c r="U1560" s="57"/>
      <c r="V1560" s="57"/>
      <c r="W1560" s="57"/>
      <c r="X1560" s="57"/>
      <c r="Y1560" s="57"/>
      <c r="Z1560" s="57"/>
      <c r="AA1560" s="57"/>
      <c r="AB1560" s="57"/>
      <c r="AC1560" s="57"/>
      <c r="AD1560" s="57"/>
      <c r="AE1560" s="57"/>
      <c r="AF1560" s="57"/>
      <c r="AG1560" s="57"/>
      <c r="AH1560" s="57"/>
      <c r="AI1560" s="57"/>
      <c r="AJ1560" s="57"/>
      <c r="AK1560" s="57"/>
      <c r="AL1560" s="57"/>
      <c r="AM1560" s="57"/>
      <c r="AN1560" s="57"/>
      <c r="AO1560" s="57"/>
      <c r="AP1560" s="57"/>
      <c r="AQ1560" s="57"/>
      <c r="AR1560" s="57"/>
      <c r="AS1560" s="57"/>
      <c r="AT1560" s="57"/>
      <c r="AU1560" s="57"/>
      <c r="AV1560" s="57"/>
      <c r="AW1560" s="57"/>
      <c r="AX1560" s="57"/>
      <c r="AY1560" s="57"/>
      <c r="AZ1560" s="57"/>
      <c r="BA1560" s="57"/>
      <c r="BB1560" s="57"/>
      <c r="BC1560" s="57"/>
      <c r="BD1560" s="57"/>
      <c r="BE1560" s="57"/>
      <c r="BF1560" s="57"/>
    </row>
    <row r="1561" spans="1:58" s="59" customFormat="1" x14ac:dyDescent="0.25">
      <c r="A1561" s="53"/>
      <c r="B1561" s="60"/>
      <c r="C1561" s="57">
        <f t="shared" si="120"/>
        <v>0</v>
      </c>
      <c r="D1561" s="56"/>
      <c r="E1561" s="57">
        <f>[1]DETAY!$A$2</f>
        <v>0</v>
      </c>
      <c r="F1561" s="90">
        <f t="shared" si="121"/>
        <v>0</v>
      </c>
      <c r="G1561" s="92">
        <f t="shared" si="122"/>
        <v>0</v>
      </c>
      <c r="H1561" s="62" t="e">
        <f t="shared" si="123"/>
        <v>#DIV/0!</v>
      </c>
      <c r="I1561" s="57"/>
      <c r="J1561" s="57"/>
      <c r="K1561" s="57"/>
      <c r="L1561" s="57"/>
      <c r="M1561" s="58"/>
      <c r="N1561" s="57"/>
      <c r="O1561" s="57"/>
      <c r="P1561" s="57"/>
      <c r="Q1561" s="57"/>
      <c r="R1561" s="57"/>
      <c r="S1561" s="61"/>
      <c r="T1561" s="57"/>
      <c r="U1561" s="57"/>
      <c r="V1561" s="57"/>
      <c r="W1561" s="57"/>
      <c r="X1561" s="57"/>
      <c r="Y1561" s="57"/>
      <c r="Z1561" s="57"/>
      <c r="AA1561" s="57"/>
      <c r="AB1561" s="57"/>
      <c r="AC1561" s="57"/>
      <c r="AD1561" s="57"/>
      <c r="AE1561" s="57"/>
      <c r="AF1561" s="57"/>
      <c r="AG1561" s="57"/>
      <c r="AH1561" s="57"/>
      <c r="AI1561" s="57"/>
      <c r="AJ1561" s="57"/>
      <c r="AK1561" s="57"/>
      <c r="AL1561" s="57"/>
      <c r="AM1561" s="57"/>
      <c r="AN1561" s="57"/>
      <c r="AO1561" s="57"/>
      <c r="AP1561" s="57"/>
      <c r="AQ1561" s="57"/>
      <c r="AR1561" s="57"/>
      <c r="AS1561" s="57"/>
      <c r="AT1561" s="57"/>
      <c r="AU1561" s="57"/>
      <c r="AV1561" s="57"/>
      <c r="AW1561" s="57"/>
      <c r="AX1561" s="57"/>
      <c r="AY1561" s="57"/>
      <c r="AZ1561" s="57"/>
      <c r="BA1561" s="57"/>
      <c r="BB1561" s="57"/>
      <c r="BC1561" s="57"/>
      <c r="BD1561" s="57"/>
      <c r="BE1561" s="57"/>
      <c r="BF1561" s="57"/>
    </row>
    <row r="1562" spans="1:58" s="59" customFormat="1" x14ac:dyDescent="0.25">
      <c r="A1562" s="53"/>
      <c r="B1562" s="60"/>
      <c r="C1562" s="57">
        <f t="shared" si="120"/>
        <v>0</v>
      </c>
      <c r="D1562" s="56"/>
      <c r="E1562" s="57">
        <f>[1]DETAY!$A$2</f>
        <v>0</v>
      </c>
      <c r="F1562" s="90">
        <f t="shared" si="121"/>
        <v>0</v>
      </c>
      <c r="G1562" s="92">
        <f t="shared" si="122"/>
        <v>0</v>
      </c>
      <c r="H1562" s="62" t="e">
        <f t="shared" si="123"/>
        <v>#DIV/0!</v>
      </c>
      <c r="I1562" s="57"/>
      <c r="J1562" s="57"/>
      <c r="K1562" s="57"/>
      <c r="L1562" s="57"/>
      <c r="M1562" s="58"/>
      <c r="N1562" s="57"/>
      <c r="O1562" s="57"/>
      <c r="P1562" s="57"/>
      <c r="Q1562" s="57"/>
      <c r="R1562" s="57"/>
      <c r="S1562" s="61"/>
      <c r="T1562" s="57"/>
      <c r="U1562" s="57"/>
      <c r="V1562" s="57"/>
      <c r="W1562" s="57"/>
      <c r="X1562" s="57"/>
      <c r="Y1562" s="57"/>
      <c r="Z1562" s="57"/>
      <c r="AA1562" s="57"/>
      <c r="AB1562" s="57"/>
      <c r="AC1562" s="57"/>
      <c r="AD1562" s="57"/>
      <c r="AE1562" s="57"/>
      <c r="AF1562" s="57"/>
      <c r="AG1562" s="57"/>
      <c r="AH1562" s="57"/>
      <c r="AI1562" s="57"/>
      <c r="AJ1562" s="57"/>
      <c r="AK1562" s="57"/>
      <c r="AL1562" s="57"/>
      <c r="AM1562" s="57"/>
      <c r="AN1562" s="57"/>
      <c r="AO1562" s="57"/>
      <c r="AP1562" s="57"/>
      <c r="AQ1562" s="57"/>
      <c r="AR1562" s="57"/>
      <c r="AS1562" s="57"/>
      <c r="AT1562" s="57"/>
      <c r="AU1562" s="57"/>
      <c r="AV1562" s="57"/>
      <c r="AW1562" s="57"/>
      <c r="AX1562" s="57"/>
      <c r="AY1562" s="57"/>
      <c r="AZ1562" s="57"/>
      <c r="BA1562" s="57"/>
      <c r="BB1562" s="57"/>
      <c r="BC1562" s="57"/>
      <c r="BD1562" s="57"/>
      <c r="BE1562" s="57"/>
      <c r="BF1562" s="57"/>
    </row>
    <row r="1563" spans="1:58" s="59" customFormat="1" x14ac:dyDescent="0.25">
      <c r="A1563" s="53"/>
      <c r="B1563" s="60"/>
      <c r="C1563" s="57">
        <f t="shared" si="120"/>
        <v>0</v>
      </c>
      <c r="D1563" s="56"/>
      <c r="E1563" s="57">
        <f>[1]DETAY!$A$2</f>
        <v>0</v>
      </c>
      <c r="F1563" s="90">
        <f t="shared" si="121"/>
        <v>0</v>
      </c>
      <c r="G1563" s="92">
        <f t="shared" si="122"/>
        <v>0</v>
      </c>
      <c r="H1563" s="62" t="e">
        <f t="shared" si="123"/>
        <v>#DIV/0!</v>
      </c>
      <c r="I1563" s="57"/>
      <c r="J1563" s="57"/>
      <c r="K1563" s="57"/>
      <c r="L1563" s="57"/>
      <c r="M1563" s="58"/>
      <c r="N1563" s="57"/>
      <c r="O1563" s="57"/>
      <c r="P1563" s="57"/>
      <c r="Q1563" s="57"/>
      <c r="R1563" s="57"/>
      <c r="S1563" s="61"/>
      <c r="T1563" s="57"/>
      <c r="U1563" s="57"/>
      <c r="V1563" s="57"/>
      <c r="W1563" s="57"/>
      <c r="X1563" s="57"/>
      <c r="Y1563" s="57"/>
      <c r="Z1563" s="57"/>
      <c r="AA1563" s="57"/>
      <c r="AB1563" s="57"/>
      <c r="AC1563" s="57"/>
      <c r="AD1563" s="57"/>
      <c r="AE1563" s="57"/>
      <c r="AF1563" s="57"/>
      <c r="AG1563" s="57"/>
      <c r="AH1563" s="57"/>
      <c r="AI1563" s="57"/>
      <c r="AJ1563" s="57"/>
      <c r="AK1563" s="57"/>
      <c r="AL1563" s="57"/>
      <c r="AM1563" s="57"/>
      <c r="AN1563" s="57"/>
      <c r="AO1563" s="57"/>
      <c r="AP1563" s="57"/>
      <c r="AQ1563" s="57"/>
      <c r="AR1563" s="57"/>
      <c r="AS1563" s="57"/>
      <c r="AT1563" s="57"/>
      <c r="AU1563" s="57"/>
      <c r="AV1563" s="57"/>
      <c r="AW1563" s="57"/>
      <c r="AX1563" s="57"/>
      <c r="AY1563" s="57"/>
      <c r="AZ1563" s="57"/>
      <c r="BA1563" s="57"/>
      <c r="BB1563" s="57"/>
      <c r="BC1563" s="57"/>
      <c r="BD1563" s="57"/>
      <c r="BE1563" s="57"/>
      <c r="BF1563" s="57"/>
    </row>
    <row r="1564" spans="1:58" s="59" customFormat="1" x14ac:dyDescent="0.25">
      <c r="A1564" s="53"/>
      <c r="B1564" s="60"/>
      <c r="C1564" s="57">
        <f t="shared" si="120"/>
        <v>0</v>
      </c>
      <c r="D1564" s="56"/>
      <c r="E1564" s="57">
        <f>[1]DETAY!$A$2</f>
        <v>0</v>
      </c>
      <c r="F1564" s="90">
        <f t="shared" si="121"/>
        <v>0</v>
      </c>
      <c r="G1564" s="92">
        <f t="shared" si="122"/>
        <v>0</v>
      </c>
      <c r="H1564" s="62" t="e">
        <f t="shared" si="123"/>
        <v>#DIV/0!</v>
      </c>
      <c r="I1564" s="57"/>
      <c r="J1564" s="57"/>
      <c r="K1564" s="57"/>
      <c r="L1564" s="57"/>
      <c r="M1564" s="58"/>
      <c r="N1564" s="57"/>
      <c r="O1564" s="57"/>
      <c r="P1564" s="57"/>
      <c r="Q1564" s="57"/>
      <c r="R1564" s="57"/>
      <c r="S1564" s="61"/>
      <c r="T1564" s="57"/>
      <c r="U1564" s="57"/>
      <c r="V1564" s="57"/>
      <c r="W1564" s="57"/>
      <c r="X1564" s="57"/>
      <c r="Y1564" s="57"/>
      <c r="Z1564" s="57"/>
      <c r="AA1564" s="57"/>
      <c r="AB1564" s="57"/>
      <c r="AC1564" s="57"/>
      <c r="AD1564" s="57"/>
      <c r="AE1564" s="57"/>
      <c r="AF1564" s="57"/>
      <c r="AG1564" s="57"/>
      <c r="AH1564" s="57"/>
      <c r="AI1564" s="57"/>
      <c r="AJ1564" s="57"/>
      <c r="AK1564" s="57"/>
      <c r="AL1564" s="57"/>
      <c r="AM1564" s="57"/>
      <c r="AN1564" s="57"/>
      <c r="AO1564" s="57"/>
      <c r="AP1564" s="57"/>
      <c r="AQ1564" s="57"/>
      <c r="AR1564" s="57"/>
      <c r="AS1564" s="57"/>
      <c r="AT1564" s="57"/>
      <c r="AU1564" s="57"/>
      <c r="AV1564" s="57"/>
      <c r="AW1564" s="57"/>
      <c r="AX1564" s="57"/>
      <c r="AY1564" s="57"/>
      <c r="AZ1564" s="57"/>
      <c r="BA1564" s="57"/>
      <c r="BB1564" s="57"/>
      <c r="BC1564" s="57"/>
      <c r="BD1564" s="57"/>
      <c r="BE1564" s="57"/>
      <c r="BF1564" s="57"/>
    </row>
    <row r="1565" spans="1:58" s="59" customFormat="1" x14ac:dyDescent="0.25">
      <c r="A1565" s="53"/>
      <c r="B1565" s="60"/>
      <c r="C1565" s="57">
        <f t="shared" si="120"/>
        <v>0</v>
      </c>
      <c r="D1565" s="56"/>
      <c r="E1565" s="57">
        <f>[1]DETAY!$A$2</f>
        <v>0</v>
      </c>
      <c r="F1565" s="90">
        <f t="shared" si="121"/>
        <v>0</v>
      </c>
      <c r="G1565" s="92">
        <f t="shared" si="122"/>
        <v>0</v>
      </c>
      <c r="H1565" s="62" t="e">
        <f t="shared" si="123"/>
        <v>#DIV/0!</v>
      </c>
      <c r="I1565" s="57"/>
      <c r="J1565" s="57"/>
      <c r="K1565" s="57"/>
      <c r="L1565" s="57"/>
      <c r="M1565" s="58"/>
      <c r="N1565" s="57"/>
      <c r="O1565" s="57"/>
      <c r="P1565" s="57"/>
      <c r="Q1565" s="57"/>
      <c r="R1565" s="57"/>
      <c r="S1565" s="61"/>
      <c r="T1565" s="57"/>
      <c r="U1565" s="57"/>
      <c r="V1565" s="57"/>
      <c r="W1565" s="57"/>
      <c r="X1565" s="57"/>
      <c r="Y1565" s="57"/>
      <c r="Z1565" s="57"/>
      <c r="AA1565" s="57"/>
      <c r="AB1565" s="57"/>
      <c r="AC1565" s="57"/>
      <c r="AD1565" s="57"/>
      <c r="AE1565" s="57"/>
      <c r="AF1565" s="57"/>
      <c r="AG1565" s="57"/>
      <c r="AH1565" s="57"/>
      <c r="AI1565" s="57"/>
      <c r="AJ1565" s="57"/>
      <c r="AK1565" s="57"/>
      <c r="AL1565" s="57"/>
      <c r="AM1565" s="57"/>
      <c r="AN1565" s="57"/>
      <c r="AO1565" s="57"/>
      <c r="AP1565" s="57"/>
      <c r="AQ1565" s="57"/>
      <c r="AR1565" s="57"/>
      <c r="AS1565" s="57"/>
      <c r="AT1565" s="57"/>
      <c r="AU1565" s="57"/>
      <c r="AV1565" s="57"/>
      <c r="AW1565" s="57"/>
      <c r="AX1565" s="57"/>
      <c r="AY1565" s="57"/>
      <c r="AZ1565" s="57"/>
      <c r="BA1565" s="57"/>
      <c r="BB1565" s="57"/>
      <c r="BC1565" s="57"/>
      <c r="BD1565" s="57"/>
      <c r="BE1565" s="57"/>
      <c r="BF1565" s="57"/>
    </row>
    <row r="1566" spans="1:58" s="59" customFormat="1" x14ac:dyDescent="0.25">
      <c r="A1566" s="53"/>
      <c r="B1566" s="60"/>
      <c r="C1566" s="57">
        <f t="shared" si="120"/>
        <v>0</v>
      </c>
      <c r="D1566" s="56"/>
      <c r="E1566" s="57">
        <f>[1]DETAY!$A$2</f>
        <v>0</v>
      </c>
      <c r="F1566" s="90">
        <f t="shared" si="121"/>
        <v>0</v>
      </c>
      <c r="G1566" s="92">
        <f t="shared" si="122"/>
        <v>0</v>
      </c>
      <c r="H1566" s="62" t="e">
        <f t="shared" si="123"/>
        <v>#DIV/0!</v>
      </c>
      <c r="I1566" s="57"/>
      <c r="J1566" s="57"/>
      <c r="K1566" s="57"/>
      <c r="L1566" s="57"/>
      <c r="M1566" s="58"/>
      <c r="N1566" s="57"/>
      <c r="O1566" s="57"/>
      <c r="P1566" s="57"/>
      <c r="Q1566" s="57"/>
      <c r="R1566" s="57"/>
      <c r="S1566" s="61"/>
      <c r="T1566" s="57"/>
      <c r="U1566" s="57"/>
      <c r="V1566" s="57"/>
      <c r="W1566" s="57"/>
      <c r="X1566" s="57"/>
      <c r="Y1566" s="57"/>
      <c r="Z1566" s="57"/>
      <c r="AA1566" s="57"/>
      <c r="AB1566" s="57"/>
      <c r="AC1566" s="57"/>
      <c r="AD1566" s="57"/>
      <c r="AE1566" s="57"/>
      <c r="AF1566" s="57"/>
      <c r="AG1566" s="57"/>
      <c r="AH1566" s="57"/>
      <c r="AI1566" s="57"/>
      <c r="AJ1566" s="57"/>
      <c r="AK1566" s="57"/>
      <c r="AL1566" s="57"/>
      <c r="AM1566" s="57"/>
      <c r="AN1566" s="57"/>
      <c r="AO1566" s="57"/>
      <c r="AP1566" s="57"/>
      <c r="AQ1566" s="57"/>
      <c r="AR1566" s="57"/>
      <c r="AS1566" s="57"/>
      <c r="AT1566" s="57"/>
      <c r="AU1566" s="57"/>
      <c r="AV1566" s="57"/>
      <c r="AW1566" s="57"/>
      <c r="AX1566" s="57"/>
      <c r="AY1566" s="57"/>
      <c r="AZ1566" s="57"/>
      <c r="BA1566" s="57"/>
      <c r="BB1566" s="57"/>
      <c r="BC1566" s="57"/>
      <c r="BD1566" s="57"/>
      <c r="BE1566" s="57"/>
      <c r="BF1566" s="57"/>
    </row>
    <row r="1567" spans="1:58" s="59" customFormat="1" x14ac:dyDescent="0.25">
      <c r="A1567" s="53"/>
      <c r="B1567" s="60"/>
      <c r="C1567" s="57">
        <f t="shared" si="120"/>
        <v>0</v>
      </c>
      <c r="D1567" s="56"/>
      <c r="E1567" s="57">
        <f>[1]DETAY!$A$2</f>
        <v>0</v>
      </c>
      <c r="F1567" s="90">
        <f t="shared" si="121"/>
        <v>0</v>
      </c>
      <c r="G1567" s="92">
        <f t="shared" si="122"/>
        <v>0</v>
      </c>
      <c r="H1567" s="62" t="e">
        <f t="shared" si="123"/>
        <v>#DIV/0!</v>
      </c>
      <c r="I1567" s="57"/>
      <c r="J1567" s="57"/>
      <c r="K1567" s="57"/>
      <c r="L1567" s="57"/>
      <c r="M1567" s="58"/>
      <c r="N1567" s="57"/>
      <c r="O1567" s="57"/>
      <c r="P1567" s="57"/>
      <c r="Q1567" s="57"/>
      <c r="R1567" s="57"/>
      <c r="S1567" s="61"/>
      <c r="T1567" s="57"/>
      <c r="U1567" s="57"/>
      <c r="V1567" s="57"/>
      <c r="W1567" s="57"/>
      <c r="X1567" s="57"/>
      <c r="Y1567" s="57"/>
      <c r="Z1567" s="57"/>
      <c r="AA1567" s="57"/>
      <c r="AB1567" s="57"/>
      <c r="AC1567" s="57"/>
      <c r="AD1567" s="57"/>
      <c r="AE1567" s="57"/>
      <c r="AF1567" s="57"/>
      <c r="AG1567" s="57"/>
      <c r="AH1567" s="57"/>
      <c r="AI1567" s="57"/>
      <c r="AJ1567" s="57"/>
      <c r="AK1567" s="57"/>
      <c r="AL1567" s="57"/>
      <c r="AM1567" s="57"/>
      <c r="AN1567" s="57"/>
      <c r="AO1567" s="57"/>
      <c r="AP1567" s="57"/>
      <c r="AQ1567" s="57"/>
      <c r="AR1567" s="57"/>
      <c r="AS1567" s="57"/>
      <c r="AT1567" s="57"/>
      <c r="AU1567" s="57"/>
      <c r="AV1567" s="57"/>
      <c r="AW1567" s="57"/>
      <c r="AX1567" s="57"/>
      <c r="AY1567" s="57"/>
      <c r="AZ1567" s="57"/>
      <c r="BA1567" s="57"/>
      <c r="BB1567" s="57"/>
      <c r="BC1567" s="57"/>
      <c r="BD1567" s="57"/>
      <c r="BE1567" s="57"/>
      <c r="BF1567" s="57"/>
    </row>
    <row r="1568" spans="1:58" s="59" customFormat="1" x14ac:dyDescent="0.25">
      <c r="A1568" s="53"/>
      <c r="B1568" s="60"/>
      <c r="C1568" s="57">
        <f t="shared" si="120"/>
        <v>0</v>
      </c>
      <c r="D1568" s="56"/>
      <c r="E1568" s="57">
        <f>[1]DETAY!$A$2</f>
        <v>0</v>
      </c>
      <c r="F1568" s="90">
        <f t="shared" si="121"/>
        <v>0</v>
      </c>
      <c r="G1568" s="92">
        <f t="shared" si="122"/>
        <v>0</v>
      </c>
      <c r="H1568" s="62" t="e">
        <f t="shared" si="123"/>
        <v>#DIV/0!</v>
      </c>
      <c r="I1568" s="57"/>
      <c r="J1568" s="57"/>
      <c r="K1568" s="57"/>
      <c r="L1568" s="57"/>
      <c r="M1568" s="58"/>
      <c r="N1568" s="57"/>
      <c r="O1568" s="57"/>
      <c r="P1568" s="57"/>
      <c r="Q1568" s="57"/>
      <c r="R1568" s="57"/>
      <c r="S1568" s="61"/>
      <c r="T1568" s="57"/>
      <c r="U1568" s="57"/>
      <c r="V1568" s="57"/>
      <c r="W1568" s="57"/>
      <c r="X1568" s="57"/>
      <c r="Y1568" s="57"/>
      <c r="Z1568" s="57"/>
      <c r="AA1568" s="57"/>
      <c r="AB1568" s="57"/>
      <c r="AC1568" s="57"/>
      <c r="AD1568" s="57"/>
      <c r="AE1568" s="57"/>
      <c r="AF1568" s="57"/>
      <c r="AG1568" s="57"/>
      <c r="AH1568" s="57"/>
      <c r="AI1568" s="57"/>
      <c r="AJ1568" s="57"/>
      <c r="AK1568" s="57"/>
      <c r="AL1568" s="57"/>
      <c r="AM1568" s="57"/>
      <c r="AN1568" s="57"/>
      <c r="AO1568" s="57"/>
      <c r="AP1568" s="57"/>
      <c r="AQ1568" s="57"/>
      <c r="AR1568" s="57"/>
      <c r="AS1568" s="57"/>
      <c r="AT1568" s="57"/>
      <c r="AU1568" s="57"/>
      <c r="AV1568" s="57"/>
      <c r="AW1568" s="57"/>
      <c r="AX1568" s="57"/>
      <c r="AY1568" s="57"/>
      <c r="AZ1568" s="57"/>
      <c r="BA1568" s="57"/>
      <c r="BB1568" s="57"/>
      <c r="BC1568" s="57"/>
      <c r="BD1568" s="57"/>
      <c r="BE1568" s="57"/>
      <c r="BF1568" s="57"/>
    </row>
    <row r="1569" spans="1:58" s="59" customFormat="1" x14ac:dyDescent="0.25">
      <c r="A1569" s="53"/>
      <c r="B1569" s="60"/>
      <c r="C1569" s="57">
        <f t="shared" si="120"/>
        <v>0</v>
      </c>
      <c r="D1569" s="56"/>
      <c r="E1569" s="57">
        <f>[1]DETAY!$A$2</f>
        <v>0</v>
      </c>
      <c r="F1569" s="90">
        <f t="shared" si="121"/>
        <v>0</v>
      </c>
      <c r="G1569" s="92">
        <f t="shared" si="122"/>
        <v>0</v>
      </c>
      <c r="H1569" s="62" t="e">
        <f t="shared" si="123"/>
        <v>#DIV/0!</v>
      </c>
      <c r="I1569" s="57"/>
      <c r="J1569" s="57"/>
      <c r="K1569" s="57"/>
      <c r="L1569" s="57"/>
      <c r="M1569" s="58"/>
      <c r="N1569" s="57"/>
      <c r="O1569" s="57"/>
      <c r="P1569" s="57"/>
      <c r="Q1569" s="57"/>
      <c r="R1569" s="57"/>
      <c r="S1569" s="61"/>
      <c r="T1569" s="57"/>
      <c r="U1569" s="57"/>
      <c r="V1569" s="57"/>
      <c r="W1569" s="57"/>
      <c r="X1569" s="57"/>
      <c r="Y1569" s="57"/>
      <c r="Z1569" s="57"/>
      <c r="AA1569" s="57"/>
      <c r="AB1569" s="57"/>
      <c r="AC1569" s="57"/>
      <c r="AD1569" s="57"/>
      <c r="AE1569" s="57"/>
      <c r="AF1569" s="57"/>
      <c r="AG1569" s="57"/>
      <c r="AH1569" s="57"/>
      <c r="AI1569" s="57"/>
      <c r="AJ1569" s="57"/>
      <c r="AK1569" s="57"/>
      <c r="AL1569" s="57"/>
      <c r="AM1569" s="57"/>
      <c r="AN1569" s="57"/>
      <c r="AO1569" s="57"/>
      <c r="AP1569" s="57"/>
      <c r="AQ1569" s="57"/>
      <c r="AR1569" s="57"/>
      <c r="AS1569" s="57"/>
      <c r="AT1569" s="57"/>
      <c r="AU1569" s="57"/>
      <c r="AV1569" s="57"/>
      <c r="AW1569" s="57"/>
      <c r="AX1569" s="57"/>
      <c r="AY1569" s="57"/>
      <c r="AZ1569" s="57"/>
      <c r="BA1569" s="57"/>
      <c r="BB1569" s="57"/>
      <c r="BC1569" s="57"/>
      <c r="BD1569" s="57"/>
      <c r="BE1569" s="57"/>
      <c r="BF1569" s="57"/>
    </row>
    <row r="1570" spans="1:58" s="59" customFormat="1" x14ac:dyDescent="0.25">
      <c r="A1570" s="53"/>
      <c r="B1570" s="60"/>
      <c r="C1570" s="57">
        <f t="shared" si="120"/>
        <v>0</v>
      </c>
      <c r="D1570" s="56"/>
      <c r="E1570" s="57">
        <f>[1]DETAY!$A$2</f>
        <v>0</v>
      </c>
      <c r="F1570" s="90">
        <f t="shared" si="121"/>
        <v>0</v>
      </c>
      <c r="G1570" s="92">
        <f t="shared" si="122"/>
        <v>0</v>
      </c>
      <c r="H1570" s="62" t="e">
        <f t="shared" si="123"/>
        <v>#DIV/0!</v>
      </c>
      <c r="I1570" s="57"/>
      <c r="J1570" s="57"/>
      <c r="K1570" s="57"/>
      <c r="L1570" s="57"/>
      <c r="M1570" s="58"/>
      <c r="N1570" s="57"/>
      <c r="O1570" s="57"/>
      <c r="P1570" s="57"/>
      <c r="Q1570" s="57"/>
      <c r="R1570" s="57"/>
      <c r="S1570" s="61"/>
      <c r="T1570" s="57"/>
      <c r="U1570" s="57"/>
      <c r="V1570" s="57"/>
      <c r="W1570" s="57"/>
      <c r="X1570" s="57"/>
      <c r="Y1570" s="57"/>
      <c r="Z1570" s="57"/>
      <c r="AA1570" s="57"/>
      <c r="AB1570" s="57"/>
      <c r="AC1570" s="57"/>
      <c r="AD1570" s="57"/>
      <c r="AE1570" s="57"/>
      <c r="AF1570" s="57"/>
      <c r="AG1570" s="57"/>
      <c r="AH1570" s="57"/>
      <c r="AI1570" s="57"/>
      <c r="AJ1570" s="57"/>
      <c r="AK1570" s="57"/>
      <c r="AL1570" s="57"/>
      <c r="AM1570" s="57"/>
      <c r="AN1570" s="57"/>
      <c r="AO1570" s="57"/>
      <c r="AP1570" s="57"/>
      <c r="AQ1570" s="57"/>
      <c r="AR1570" s="57"/>
      <c r="AS1570" s="57"/>
      <c r="AT1570" s="57"/>
      <c r="AU1570" s="57"/>
      <c r="AV1570" s="57"/>
      <c r="AW1570" s="57"/>
      <c r="AX1570" s="57"/>
      <c r="AY1570" s="57"/>
      <c r="AZ1570" s="57"/>
      <c r="BA1570" s="57"/>
      <c r="BB1570" s="57"/>
      <c r="BC1570" s="57"/>
      <c r="BD1570" s="57"/>
      <c r="BE1570" s="57"/>
      <c r="BF1570" s="57"/>
    </row>
    <row r="1571" spans="1:58" s="59" customFormat="1" x14ac:dyDescent="0.25">
      <c r="A1571" s="53"/>
      <c r="B1571" s="60"/>
      <c r="C1571" s="57">
        <f t="shared" si="120"/>
        <v>0</v>
      </c>
      <c r="D1571" s="56"/>
      <c r="E1571" s="57">
        <f>[1]DETAY!$A$2</f>
        <v>0</v>
      </c>
      <c r="F1571" s="90">
        <f t="shared" si="121"/>
        <v>0</v>
      </c>
      <c r="G1571" s="92">
        <f t="shared" si="122"/>
        <v>0</v>
      </c>
      <c r="H1571" s="62" t="e">
        <f t="shared" si="123"/>
        <v>#DIV/0!</v>
      </c>
      <c r="I1571" s="57"/>
      <c r="J1571" s="57"/>
      <c r="K1571" s="57"/>
      <c r="L1571" s="57"/>
      <c r="M1571" s="58"/>
      <c r="N1571" s="57"/>
      <c r="O1571" s="57"/>
      <c r="P1571" s="57"/>
      <c r="Q1571" s="57"/>
      <c r="R1571" s="57"/>
      <c r="S1571" s="61"/>
      <c r="T1571" s="57"/>
      <c r="U1571" s="57"/>
      <c r="V1571" s="57"/>
      <c r="W1571" s="57"/>
      <c r="X1571" s="57"/>
      <c r="Y1571" s="57"/>
      <c r="Z1571" s="57"/>
      <c r="AA1571" s="57"/>
      <c r="AB1571" s="57"/>
      <c r="AC1571" s="57"/>
      <c r="AD1571" s="57"/>
      <c r="AE1571" s="57"/>
      <c r="AF1571" s="57"/>
      <c r="AG1571" s="57"/>
      <c r="AH1571" s="57"/>
      <c r="AI1571" s="57"/>
      <c r="AJ1571" s="57"/>
      <c r="AK1571" s="57"/>
      <c r="AL1571" s="57"/>
      <c r="AM1571" s="57"/>
      <c r="AN1571" s="57"/>
      <c r="AO1571" s="57"/>
      <c r="AP1571" s="57"/>
      <c r="AQ1571" s="57"/>
      <c r="AR1571" s="57"/>
      <c r="AS1571" s="57"/>
      <c r="AT1571" s="57"/>
      <c r="AU1571" s="57"/>
      <c r="AV1571" s="57"/>
      <c r="AW1571" s="57"/>
      <c r="AX1571" s="57"/>
      <c r="AY1571" s="57"/>
      <c r="AZ1571" s="57"/>
      <c r="BA1571" s="57"/>
      <c r="BB1571" s="57"/>
      <c r="BC1571" s="57"/>
      <c r="BD1571" s="57"/>
      <c r="BE1571" s="57"/>
      <c r="BF1571" s="57"/>
    </row>
    <row r="1572" spans="1:58" s="59" customFormat="1" x14ac:dyDescent="0.25">
      <c r="A1572" s="53"/>
      <c r="B1572" s="60"/>
      <c r="C1572" s="57">
        <f t="shared" si="120"/>
        <v>0</v>
      </c>
      <c r="D1572" s="56"/>
      <c r="E1572" s="57">
        <f>[1]DETAY!$A$2</f>
        <v>0</v>
      </c>
      <c r="F1572" s="90">
        <f t="shared" si="121"/>
        <v>0</v>
      </c>
      <c r="G1572" s="92">
        <f t="shared" si="122"/>
        <v>0</v>
      </c>
      <c r="H1572" s="62" t="e">
        <f t="shared" si="123"/>
        <v>#DIV/0!</v>
      </c>
      <c r="I1572" s="57"/>
      <c r="J1572" s="57"/>
      <c r="K1572" s="57"/>
      <c r="L1572" s="57"/>
      <c r="M1572" s="58"/>
      <c r="N1572" s="57"/>
      <c r="O1572" s="57"/>
      <c r="P1572" s="57"/>
      <c r="Q1572" s="57"/>
      <c r="R1572" s="57"/>
      <c r="S1572" s="61"/>
      <c r="T1572" s="57"/>
      <c r="U1572" s="57"/>
      <c r="V1572" s="57"/>
      <c r="W1572" s="57"/>
      <c r="X1572" s="57"/>
      <c r="Y1572" s="57"/>
      <c r="Z1572" s="57"/>
      <c r="AA1572" s="57"/>
      <c r="AB1572" s="57"/>
      <c r="AC1572" s="57"/>
      <c r="AD1572" s="57"/>
      <c r="AE1572" s="57"/>
      <c r="AF1572" s="57"/>
      <c r="AG1572" s="57"/>
      <c r="AH1572" s="57"/>
      <c r="AI1572" s="57"/>
      <c r="AJ1572" s="57"/>
      <c r="AK1572" s="57"/>
      <c r="AL1572" s="57"/>
      <c r="AM1572" s="57"/>
      <c r="AN1572" s="57"/>
      <c r="AO1572" s="57"/>
      <c r="AP1572" s="57"/>
      <c r="AQ1572" s="57"/>
      <c r="AR1572" s="57"/>
      <c r="AS1572" s="57"/>
      <c r="AT1572" s="57"/>
      <c r="AU1572" s="57"/>
      <c r="AV1572" s="57"/>
      <c r="AW1572" s="57"/>
      <c r="AX1572" s="57"/>
      <c r="AY1572" s="57"/>
      <c r="AZ1572" s="57"/>
      <c r="BA1572" s="57"/>
      <c r="BB1572" s="57"/>
      <c r="BC1572" s="57"/>
      <c r="BD1572" s="57"/>
      <c r="BE1572" s="57"/>
      <c r="BF1572" s="57"/>
    </row>
    <row r="1573" spans="1:58" s="59" customFormat="1" x14ac:dyDescent="0.25">
      <c r="A1573" s="53"/>
      <c r="B1573" s="60"/>
      <c r="C1573" s="57">
        <f t="shared" si="120"/>
        <v>0</v>
      </c>
      <c r="D1573" s="56"/>
      <c r="E1573" s="57">
        <f>[1]DETAY!$A$2</f>
        <v>0</v>
      </c>
      <c r="F1573" s="90">
        <f t="shared" si="121"/>
        <v>0</v>
      </c>
      <c r="G1573" s="92">
        <f t="shared" si="122"/>
        <v>0</v>
      </c>
      <c r="H1573" s="62" t="e">
        <f t="shared" si="123"/>
        <v>#DIV/0!</v>
      </c>
      <c r="I1573" s="57"/>
      <c r="J1573" s="57"/>
      <c r="K1573" s="57"/>
      <c r="L1573" s="57"/>
      <c r="M1573" s="58"/>
      <c r="N1573" s="57"/>
      <c r="O1573" s="57"/>
      <c r="P1573" s="57"/>
      <c r="Q1573" s="57"/>
      <c r="R1573" s="57"/>
      <c r="S1573" s="61"/>
      <c r="T1573" s="57"/>
      <c r="U1573" s="57"/>
      <c r="V1573" s="57"/>
      <c r="W1573" s="57"/>
      <c r="X1573" s="57"/>
      <c r="Y1573" s="57"/>
      <c r="Z1573" s="57"/>
      <c r="AA1573" s="57"/>
      <c r="AB1573" s="57"/>
      <c r="AC1573" s="57"/>
      <c r="AD1573" s="57"/>
      <c r="AE1573" s="57"/>
      <c r="AF1573" s="57"/>
      <c r="AG1573" s="57"/>
      <c r="AH1573" s="57"/>
      <c r="AI1573" s="57"/>
      <c r="AJ1573" s="57"/>
      <c r="AK1573" s="57"/>
      <c r="AL1573" s="57"/>
      <c r="AM1573" s="57"/>
      <c r="AN1573" s="57"/>
      <c r="AO1573" s="57"/>
      <c r="AP1573" s="57"/>
      <c r="AQ1573" s="57"/>
      <c r="AR1573" s="57"/>
      <c r="AS1573" s="57"/>
      <c r="AT1573" s="57"/>
      <c r="AU1573" s="57"/>
      <c r="AV1573" s="57"/>
      <c r="AW1573" s="57"/>
      <c r="AX1573" s="57"/>
      <c r="AY1573" s="57"/>
      <c r="AZ1573" s="57"/>
      <c r="BA1573" s="57"/>
      <c r="BB1573" s="57"/>
      <c r="BC1573" s="57"/>
      <c r="BD1573" s="57"/>
      <c r="BE1573" s="57"/>
      <c r="BF1573" s="57"/>
    </row>
    <row r="1574" spans="1:58" s="59" customFormat="1" x14ac:dyDescent="0.25">
      <c r="A1574" s="53"/>
      <c r="B1574" s="60"/>
      <c r="C1574" s="57">
        <f t="shared" si="120"/>
        <v>0</v>
      </c>
      <c r="D1574" s="56"/>
      <c r="E1574" s="57">
        <f>[1]DETAY!$A$2</f>
        <v>0</v>
      </c>
      <c r="F1574" s="90">
        <f t="shared" si="121"/>
        <v>0</v>
      </c>
      <c r="G1574" s="92">
        <f t="shared" si="122"/>
        <v>0</v>
      </c>
      <c r="H1574" s="62" t="e">
        <f t="shared" si="123"/>
        <v>#DIV/0!</v>
      </c>
      <c r="I1574" s="57"/>
      <c r="J1574" s="57"/>
      <c r="K1574" s="57"/>
      <c r="L1574" s="57"/>
      <c r="M1574" s="58"/>
      <c r="N1574" s="57"/>
      <c r="O1574" s="57"/>
      <c r="P1574" s="57"/>
      <c r="Q1574" s="57"/>
      <c r="R1574" s="57"/>
      <c r="S1574" s="61"/>
      <c r="T1574" s="57"/>
      <c r="U1574" s="57"/>
      <c r="V1574" s="57"/>
      <c r="W1574" s="57"/>
      <c r="X1574" s="57"/>
      <c r="Y1574" s="57"/>
      <c r="Z1574" s="57"/>
      <c r="AA1574" s="57"/>
      <c r="AB1574" s="57"/>
      <c r="AC1574" s="57"/>
      <c r="AD1574" s="57"/>
      <c r="AE1574" s="57"/>
      <c r="AF1574" s="57"/>
      <c r="AG1574" s="57"/>
      <c r="AH1574" s="57"/>
      <c r="AI1574" s="57"/>
      <c r="AJ1574" s="57"/>
      <c r="AK1574" s="57"/>
      <c r="AL1574" s="57"/>
      <c r="AM1574" s="57"/>
      <c r="AN1574" s="57"/>
      <c r="AO1574" s="57"/>
      <c r="AP1574" s="57"/>
      <c r="AQ1574" s="57"/>
      <c r="AR1574" s="57"/>
      <c r="AS1574" s="57"/>
      <c r="AT1574" s="57"/>
      <c r="AU1574" s="57"/>
      <c r="AV1574" s="57"/>
      <c r="AW1574" s="57"/>
      <c r="AX1574" s="57"/>
      <c r="AY1574" s="57"/>
      <c r="AZ1574" s="57"/>
      <c r="BA1574" s="57"/>
      <c r="BB1574" s="57"/>
      <c r="BC1574" s="57"/>
      <c r="BD1574" s="57"/>
      <c r="BE1574" s="57"/>
      <c r="BF1574" s="57"/>
    </row>
    <row r="1575" spans="1:58" s="59" customFormat="1" x14ac:dyDescent="0.25">
      <c r="A1575" s="53"/>
      <c r="B1575" s="60"/>
      <c r="C1575" s="57">
        <f t="shared" si="120"/>
        <v>0</v>
      </c>
      <c r="D1575" s="56"/>
      <c r="E1575" s="57">
        <f>[1]DETAY!$A$2</f>
        <v>0</v>
      </c>
      <c r="F1575" s="90">
        <f t="shared" si="121"/>
        <v>0</v>
      </c>
      <c r="G1575" s="92">
        <f t="shared" si="122"/>
        <v>0</v>
      </c>
      <c r="H1575" s="62" t="e">
        <f t="shared" si="123"/>
        <v>#DIV/0!</v>
      </c>
      <c r="I1575" s="57"/>
      <c r="J1575" s="57"/>
      <c r="K1575" s="57"/>
      <c r="L1575" s="57"/>
      <c r="M1575" s="58"/>
      <c r="N1575" s="57"/>
      <c r="O1575" s="57"/>
      <c r="P1575" s="57"/>
      <c r="Q1575" s="57"/>
      <c r="R1575" s="57"/>
      <c r="S1575" s="61"/>
      <c r="T1575" s="57"/>
      <c r="U1575" s="57"/>
      <c r="V1575" s="57"/>
      <c r="W1575" s="57"/>
      <c r="X1575" s="57"/>
      <c r="Y1575" s="57"/>
      <c r="Z1575" s="57"/>
      <c r="AA1575" s="57"/>
      <c r="AB1575" s="57"/>
      <c r="AC1575" s="57"/>
      <c r="AD1575" s="57"/>
      <c r="AE1575" s="57"/>
      <c r="AF1575" s="57"/>
      <c r="AG1575" s="57"/>
      <c r="AH1575" s="57"/>
      <c r="AI1575" s="57"/>
      <c r="AJ1575" s="57"/>
      <c r="AK1575" s="57"/>
      <c r="AL1575" s="57"/>
      <c r="AM1575" s="57"/>
      <c r="AN1575" s="57"/>
      <c r="AO1575" s="57"/>
      <c r="AP1575" s="57"/>
      <c r="AQ1575" s="57"/>
      <c r="AR1575" s="57"/>
      <c r="AS1575" s="57"/>
      <c r="AT1575" s="57"/>
      <c r="AU1575" s="57"/>
      <c r="AV1575" s="57"/>
      <c r="AW1575" s="57"/>
      <c r="AX1575" s="57"/>
      <c r="AY1575" s="57"/>
      <c r="AZ1575" s="57"/>
      <c r="BA1575" s="57"/>
      <c r="BB1575" s="57"/>
      <c r="BC1575" s="57"/>
      <c r="BD1575" s="57"/>
      <c r="BE1575" s="57"/>
      <c r="BF1575" s="57"/>
    </row>
    <row r="1576" spans="1:58" s="59" customFormat="1" x14ac:dyDescent="0.25">
      <c r="A1576" s="53"/>
      <c r="B1576" s="60"/>
      <c r="C1576" s="57">
        <f t="shared" si="120"/>
        <v>0</v>
      </c>
      <c r="D1576" s="56"/>
      <c r="E1576" s="57">
        <f>[1]DETAY!$A$2</f>
        <v>0</v>
      </c>
      <c r="F1576" s="90">
        <f t="shared" si="121"/>
        <v>0</v>
      </c>
      <c r="G1576" s="92">
        <f t="shared" si="122"/>
        <v>0</v>
      </c>
      <c r="H1576" s="62" t="e">
        <f t="shared" si="123"/>
        <v>#DIV/0!</v>
      </c>
      <c r="I1576" s="57"/>
      <c r="J1576" s="57"/>
      <c r="K1576" s="57"/>
      <c r="L1576" s="57"/>
      <c r="M1576" s="58"/>
      <c r="N1576" s="57"/>
      <c r="O1576" s="57"/>
      <c r="P1576" s="57"/>
      <c r="Q1576" s="57"/>
      <c r="R1576" s="57"/>
      <c r="S1576" s="61"/>
      <c r="T1576" s="57"/>
      <c r="U1576" s="57"/>
      <c r="V1576" s="57"/>
      <c r="W1576" s="57"/>
      <c r="X1576" s="57"/>
      <c r="Y1576" s="57"/>
      <c r="Z1576" s="57"/>
      <c r="AA1576" s="57"/>
      <c r="AB1576" s="57"/>
      <c r="AC1576" s="57"/>
      <c r="AD1576" s="57"/>
      <c r="AE1576" s="57"/>
      <c r="AF1576" s="57"/>
      <c r="AG1576" s="57"/>
      <c r="AH1576" s="57"/>
      <c r="AI1576" s="57"/>
      <c r="AJ1576" s="57"/>
      <c r="AK1576" s="57"/>
      <c r="AL1576" s="57"/>
      <c r="AM1576" s="57"/>
      <c r="AN1576" s="57"/>
      <c r="AO1576" s="57"/>
      <c r="AP1576" s="57"/>
      <c r="AQ1576" s="57"/>
      <c r="AR1576" s="57"/>
      <c r="AS1576" s="57"/>
      <c r="AT1576" s="57"/>
      <c r="AU1576" s="57"/>
      <c r="AV1576" s="57"/>
      <c r="AW1576" s="57"/>
      <c r="AX1576" s="57"/>
      <c r="AY1576" s="57"/>
      <c r="AZ1576" s="57"/>
      <c r="BA1576" s="57"/>
      <c r="BB1576" s="57"/>
      <c r="BC1576" s="57"/>
      <c r="BD1576" s="57"/>
      <c r="BE1576" s="57"/>
      <c r="BF1576" s="57"/>
    </row>
    <row r="1577" spans="1:58" s="59" customFormat="1" x14ac:dyDescent="0.25">
      <c r="A1577" s="53"/>
      <c r="B1577" s="60"/>
      <c r="C1577" s="57">
        <f t="shared" si="120"/>
        <v>0</v>
      </c>
      <c r="D1577" s="56"/>
      <c r="E1577" s="57">
        <f>[1]DETAY!$A$2</f>
        <v>0</v>
      </c>
      <c r="F1577" s="90">
        <f t="shared" si="121"/>
        <v>0</v>
      </c>
      <c r="G1577" s="92">
        <f t="shared" si="122"/>
        <v>0</v>
      </c>
      <c r="H1577" s="62" t="e">
        <f t="shared" si="123"/>
        <v>#DIV/0!</v>
      </c>
      <c r="I1577" s="57"/>
      <c r="J1577" s="57"/>
      <c r="K1577" s="57"/>
      <c r="L1577" s="57"/>
      <c r="M1577" s="58"/>
      <c r="N1577" s="57"/>
      <c r="O1577" s="57"/>
      <c r="P1577" s="57"/>
      <c r="Q1577" s="57"/>
      <c r="R1577" s="57"/>
      <c r="S1577" s="61"/>
      <c r="T1577" s="57"/>
      <c r="U1577" s="57"/>
      <c r="V1577" s="57"/>
      <c r="W1577" s="57"/>
      <c r="X1577" s="57"/>
      <c r="Y1577" s="57"/>
      <c r="Z1577" s="57"/>
      <c r="AA1577" s="57"/>
      <c r="AB1577" s="57"/>
      <c r="AC1577" s="57"/>
      <c r="AD1577" s="57"/>
      <c r="AE1577" s="57"/>
      <c r="AF1577" s="57"/>
      <c r="AG1577" s="57"/>
      <c r="AH1577" s="57"/>
      <c r="AI1577" s="57"/>
      <c r="AJ1577" s="57"/>
      <c r="AK1577" s="57"/>
      <c r="AL1577" s="57"/>
      <c r="AM1577" s="57"/>
      <c r="AN1577" s="57"/>
      <c r="AO1577" s="57"/>
      <c r="AP1577" s="57"/>
      <c r="AQ1577" s="57"/>
      <c r="AR1577" s="57"/>
      <c r="AS1577" s="57"/>
      <c r="AT1577" s="57"/>
      <c r="AU1577" s="57"/>
      <c r="AV1577" s="57"/>
      <c r="AW1577" s="57"/>
      <c r="AX1577" s="57"/>
      <c r="AY1577" s="57"/>
      <c r="AZ1577" s="57"/>
      <c r="BA1577" s="57"/>
      <c r="BB1577" s="57"/>
      <c r="BC1577" s="57"/>
      <c r="BD1577" s="57"/>
      <c r="BE1577" s="57"/>
      <c r="BF1577" s="57"/>
    </row>
    <row r="1578" spans="1:58" s="59" customFormat="1" x14ac:dyDescent="0.25">
      <c r="A1578" s="53"/>
      <c r="B1578" s="60"/>
      <c r="C1578" s="57">
        <f t="shared" si="120"/>
        <v>0</v>
      </c>
      <c r="D1578" s="56"/>
      <c r="E1578" s="57">
        <f>[1]DETAY!$A$2</f>
        <v>0</v>
      </c>
      <c r="F1578" s="90">
        <f t="shared" si="121"/>
        <v>0</v>
      </c>
      <c r="G1578" s="92">
        <f t="shared" si="122"/>
        <v>0</v>
      </c>
      <c r="H1578" s="62" t="e">
        <f t="shared" si="123"/>
        <v>#DIV/0!</v>
      </c>
      <c r="I1578" s="57"/>
      <c r="J1578" s="57"/>
      <c r="K1578" s="57"/>
      <c r="L1578" s="57"/>
      <c r="M1578" s="58"/>
      <c r="N1578" s="57"/>
      <c r="O1578" s="57"/>
      <c r="P1578" s="57"/>
      <c r="Q1578" s="57"/>
      <c r="R1578" s="57"/>
      <c r="S1578" s="61"/>
      <c r="T1578" s="57"/>
      <c r="U1578" s="57"/>
      <c r="V1578" s="57"/>
      <c r="W1578" s="57"/>
      <c r="X1578" s="57"/>
      <c r="Y1578" s="57"/>
      <c r="Z1578" s="57"/>
      <c r="AA1578" s="57"/>
      <c r="AB1578" s="57"/>
      <c r="AC1578" s="57"/>
      <c r="AD1578" s="57"/>
      <c r="AE1578" s="57"/>
      <c r="AF1578" s="57"/>
      <c r="AG1578" s="57"/>
      <c r="AH1578" s="57"/>
      <c r="AI1578" s="57"/>
      <c r="AJ1578" s="57"/>
      <c r="AK1578" s="57"/>
      <c r="AL1578" s="57"/>
      <c r="AM1578" s="57"/>
      <c r="AN1578" s="57"/>
      <c r="AO1578" s="57"/>
      <c r="AP1578" s="57"/>
      <c r="AQ1578" s="57"/>
      <c r="AR1578" s="57"/>
      <c r="AS1578" s="57"/>
      <c r="AT1578" s="57"/>
      <c r="AU1578" s="57"/>
      <c r="AV1578" s="57"/>
      <c r="AW1578" s="57"/>
      <c r="AX1578" s="57"/>
      <c r="AY1578" s="57"/>
      <c r="AZ1578" s="57"/>
      <c r="BA1578" s="57"/>
      <c r="BB1578" s="57"/>
      <c r="BC1578" s="57"/>
      <c r="BD1578" s="57"/>
      <c r="BE1578" s="57"/>
      <c r="BF1578" s="57"/>
    </row>
    <row r="1579" spans="1:58" s="59" customFormat="1" x14ac:dyDescent="0.25">
      <c r="A1579" s="53"/>
      <c r="B1579" s="60"/>
      <c r="C1579" s="57">
        <f t="shared" si="120"/>
        <v>0</v>
      </c>
      <c r="D1579" s="56"/>
      <c r="E1579" s="57">
        <f>[1]DETAY!$A$2</f>
        <v>0</v>
      </c>
      <c r="F1579" s="90">
        <f t="shared" si="121"/>
        <v>0</v>
      </c>
      <c r="G1579" s="92">
        <f t="shared" si="122"/>
        <v>0</v>
      </c>
      <c r="H1579" s="62" t="e">
        <f t="shared" si="123"/>
        <v>#DIV/0!</v>
      </c>
      <c r="I1579" s="57"/>
      <c r="J1579" s="57"/>
      <c r="K1579" s="57"/>
      <c r="L1579" s="57"/>
      <c r="M1579" s="58"/>
      <c r="N1579" s="57"/>
      <c r="O1579" s="57"/>
      <c r="P1579" s="57"/>
      <c r="Q1579" s="57"/>
      <c r="R1579" s="57"/>
      <c r="S1579" s="61"/>
      <c r="T1579" s="57"/>
      <c r="U1579" s="57"/>
      <c r="V1579" s="57"/>
      <c r="W1579" s="57"/>
      <c r="X1579" s="57"/>
      <c r="Y1579" s="57"/>
      <c r="Z1579" s="57"/>
      <c r="AA1579" s="57"/>
      <c r="AB1579" s="57"/>
      <c r="AC1579" s="57"/>
      <c r="AD1579" s="57"/>
      <c r="AE1579" s="57"/>
      <c r="AF1579" s="57"/>
      <c r="AG1579" s="57"/>
      <c r="AH1579" s="57"/>
      <c r="AI1579" s="57"/>
      <c r="AJ1579" s="57"/>
      <c r="AK1579" s="57"/>
      <c r="AL1579" s="57"/>
      <c r="AM1579" s="57"/>
      <c r="AN1579" s="57"/>
      <c r="AO1579" s="57"/>
      <c r="AP1579" s="57"/>
      <c r="AQ1579" s="57"/>
      <c r="AR1579" s="57"/>
      <c r="AS1579" s="57"/>
      <c r="AT1579" s="57"/>
      <c r="AU1579" s="57"/>
      <c r="AV1579" s="57"/>
      <c r="AW1579" s="57"/>
      <c r="AX1579" s="57"/>
      <c r="AY1579" s="57"/>
      <c r="AZ1579" s="57"/>
      <c r="BA1579" s="57"/>
      <c r="BB1579" s="57"/>
      <c r="BC1579" s="57"/>
      <c r="BD1579" s="57"/>
      <c r="BE1579" s="57"/>
      <c r="BF1579" s="57"/>
    </row>
    <row r="1580" spans="1:58" s="59" customFormat="1" x14ac:dyDescent="0.25">
      <c r="A1580" s="53"/>
      <c r="B1580" s="60"/>
      <c r="C1580" s="57">
        <f t="shared" si="120"/>
        <v>0</v>
      </c>
      <c r="D1580" s="56"/>
      <c r="E1580" s="57">
        <f>[1]DETAY!$A$2</f>
        <v>0</v>
      </c>
      <c r="F1580" s="90">
        <f t="shared" si="121"/>
        <v>0</v>
      </c>
      <c r="G1580" s="92">
        <f t="shared" si="122"/>
        <v>0</v>
      </c>
      <c r="H1580" s="62" t="e">
        <f t="shared" si="123"/>
        <v>#DIV/0!</v>
      </c>
      <c r="I1580" s="57"/>
      <c r="J1580" s="57"/>
      <c r="K1580" s="57"/>
      <c r="L1580" s="57"/>
      <c r="M1580" s="58"/>
      <c r="N1580" s="57"/>
      <c r="O1580" s="57"/>
      <c r="P1580" s="57"/>
      <c r="Q1580" s="57"/>
      <c r="R1580" s="57"/>
      <c r="S1580" s="61"/>
      <c r="T1580" s="57"/>
      <c r="U1580" s="57"/>
      <c r="V1580" s="57"/>
      <c r="W1580" s="57"/>
      <c r="X1580" s="57"/>
      <c r="Y1580" s="57"/>
      <c r="Z1580" s="57"/>
      <c r="AA1580" s="57"/>
      <c r="AB1580" s="57"/>
      <c r="AC1580" s="57"/>
      <c r="AD1580" s="57"/>
      <c r="AE1580" s="57"/>
      <c r="AF1580" s="57"/>
      <c r="AG1580" s="57"/>
      <c r="AH1580" s="57"/>
      <c r="AI1580" s="57"/>
      <c r="AJ1580" s="57"/>
      <c r="AK1580" s="57"/>
      <c r="AL1580" s="57"/>
      <c r="AM1580" s="57"/>
      <c r="AN1580" s="57"/>
      <c r="AO1580" s="57"/>
      <c r="AP1580" s="57"/>
      <c r="AQ1580" s="57"/>
      <c r="AR1580" s="57"/>
      <c r="AS1580" s="57"/>
      <c r="AT1580" s="57"/>
      <c r="AU1580" s="57"/>
      <c r="AV1580" s="57"/>
      <c r="AW1580" s="57"/>
      <c r="AX1580" s="57"/>
      <c r="AY1580" s="57"/>
      <c r="AZ1580" s="57"/>
      <c r="BA1580" s="57"/>
      <c r="BB1580" s="57"/>
      <c r="BC1580" s="57"/>
      <c r="BD1580" s="57"/>
      <c r="BE1580" s="57"/>
      <c r="BF1580" s="57"/>
    </row>
    <row r="1581" spans="1:58" s="59" customFormat="1" x14ac:dyDescent="0.25">
      <c r="A1581" s="53"/>
      <c r="B1581" s="60"/>
      <c r="C1581" s="57">
        <f t="shared" si="120"/>
        <v>0</v>
      </c>
      <c r="D1581" s="56"/>
      <c r="E1581" s="57">
        <f>[1]DETAY!$A$2</f>
        <v>0</v>
      </c>
      <c r="F1581" s="90">
        <f t="shared" si="121"/>
        <v>0</v>
      </c>
      <c r="G1581" s="92">
        <f t="shared" si="122"/>
        <v>0</v>
      </c>
      <c r="H1581" s="62" t="e">
        <f t="shared" si="123"/>
        <v>#DIV/0!</v>
      </c>
      <c r="I1581" s="57"/>
      <c r="J1581" s="57"/>
      <c r="K1581" s="57"/>
      <c r="L1581" s="57"/>
      <c r="M1581" s="58"/>
      <c r="N1581" s="57"/>
      <c r="O1581" s="57"/>
      <c r="P1581" s="57"/>
      <c r="Q1581" s="57"/>
      <c r="R1581" s="57"/>
      <c r="S1581" s="61"/>
      <c r="T1581" s="57"/>
      <c r="U1581" s="57"/>
      <c r="V1581" s="57"/>
      <c r="W1581" s="57"/>
      <c r="X1581" s="57"/>
      <c r="Y1581" s="57"/>
      <c r="Z1581" s="57"/>
      <c r="AA1581" s="57"/>
      <c r="AB1581" s="57"/>
      <c r="AC1581" s="57"/>
      <c r="AD1581" s="57"/>
      <c r="AE1581" s="57"/>
      <c r="AF1581" s="57"/>
      <c r="AG1581" s="57"/>
      <c r="AH1581" s="57"/>
      <c r="AI1581" s="57"/>
      <c r="AJ1581" s="57"/>
      <c r="AK1581" s="57"/>
      <c r="AL1581" s="57"/>
      <c r="AM1581" s="57"/>
      <c r="AN1581" s="57"/>
      <c r="AO1581" s="57"/>
      <c r="AP1581" s="57"/>
      <c r="AQ1581" s="57"/>
      <c r="AR1581" s="57"/>
      <c r="AS1581" s="57"/>
      <c r="AT1581" s="57"/>
      <c r="AU1581" s="57"/>
      <c r="AV1581" s="57"/>
      <c r="AW1581" s="57"/>
      <c r="AX1581" s="57"/>
      <c r="AY1581" s="57"/>
      <c r="AZ1581" s="57"/>
      <c r="BA1581" s="57"/>
      <c r="BB1581" s="57"/>
      <c r="BC1581" s="57"/>
      <c r="BD1581" s="57"/>
      <c r="BE1581" s="57"/>
      <c r="BF1581" s="57"/>
    </row>
    <row r="1582" spans="1:58" s="59" customFormat="1" x14ac:dyDescent="0.25">
      <c r="A1582" s="53"/>
      <c r="B1582" s="60"/>
      <c r="C1582" s="57">
        <f t="shared" si="120"/>
        <v>0</v>
      </c>
      <c r="D1582" s="56"/>
      <c r="E1582" s="57">
        <f>[1]DETAY!$A$2</f>
        <v>0</v>
      </c>
      <c r="F1582" s="90">
        <f t="shared" si="121"/>
        <v>0</v>
      </c>
      <c r="G1582" s="92">
        <f t="shared" si="122"/>
        <v>0</v>
      </c>
      <c r="H1582" s="62" t="e">
        <f t="shared" si="123"/>
        <v>#DIV/0!</v>
      </c>
      <c r="I1582" s="57"/>
      <c r="J1582" s="57"/>
      <c r="K1582" s="57"/>
      <c r="L1582" s="57"/>
      <c r="M1582" s="58"/>
      <c r="N1582" s="57"/>
      <c r="O1582" s="57"/>
      <c r="P1582" s="57"/>
      <c r="Q1582" s="57"/>
      <c r="R1582" s="57"/>
      <c r="S1582" s="61"/>
      <c r="T1582" s="57"/>
      <c r="U1582" s="57"/>
      <c r="V1582" s="57"/>
      <c r="W1582" s="57"/>
      <c r="X1582" s="57"/>
      <c r="Y1582" s="57"/>
      <c r="Z1582" s="57"/>
      <c r="AA1582" s="57"/>
      <c r="AB1582" s="57"/>
      <c r="AC1582" s="57"/>
      <c r="AD1582" s="57"/>
      <c r="AE1582" s="57"/>
      <c r="AF1582" s="57"/>
      <c r="AG1582" s="57"/>
      <c r="AH1582" s="57"/>
      <c r="AI1582" s="57"/>
      <c r="AJ1582" s="57"/>
      <c r="AK1582" s="57"/>
      <c r="AL1582" s="57"/>
      <c r="AM1582" s="57"/>
      <c r="AN1582" s="57"/>
      <c r="AO1582" s="57"/>
      <c r="AP1582" s="57"/>
      <c r="AQ1582" s="57"/>
      <c r="AR1582" s="57"/>
      <c r="AS1582" s="57"/>
      <c r="AT1582" s="57"/>
      <c r="AU1582" s="57"/>
      <c r="AV1582" s="57"/>
      <c r="AW1582" s="57"/>
      <c r="AX1582" s="57"/>
      <c r="AY1582" s="57"/>
      <c r="AZ1582" s="57"/>
      <c r="BA1582" s="57"/>
      <c r="BB1582" s="57"/>
      <c r="BC1582" s="57"/>
      <c r="BD1582" s="57"/>
      <c r="BE1582" s="57"/>
      <c r="BF1582" s="57"/>
    </row>
    <row r="1583" spans="1:58" s="59" customFormat="1" x14ac:dyDescent="0.25">
      <c r="A1583" s="53"/>
      <c r="B1583" s="60"/>
      <c r="C1583" s="57">
        <f t="shared" si="120"/>
        <v>0</v>
      </c>
      <c r="D1583" s="56"/>
      <c r="E1583" s="57">
        <f>[1]DETAY!$A$2</f>
        <v>0</v>
      </c>
      <c r="F1583" s="90">
        <f t="shared" si="121"/>
        <v>0</v>
      </c>
      <c r="G1583" s="92">
        <f t="shared" si="122"/>
        <v>0</v>
      </c>
      <c r="H1583" s="62" t="e">
        <f t="shared" si="123"/>
        <v>#DIV/0!</v>
      </c>
      <c r="I1583" s="57"/>
      <c r="J1583" s="57"/>
      <c r="K1583" s="57"/>
      <c r="L1583" s="57"/>
      <c r="M1583" s="58"/>
      <c r="N1583" s="57"/>
      <c r="O1583" s="57"/>
      <c r="P1583" s="57"/>
      <c r="Q1583" s="57"/>
      <c r="R1583" s="57"/>
      <c r="S1583" s="61"/>
      <c r="T1583" s="57"/>
      <c r="U1583" s="57"/>
      <c r="V1583" s="57"/>
      <c r="W1583" s="57"/>
      <c r="X1583" s="57"/>
      <c r="Y1583" s="57"/>
      <c r="Z1583" s="57"/>
      <c r="AA1583" s="57"/>
      <c r="AB1583" s="57"/>
      <c r="AC1583" s="57"/>
      <c r="AD1583" s="57"/>
      <c r="AE1583" s="57"/>
      <c r="AF1583" s="57"/>
      <c r="AG1583" s="57"/>
      <c r="AH1583" s="57"/>
      <c r="AI1583" s="57"/>
      <c r="AJ1583" s="57"/>
      <c r="AK1583" s="57"/>
      <c r="AL1583" s="57"/>
      <c r="AM1583" s="57"/>
      <c r="AN1583" s="57"/>
      <c r="AO1583" s="57"/>
      <c r="AP1583" s="57"/>
      <c r="AQ1583" s="57"/>
      <c r="AR1583" s="57"/>
      <c r="AS1583" s="57"/>
      <c r="AT1583" s="57"/>
      <c r="AU1583" s="57"/>
      <c r="AV1583" s="57"/>
      <c r="AW1583" s="57"/>
      <c r="AX1583" s="57"/>
      <c r="AY1583" s="57"/>
      <c r="AZ1583" s="57"/>
      <c r="BA1583" s="57"/>
      <c r="BB1583" s="57"/>
      <c r="BC1583" s="57"/>
      <c r="BD1583" s="57"/>
      <c r="BE1583" s="57"/>
      <c r="BF1583" s="57"/>
    </row>
    <row r="1584" spans="1:58" s="59" customFormat="1" x14ac:dyDescent="0.25">
      <c r="A1584" s="53"/>
      <c r="B1584" s="60"/>
      <c r="C1584" s="57">
        <f t="shared" si="120"/>
        <v>0</v>
      </c>
      <c r="D1584" s="56"/>
      <c r="E1584" s="57">
        <f>[1]DETAY!$A$2</f>
        <v>0</v>
      </c>
      <c r="F1584" s="90">
        <f t="shared" si="121"/>
        <v>0</v>
      </c>
      <c r="G1584" s="92">
        <f t="shared" si="122"/>
        <v>0</v>
      </c>
      <c r="H1584" s="62" t="e">
        <f t="shared" si="123"/>
        <v>#DIV/0!</v>
      </c>
      <c r="I1584" s="57"/>
      <c r="J1584" s="57"/>
      <c r="K1584" s="57"/>
      <c r="L1584" s="57"/>
      <c r="M1584" s="58"/>
      <c r="N1584" s="57"/>
      <c r="O1584" s="57"/>
      <c r="P1584" s="57"/>
      <c r="Q1584" s="57"/>
      <c r="R1584" s="57"/>
      <c r="S1584" s="61"/>
      <c r="T1584" s="57"/>
      <c r="U1584" s="57"/>
      <c r="V1584" s="57"/>
      <c r="W1584" s="57"/>
      <c r="X1584" s="57"/>
      <c r="Y1584" s="57"/>
      <c r="Z1584" s="57"/>
      <c r="AA1584" s="57"/>
      <c r="AB1584" s="57"/>
      <c r="AC1584" s="57"/>
      <c r="AD1584" s="57"/>
      <c r="AE1584" s="57"/>
      <c r="AF1584" s="57"/>
      <c r="AG1584" s="57"/>
      <c r="AH1584" s="57"/>
      <c r="AI1584" s="57"/>
      <c r="AJ1584" s="57"/>
      <c r="AK1584" s="57"/>
      <c r="AL1584" s="57"/>
      <c r="AM1584" s="57"/>
      <c r="AN1584" s="57"/>
      <c r="AO1584" s="57"/>
      <c r="AP1584" s="57"/>
      <c r="AQ1584" s="57"/>
      <c r="AR1584" s="57"/>
      <c r="AS1584" s="57"/>
      <c r="AT1584" s="57"/>
      <c r="AU1584" s="57"/>
      <c r="AV1584" s="57"/>
      <c r="AW1584" s="57"/>
      <c r="AX1584" s="57"/>
      <c r="AY1584" s="57"/>
      <c r="AZ1584" s="57"/>
      <c r="BA1584" s="57"/>
      <c r="BB1584" s="57"/>
      <c r="BC1584" s="57"/>
      <c r="BD1584" s="57"/>
      <c r="BE1584" s="57"/>
      <c r="BF1584" s="57"/>
    </row>
    <row r="1585" spans="1:58" s="59" customFormat="1" x14ac:dyDescent="0.25">
      <c r="A1585" s="53"/>
      <c r="B1585" s="60"/>
      <c r="C1585" s="57">
        <f t="shared" si="120"/>
        <v>0</v>
      </c>
      <c r="D1585" s="56"/>
      <c r="E1585" s="57">
        <f>[1]DETAY!$A$2</f>
        <v>0</v>
      </c>
      <c r="F1585" s="90">
        <f t="shared" si="121"/>
        <v>0</v>
      </c>
      <c r="G1585" s="92">
        <f t="shared" si="122"/>
        <v>0</v>
      </c>
      <c r="H1585" s="62" t="e">
        <f t="shared" si="123"/>
        <v>#DIV/0!</v>
      </c>
      <c r="I1585" s="57"/>
      <c r="J1585" s="57"/>
      <c r="K1585" s="57"/>
      <c r="L1585" s="57"/>
      <c r="M1585" s="58"/>
      <c r="N1585" s="57"/>
      <c r="O1585" s="57"/>
      <c r="P1585" s="57"/>
      <c r="Q1585" s="57"/>
      <c r="R1585" s="57"/>
      <c r="S1585" s="61"/>
      <c r="T1585" s="57"/>
      <c r="U1585" s="57"/>
      <c r="V1585" s="57"/>
      <c r="W1585" s="57"/>
      <c r="X1585" s="57"/>
      <c r="Y1585" s="57"/>
      <c r="Z1585" s="57"/>
      <c r="AA1585" s="57"/>
      <c r="AB1585" s="57"/>
      <c r="AC1585" s="57"/>
      <c r="AD1585" s="57"/>
      <c r="AE1585" s="57"/>
      <c r="AF1585" s="57"/>
      <c r="AG1585" s="57"/>
      <c r="AH1585" s="57"/>
      <c r="AI1585" s="57"/>
      <c r="AJ1585" s="57"/>
      <c r="AK1585" s="57"/>
      <c r="AL1585" s="57"/>
      <c r="AM1585" s="57"/>
      <c r="AN1585" s="57"/>
      <c r="AO1585" s="57"/>
      <c r="AP1585" s="57"/>
      <c r="AQ1585" s="57"/>
      <c r="AR1585" s="57"/>
      <c r="AS1585" s="57"/>
      <c r="AT1585" s="57"/>
      <c r="AU1585" s="57"/>
      <c r="AV1585" s="57"/>
      <c r="AW1585" s="57"/>
      <c r="AX1585" s="57"/>
      <c r="AY1585" s="57"/>
      <c r="AZ1585" s="57"/>
      <c r="BA1585" s="57"/>
      <c r="BB1585" s="57"/>
      <c r="BC1585" s="57"/>
      <c r="BD1585" s="57"/>
      <c r="BE1585" s="57"/>
      <c r="BF1585" s="57"/>
    </row>
    <row r="1586" spans="1:58" s="59" customFormat="1" x14ac:dyDescent="0.25">
      <c r="A1586" s="53"/>
      <c r="B1586" s="60"/>
      <c r="C1586" s="57">
        <f t="shared" si="120"/>
        <v>0</v>
      </c>
      <c r="D1586" s="56"/>
      <c r="E1586" s="57">
        <f>[1]DETAY!$A$2</f>
        <v>0</v>
      </c>
      <c r="F1586" s="90">
        <f t="shared" si="121"/>
        <v>0</v>
      </c>
      <c r="G1586" s="92">
        <f t="shared" si="122"/>
        <v>0</v>
      </c>
      <c r="H1586" s="62" t="e">
        <f t="shared" si="123"/>
        <v>#DIV/0!</v>
      </c>
      <c r="I1586" s="57"/>
      <c r="J1586" s="57"/>
      <c r="K1586" s="57"/>
      <c r="L1586" s="57"/>
      <c r="M1586" s="58"/>
      <c r="N1586" s="57"/>
      <c r="O1586" s="57"/>
      <c r="P1586" s="57"/>
      <c r="Q1586" s="57"/>
      <c r="R1586" s="57"/>
      <c r="S1586" s="61"/>
      <c r="T1586" s="57"/>
      <c r="U1586" s="57"/>
      <c r="V1586" s="57"/>
      <c r="W1586" s="57"/>
      <c r="X1586" s="57"/>
      <c r="Y1586" s="57"/>
      <c r="Z1586" s="57"/>
      <c r="AA1586" s="57"/>
      <c r="AB1586" s="57"/>
      <c r="AC1586" s="57"/>
      <c r="AD1586" s="57"/>
      <c r="AE1586" s="57"/>
      <c r="AF1586" s="57"/>
      <c r="AG1586" s="57"/>
      <c r="AH1586" s="57"/>
      <c r="AI1586" s="57"/>
      <c r="AJ1586" s="57"/>
      <c r="AK1586" s="57"/>
      <c r="AL1586" s="57"/>
      <c r="AM1586" s="57"/>
      <c r="AN1586" s="57"/>
      <c r="AO1586" s="57"/>
      <c r="AP1586" s="57"/>
      <c r="AQ1586" s="57"/>
      <c r="AR1586" s="57"/>
      <c r="AS1586" s="57"/>
      <c r="AT1586" s="57"/>
      <c r="AU1586" s="57"/>
      <c r="AV1586" s="57"/>
      <c r="AW1586" s="57"/>
      <c r="AX1586" s="57"/>
      <c r="AY1586" s="57"/>
      <c r="AZ1586" s="57"/>
      <c r="BA1586" s="57"/>
      <c r="BB1586" s="57"/>
      <c r="BC1586" s="57"/>
      <c r="BD1586" s="57"/>
      <c r="BE1586" s="57"/>
      <c r="BF1586" s="57"/>
    </row>
    <row r="1587" spans="1:58" s="59" customFormat="1" x14ac:dyDescent="0.25">
      <c r="A1587" s="53"/>
      <c r="B1587" s="60"/>
      <c r="C1587" s="57">
        <f t="shared" si="120"/>
        <v>0</v>
      </c>
      <c r="D1587" s="56"/>
      <c r="E1587" s="57">
        <f>[1]DETAY!$A$2</f>
        <v>0</v>
      </c>
      <c r="F1587" s="90">
        <f t="shared" si="121"/>
        <v>0</v>
      </c>
      <c r="G1587" s="92">
        <f t="shared" si="122"/>
        <v>0</v>
      </c>
      <c r="H1587" s="62" t="e">
        <f t="shared" si="123"/>
        <v>#DIV/0!</v>
      </c>
      <c r="I1587" s="57"/>
      <c r="J1587" s="57"/>
      <c r="K1587" s="57"/>
      <c r="L1587" s="57"/>
      <c r="M1587" s="58"/>
      <c r="N1587" s="57"/>
      <c r="O1587" s="57"/>
      <c r="P1587" s="57"/>
      <c r="Q1587" s="57"/>
      <c r="R1587" s="57"/>
      <c r="S1587" s="61"/>
      <c r="T1587" s="57"/>
      <c r="U1587" s="57"/>
      <c r="V1587" s="57"/>
      <c r="W1587" s="57"/>
      <c r="X1587" s="57"/>
      <c r="Y1587" s="57"/>
      <c r="Z1587" s="57"/>
      <c r="AA1587" s="57"/>
      <c r="AB1587" s="57"/>
      <c r="AC1587" s="57"/>
      <c r="AD1587" s="57"/>
      <c r="AE1587" s="57"/>
      <c r="AF1587" s="57"/>
      <c r="AG1587" s="57"/>
      <c r="AH1587" s="57"/>
      <c r="AI1587" s="57"/>
      <c r="AJ1587" s="57"/>
      <c r="AK1587" s="57"/>
      <c r="AL1587" s="57"/>
      <c r="AM1587" s="57"/>
      <c r="AN1587" s="57"/>
      <c r="AO1587" s="57"/>
      <c r="AP1587" s="57"/>
      <c r="AQ1587" s="57"/>
      <c r="AR1587" s="57"/>
      <c r="AS1587" s="57"/>
      <c r="AT1587" s="57"/>
      <c r="AU1587" s="57"/>
      <c r="AV1587" s="57"/>
      <c r="AW1587" s="57"/>
      <c r="AX1587" s="57"/>
      <c r="AY1587" s="57"/>
      <c r="AZ1587" s="57"/>
      <c r="BA1587" s="57"/>
      <c r="BB1587" s="57"/>
      <c r="BC1587" s="57"/>
      <c r="BD1587" s="57"/>
      <c r="BE1587" s="57"/>
      <c r="BF1587" s="57"/>
    </row>
    <row r="1588" spans="1:58" s="52" customFormat="1" x14ac:dyDescent="0.25">
      <c r="A1588" s="53"/>
      <c r="B1588" s="60"/>
      <c r="C1588" s="57">
        <f t="shared" si="120"/>
        <v>0</v>
      </c>
      <c r="D1588" s="56"/>
      <c r="E1588" s="57">
        <f>[1]DETAY!$A$2</f>
        <v>0</v>
      </c>
      <c r="F1588" s="90">
        <f t="shared" si="121"/>
        <v>0</v>
      </c>
      <c r="G1588" s="92">
        <f t="shared" si="122"/>
        <v>0</v>
      </c>
      <c r="H1588" s="62" t="e">
        <f t="shared" si="123"/>
        <v>#DIV/0!</v>
      </c>
      <c r="I1588" s="57"/>
      <c r="J1588" s="57"/>
      <c r="K1588" s="57"/>
      <c r="L1588" s="57"/>
      <c r="M1588" s="58"/>
      <c r="N1588" s="57"/>
      <c r="O1588" s="57"/>
      <c r="P1588" s="57"/>
      <c r="Q1588" s="57"/>
      <c r="R1588" s="57"/>
      <c r="S1588" s="61"/>
      <c r="T1588" s="57"/>
      <c r="U1588" s="57"/>
      <c r="V1588" s="57"/>
      <c r="W1588" s="57"/>
      <c r="X1588" s="57"/>
      <c r="Y1588" s="57"/>
      <c r="Z1588" s="57"/>
      <c r="AA1588" s="57"/>
      <c r="AB1588" s="57"/>
      <c r="AC1588" s="57"/>
      <c r="AD1588" s="57"/>
      <c r="AE1588" s="57"/>
      <c r="AF1588" s="57"/>
      <c r="AG1588" s="57"/>
      <c r="AH1588" s="57"/>
      <c r="AI1588" s="57"/>
      <c r="AJ1588" s="57"/>
      <c r="AK1588" s="57"/>
      <c r="AL1588" s="57"/>
      <c r="AM1588" s="57"/>
      <c r="AN1588" s="57"/>
      <c r="AO1588" s="57"/>
      <c r="AP1588" s="57"/>
      <c r="AQ1588" s="57"/>
      <c r="AR1588" s="57"/>
      <c r="AS1588" s="57"/>
      <c r="AT1588" s="57"/>
      <c r="AU1588" s="57"/>
      <c r="AV1588" s="57"/>
      <c r="AW1588" s="57"/>
      <c r="AX1588" s="57"/>
      <c r="AY1588" s="57"/>
      <c r="AZ1588" s="57"/>
      <c r="BA1588" s="57"/>
      <c r="BB1588" s="57"/>
      <c r="BC1588" s="57"/>
      <c r="BD1588" s="57"/>
      <c r="BE1588" s="57"/>
      <c r="BF1588" s="57"/>
    </row>
    <row r="1589" spans="1:58" s="52" customFormat="1" x14ac:dyDescent="0.25">
      <c r="A1589" s="53"/>
      <c r="B1589" s="60"/>
      <c r="C1589" s="57">
        <f t="shared" si="120"/>
        <v>0</v>
      </c>
      <c r="D1589" s="56"/>
      <c r="E1589" s="57">
        <f>[1]DETAY!$A$2</f>
        <v>0</v>
      </c>
      <c r="F1589" s="90">
        <f t="shared" si="121"/>
        <v>0</v>
      </c>
      <c r="G1589" s="92">
        <f t="shared" si="122"/>
        <v>0</v>
      </c>
      <c r="H1589" s="62" t="e">
        <f t="shared" si="123"/>
        <v>#DIV/0!</v>
      </c>
      <c r="I1589" s="57"/>
      <c r="J1589" s="57"/>
      <c r="K1589" s="57"/>
      <c r="L1589" s="57"/>
      <c r="M1589" s="58"/>
      <c r="N1589" s="57"/>
      <c r="O1589" s="57"/>
      <c r="P1589" s="57"/>
      <c r="Q1589" s="57"/>
      <c r="R1589" s="57"/>
      <c r="S1589" s="61"/>
      <c r="T1589" s="57"/>
      <c r="U1589" s="57"/>
      <c r="V1589" s="57"/>
      <c r="W1589" s="57"/>
      <c r="X1589" s="57"/>
      <c r="Y1589" s="57"/>
      <c r="Z1589" s="57"/>
      <c r="AA1589" s="57"/>
      <c r="AB1589" s="57"/>
      <c r="AC1589" s="57"/>
      <c r="AD1589" s="57"/>
      <c r="AE1589" s="57"/>
      <c r="AF1589" s="57"/>
      <c r="AG1589" s="57"/>
      <c r="AH1589" s="57"/>
      <c r="AI1589" s="57"/>
      <c r="AJ1589" s="57"/>
      <c r="AK1589" s="57"/>
      <c r="AL1589" s="57"/>
      <c r="AM1589" s="57"/>
      <c r="AN1589" s="57"/>
      <c r="AO1589" s="57"/>
      <c r="AP1589" s="57"/>
      <c r="AQ1589" s="57"/>
      <c r="AR1589" s="57"/>
      <c r="AS1589" s="57"/>
      <c r="AT1589" s="57"/>
      <c r="AU1589" s="57"/>
      <c r="AV1589" s="57"/>
      <c r="AW1589" s="57"/>
      <c r="AX1589" s="57"/>
      <c r="AY1589" s="57"/>
      <c r="AZ1589" s="57"/>
      <c r="BA1589" s="57"/>
      <c r="BB1589" s="57"/>
      <c r="BC1589" s="57"/>
      <c r="BD1589" s="57"/>
      <c r="BE1589" s="57"/>
      <c r="BF1589" s="57"/>
    </row>
    <row r="1590" spans="1:58" s="52" customFormat="1" x14ac:dyDescent="0.25">
      <c r="A1590" s="53"/>
      <c r="B1590" s="60"/>
      <c r="C1590" s="57">
        <f t="shared" si="120"/>
        <v>0</v>
      </c>
      <c r="D1590" s="56"/>
      <c r="E1590" s="57">
        <f>[1]DETAY!$A$2</f>
        <v>0</v>
      </c>
      <c r="F1590" s="90">
        <f t="shared" si="121"/>
        <v>0</v>
      </c>
      <c r="G1590" s="92">
        <f t="shared" si="122"/>
        <v>0</v>
      </c>
      <c r="H1590" s="62" t="e">
        <f t="shared" si="123"/>
        <v>#DIV/0!</v>
      </c>
      <c r="I1590" s="57"/>
      <c r="J1590" s="57"/>
      <c r="K1590" s="57"/>
      <c r="L1590" s="57"/>
      <c r="M1590" s="58"/>
      <c r="N1590" s="57"/>
      <c r="O1590" s="57"/>
      <c r="P1590" s="57"/>
      <c r="Q1590" s="57"/>
      <c r="R1590" s="57"/>
      <c r="S1590" s="61"/>
      <c r="T1590" s="57"/>
      <c r="U1590" s="57"/>
      <c r="V1590" s="57"/>
      <c r="W1590" s="57"/>
      <c r="X1590" s="57"/>
      <c r="Y1590" s="57"/>
      <c r="Z1590" s="57"/>
      <c r="AA1590" s="57"/>
      <c r="AB1590" s="57"/>
      <c r="AC1590" s="57"/>
      <c r="AD1590" s="57"/>
      <c r="AE1590" s="57"/>
      <c r="AF1590" s="57"/>
      <c r="AG1590" s="57"/>
      <c r="AH1590" s="57"/>
      <c r="AI1590" s="57"/>
      <c r="AJ1590" s="57"/>
      <c r="AK1590" s="57"/>
      <c r="AL1590" s="57"/>
      <c r="AM1590" s="57"/>
      <c r="AN1590" s="57"/>
      <c r="AO1590" s="57"/>
      <c r="AP1590" s="57"/>
      <c r="AQ1590" s="57"/>
      <c r="AR1590" s="57"/>
      <c r="AS1590" s="57"/>
      <c r="AT1590" s="57"/>
      <c r="AU1590" s="57"/>
      <c r="AV1590" s="57"/>
      <c r="AW1590" s="57"/>
      <c r="AX1590" s="57"/>
      <c r="AY1590" s="57"/>
      <c r="AZ1590" s="57"/>
      <c r="BA1590" s="57"/>
      <c r="BB1590" s="57"/>
      <c r="BC1590" s="57"/>
      <c r="BD1590" s="57"/>
      <c r="BE1590" s="57"/>
      <c r="BF1590" s="57"/>
    </row>
    <row r="1591" spans="1:58" s="52" customFormat="1" x14ac:dyDescent="0.25">
      <c r="A1591" s="53"/>
      <c r="B1591" s="60"/>
      <c r="C1591" s="57">
        <f t="shared" si="120"/>
        <v>0</v>
      </c>
      <c r="D1591" s="56"/>
      <c r="E1591" s="57">
        <f>[1]DETAY!$A$2</f>
        <v>0</v>
      </c>
      <c r="F1591" s="90">
        <f t="shared" si="121"/>
        <v>0</v>
      </c>
      <c r="G1591" s="92">
        <f t="shared" si="122"/>
        <v>0</v>
      </c>
      <c r="H1591" s="62" t="e">
        <f t="shared" si="123"/>
        <v>#DIV/0!</v>
      </c>
      <c r="I1591" s="57"/>
      <c r="J1591" s="57"/>
      <c r="K1591" s="57"/>
      <c r="L1591" s="57"/>
      <c r="M1591" s="58"/>
      <c r="N1591" s="57"/>
      <c r="O1591" s="57"/>
      <c r="P1591" s="57"/>
      <c r="Q1591" s="57"/>
      <c r="R1591" s="57"/>
      <c r="S1591" s="61"/>
      <c r="T1591" s="57"/>
      <c r="U1591" s="57"/>
      <c r="V1591" s="57"/>
      <c r="W1591" s="57"/>
      <c r="X1591" s="57"/>
      <c r="Y1591" s="57"/>
      <c r="Z1591" s="57"/>
      <c r="AA1591" s="57"/>
      <c r="AB1591" s="57"/>
      <c r="AC1591" s="57"/>
      <c r="AD1591" s="57"/>
      <c r="AE1591" s="57"/>
      <c r="AF1591" s="57"/>
      <c r="AG1591" s="57"/>
      <c r="AH1591" s="57"/>
      <c r="AI1591" s="57"/>
      <c r="AJ1591" s="57"/>
      <c r="AK1591" s="57"/>
      <c r="AL1591" s="57"/>
      <c r="AM1591" s="57"/>
      <c r="AN1591" s="57"/>
      <c r="AO1591" s="57"/>
      <c r="AP1591" s="57"/>
      <c r="AQ1591" s="57"/>
      <c r="AR1591" s="57"/>
      <c r="AS1591" s="57"/>
      <c r="AT1591" s="57"/>
      <c r="AU1591" s="57"/>
      <c r="AV1591" s="57"/>
      <c r="AW1591" s="57"/>
      <c r="AX1591" s="57"/>
      <c r="AY1591" s="57"/>
      <c r="AZ1591" s="57"/>
      <c r="BA1591" s="57"/>
      <c r="BB1591" s="57"/>
      <c r="BC1591" s="57"/>
      <c r="BD1591" s="57"/>
      <c r="BE1591" s="57"/>
      <c r="BF1591" s="57"/>
    </row>
    <row r="1592" spans="1:58" s="52" customFormat="1" x14ac:dyDescent="0.25">
      <c r="A1592" s="53"/>
      <c r="B1592" s="60"/>
      <c r="C1592" s="57">
        <f t="shared" si="120"/>
        <v>0</v>
      </c>
      <c r="D1592" s="56"/>
      <c r="E1592" s="57">
        <f>[1]DETAY!$A$2</f>
        <v>0</v>
      </c>
      <c r="F1592" s="90">
        <f t="shared" si="121"/>
        <v>0</v>
      </c>
      <c r="G1592" s="92">
        <f t="shared" si="122"/>
        <v>0</v>
      </c>
      <c r="H1592" s="62" t="e">
        <f t="shared" si="123"/>
        <v>#DIV/0!</v>
      </c>
      <c r="I1592" s="57"/>
      <c r="J1592" s="57"/>
      <c r="K1592" s="57"/>
      <c r="L1592" s="57"/>
      <c r="M1592" s="58"/>
      <c r="N1592" s="57"/>
      <c r="O1592" s="57"/>
      <c r="P1592" s="57"/>
      <c r="Q1592" s="57"/>
      <c r="R1592" s="57"/>
      <c r="S1592" s="61"/>
      <c r="T1592" s="57"/>
      <c r="U1592" s="57"/>
      <c r="V1592" s="57"/>
      <c r="W1592" s="57"/>
      <c r="X1592" s="57"/>
      <c r="Y1592" s="57"/>
      <c r="Z1592" s="57"/>
      <c r="AA1592" s="57"/>
      <c r="AB1592" s="57"/>
      <c r="AC1592" s="57"/>
      <c r="AD1592" s="57"/>
      <c r="AE1592" s="57"/>
      <c r="AF1592" s="57"/>
      <c r="AG1592" s="57"/>
      <c r="AH1592" s="57"/>
      <c r="AI1592" s="57"/>
      <c r="AJ1592" s="57"/>
      <c r="AK1592" s="57"/>
      <c r="AL1592" s="57"/>
      <c r="AM1592" s="57"/>
      <c r="AN1592" s="57"/>
      <c r="AO1592" s="57"/>
      <c r="AP1592" s="57"/>
      <c r="AQ1592" s="57"/>
      <c r="AR1592" s="57"/>
      <c r="AS1592" s="57"/>
      <c r="AT1592" s="57"/>
      <c r="AU1592" s="57"/>
      <c r="AV1592" s="57"/>
      <c r="AW1592" s="57"/>
      <c r="AX1592" s="57"/>
      <c r="AY1592" s="57"/>
      <c r="AZ1592" s="57"/>
      <c r="BA1592" s="57"/>
      <c r="BB1592" s="57"/>
      <c r="BC1592" s="57"/>
      <c r="BD1592" s="57"/>
      <c r="BE1592" s="57"/>
      <c r="BF1592" s="57"/>
    </row>
    <row r="1593" spans="1:58" s="52" customFormat="1" x14ac:dyDescent="0.25">
      <c r="A1593" s="53"/>
      <c r="B1593" s="60"/>
      <c r="C1593" s="57">
        <f t="shared" si="120"/>
        <v>0</v>
      </c>
      <c r="D1593" s="56"/>
      <c r="E1593" s="57">
        <f>[1]DETAY!$A$2</f>
        <v>0</v>
      </c>
      <c r="F1593" s="90">
        <f t="shared" si="121"/>
        <v>0</v>
      </c>
      <c r="G1593" s="92">
        <f t="shared" si="122"/>
        <v>0</v>
      </c>
      <c r="H1593" s="62" t="e">
        <f t="shared" si="123"/>
        <v>#DIV/0!</v>
      </c>
      <c r="I1593" s="57"/>
      <c r="J1593" s="57"/>
      <c r="K1593" s="57"/>
      <c r="L1593" s="57"/>
      <c r="M1593" s="58"/>
      <c r="N1593" s="57"/>
      <c r="O1593" s="57"/>
      <c r="P1593" s="57"/>
      <c r="Q1593" s="57"/>
      <c r="R1593" s="57"/>
      <c r="S1593" s="61"/>
      <c r="T1593" s="57"/>
      <c r="U1593" s="57"/>
      <c r="V1593" s="57"/>
      <c r="W1593" s="57"/>
      <c r="X1593" s="57"/>
      <c r="Y1593" s="57"/>
      <c r="Z1593" s="57"/>
      <c r="AA1593" s="57"/>
      <c r="AB1593" s="57"/>
      <c r="AC1593" s="57"/>
      <c r="AD1593" s="57"/>
      <c r="AE1593" s="57"/>
      <c r="AF1593" s="57"/>
      <c r="AG1593" s="57"/>
      <c r="AH1593" s="57"/>
      <c r="AI1593" s="57"/>
      <c r="AJ1593" s="57"/>
      <c r="AK1593" s="57"/>
      <c r="AL1593" s="57"/>
      <c r="AM1593" s="57"/>
      <c r="AN1593" s="57"/>
      <c r="AO1593" s="57"/>
      <c r="AP1593" s="57"/>
      <c r="AQ1593" s="57"/>
      <c r="AR1593" s="57"/>
      <c r="AS1593" s="57"/>
      <c r="AT1593" s="57"/>
      <c r="AU1593" s="57"/>
      <c r="AV1593" s="57"/>
      <c r="AW1593" s="57"/>
      <c r="AX1593" s="57"/>
      <c r="AY1593" s="57"/>
      <c r="AZ1593" s="57"/>
      <c r="BA1593" s="57"/>
      <c r="BB1593" s="57"/>
      <c r="BC1593" s="57"/>
      <c r="BD1593" s="57"/>
      <c r="BE1593" s="57"/>
      <c r="BF1593" s="57"/>
    </row>
    <row r="1594" spans="1:58" s="52" customFormat="1" x14ac:dyDescent="0.25">
      <c r="A1594" s="53"/>
      <c r="B1594" s="60"/>
      <c r="C1594" s="57">
        <f t="shared" si="120"/>
        <v>0</v>
      </c>
      <c r="D1594" s="56"/>
      <c r="E1594" s="57">
        <f>[1]DETAY!$A$2</f>
        <v>0</v>
      </c>
      <c r="F1594" s="90">
        <f t="shared" si="121"/>
        <v>0</v>
      </c>
      <c r="G1594" s="92">
        <f t="shared" si="122"/>
        <v>0</v>
      </c>
      <c r="H1594" s="62" t="e">
        <f t="shared" si="123"/>
        <v>#DIV/0!</v>
      </c>
      <c r="I1594" s="57"/>
      <c r="J1594" s="57"/>
      <c r="K1594" s="57"/>
      <c r="L1594" s="57"/>
      <c r="M1594" s="58"/>
      <c r="N1594" s="57"/>
      <c r="O1594" s="57"/>
      <c r="P1594" s="57"/>
      <c r="Q1594" s="57"/>
      <c r="R1594" s="57"/>
      <c r="S1594" s="61"/>
      <c r="T1594" s="57"/>
      <c r="U1594" s="57"/>
      <c r="V1594" s="57"/>
      <c r="W1594" s="57"/>
      <c r="X1594" s="57"/>
      <c r="Y1594" s="57"/>
      <c r="Z1594" s="57"/>
      <c r="AA1594" s="57"/>
      <c r="AB1594" s="57"/>
      <c r="AC1594" s="57"/>
      <c r="AD1594" s="57"/>
      <c r="AE1594" s="57"/>
      <c r="AF1594" s="57"/>
      <c r="AG1594" s="57"/>
      <c r="AH1594" s="57"/>
      <c r="AI1594" s="57"/>
      <c r="AJ1594" s="57"/>
      <c r="AK1594" s="57"/>
      <c r="AL1594" s="57"/>
      <c r="AM1594" s="57"/>
      <c r="AN1594" s="57"/>
      <c r="AO1594" s="57"/>
      <c r="AP1594" s="57"/>
      <c r="AQ1594" s="57"/>
      <c r="AR1594" s="57"/>
      <c r="AS1594" s="57"/>
      <c r="AT1594" s="57"/>
      <c r="AU1594" s="57"/>
      <c r="AV1594" s="57"/>
      <c r="AW1594" s="57"/>
      <c r="AX1594" s="57"/>
      <c r="AY1594" s="57"/>
      <c r="AZ1594" s="57"/>
      <c r="BA1594" s="57"/>
      <c r="BB1594" s="57"/>
      <c r="BC1594" s="57"/>
      <c r="BD1594" s="57"/>
      <c r="BE1594" s="57"/>
      <c r="BF1594" s="57"/>
    </row>
    <row r="1595" spans="1:58" s="52" customFormat="1" x14ac:dyDescent="0.25">
      <c r="A1595" s="53"/>
      <c r="B1595" s="60"/>
      <c r="C1595" s="57">
        <f t="shared" si="120"/>
        <v>0</v>
      </c>
      <c r="D1595" s="56"/>
      <c r="E1595" s="57">
        <f>[1]DETAY!$A$2</f>
        <v>0</v>
      </c>
      <c r="F1595" s="90">
        <f t="shared" si="121"/>
        <v>0</v>
      </c>
      <c r="G1595" s="92">
        <f t="shared" si="122"/>
        <v>0</v>
      </c>
      <c r="H1595" s="62" t="e">
        <f t="shared" si="123"/>
        <v>#DIV/0!</v>
      </c>
      <c r="I1595" s="57"/>
      <c r="J1595" s="57"/>
      <c r="K1595" s="57"/>
      <c r="L1595" s="57"/>
      <c r="M1595" s="58"/>
      <c r="N1595" s="57"/>
      <c r="O1595" s="57"/>
      <c r="P1595" s="57"/>
      <c r="Q1595" s="57"/>
      <c r="R1595" s="57"/>
      <c r="S1595" s="61"/>
      <c r="T1595" s="57"/>
      <c r="U1595" s="57"/>
      <c r="V1595" s="57"/>
      <c r="W1595" s="57"/>
      <c r="X1595" s="57"/>
      <c r="Y1595" s="57"/>
      <c r="Z1595" s="57"/>
      <c r="AA1595" s="57"/>
      <c r="AB1595" s="57"/>
      <c r="AC1595" s="57"/>
      <c r="AD1595" s="57"/>
      <c r="AE1595" s="57"/>
      <c r="AF1595" s="57"/>
      <c r="AG1595" s="57"/>
      <c r="AH1595" s="57"/>
      <c r="AI1595" s="57"/>
      <c r="AJ1595" s="57"/>
      <c r="AK1595" s="57"/>
      <c r="AL1595" s="57"/>
      <c r="AM1595" s="57"/>
      <c r="AN1595" s="57"/>
      <c r="AO1595" s="57"/>
      <c r="AP1595" s="57"/>
      <c r="AQ1595" s="57"/>
      <c r="AR1595" s="57"/>
      <c r="AS1595" s="57"/>
      <c r="AT1595" s="57"/>
      <c r="AU1595" s="57"/>
      <c r="AV1595" s="57"/>
      <c r="AW1595" s="57"/>
      <c r="AX1595" s="57"/>
      <c r="AY1595" s="57"/>
      <c r="AZ1595" s="57"/>
      <c r="BA1595" s="57"/>
      <c r="BB1595" s="57"/>
      <c r="BC1595" s="57"/>
      <c r="BD1595" s="57"/>
      <c r="BE1595" s="57"/>
      <c r="BF1595" s="57"/>
    </row>
    <row r="1596" spans="1:58" s="52" customFormat="1" x14ac:dyDescent="0.25">
      <c r="A1596" s="53"/>
      <c r="B1596" s="60"/>
      <c r="C1596" s="57">
        <f t="shared" si="120"/>
        <v>0</v>
      </c>
      <c r="D1596" s="56"/>
      <c r="E1596" s="57">
        <f>[1]DETAY!$A$2</f>
        <v>0</v>
      </c>
      <c r="F1596" s="90">
        <f t="shared" si="121"/>
        <v>0</v>
      </c>
      <c r="G1596" s="92">
        <f t="shared" si="122"/>
        <v>0</v>
      </c>
      <c r="H1596" s="62" t="e">
        <f t="shared" si="123"/>
        <v>#DIV/0!</v>
      </c>
      <c r="I1596" s="57"/>
      <c r="J1596" s="57"/>
      <c r="K1596" s="57"/>
      <c r="L1596" s="57"/>
      <c r="M1596" s="58"/>
      <c r="N1596" s="57"/>
      <c r="O1596" s="57"/>
      <c r="P1596" s="57"/>
      <c r="Q1596" s="57"/>
      <c r="R1596" s="57"/>
      <c r="S1596" s="61"/>
      <c r="T1596" s="57"/>
      <c r="U1596" s="57"/>
      <c r="V1596" s="57"/>
      <c r="W1596" s="57"/>
      <c r="X1596" s="57"/>
      <c r="Y1596" s="57"/>
      <c r="Z1596" s="57"/>
      <c r="AA1596" s="57"/>
      <c r="AB1596" s="57"/>
      <c r="AC1596" s="57"/>
      <c r="AD1596" s="57"/>
      <c r="AE1596" s="57"/>
      <c r="AF1596" s="57"/>
      <c r="AG1596" s="57"/>
      <c r="AH1596" s="57"/>
      <c r="AI1596" s="57"/>
      <c r="AJ1596" s="57"/>
      <c r="AK1596" s="57"/>
      <c r="AL1596" s="57"/>
      <c r="AM1596" s="57"/>
      <c r="AN1596" s="57"/>
      <c r="AO1596" s="57"/>
      <c r="AP1596" s="57"/>
      <c r="AQ1596" s="57"/>
      <c r="AR1596" s="57"/>
      <c r="AS1596" s="57"/>
      <c r="AT1596" s="57"/>
      <c r="AU1596" s="57"/>
      <c r="AV1596" s="57"/>
      <c r="AW1596" s="57"/>
      <c r="AX1596" s="57"/>
      <c r="AY1596" s="57"/>
      <c r="AZ1596" s="57"/>
      <c r="BA1596" s="57"/>
      <c r="BB1596" s="57"/>
      <c r="BC1596" s="57"/>
      <c r="BD1596" s="57"/>
      <c r="BE1596" s="57"/>
      <c r="BF1596" s="57"/>
    </row>
    <row r="1597" spans="1:58" s="52" customFormat="1" x14ac:dyDescent="0.25">
      <c r="A1597" s="53"/>
      <c r="B1597" s="60"/>
      <c r="C1597" s="57">
        <f t="shared" si="120"/>
        <v>0</v>
      </c>
      <c r="D1597" s="56"/>
      <c r="E1597" s="57">
        <f>[1]DETAY!$A$2</f>
        <v>0</v>
      </c>
      <c r="F1597" s="90">
        <f t="shared" si="121"/>
        <v>0</v>
      </c>
      <c r="G1597" s="92">
        <f t="shared" si="122"/>
        <v>0</v>
      </c>
      <c r="H1597" s="62" t="e">
        <f t="shared" si="123"/>
        <v>#DIV/0!</v>
      </c>
      <c r="I1597" s="57"/>
      <c r="J1597" s="57"/>
      <c r="K1597" s="57"/>
      <c r="L1597" s="57"/>
      <c r="M1597" s="58"/>
      <c r="N1597" s="57"/>
      <c r="O1597" s="57"/>
      <c r="P1597" s="57"/>
      <c r="Q1597" s="57"/>
      <c r="R1597" s="57"/>
      <c r="S1597" s="61"/>
      <c r="T1597" s="57"/>
      <c r="U1597" s="57"/>
      <c r="V1597" s="57"/>
      <c r="W1597" s="57"/>
      <c r="X1597" s="57"/>
      <c r="Y1597" s="57"/>
      <c r="Z1597" s="57"/>
      <c r="AA1597" s="57"/>
      <c r="AB1597" s="57"/>
      <c r="AC1597" s="57"/>
      <c r="AD1597" s="57"/>
      <c r="AE1597" s="57"/>
      <c r="AF1597" s="57"/>
      <c r="AG1597" s="57"/>
      <c r="AH1597" s="57"/>
      <c r="AI1597" s="57"/>
      <c r="AJ1597" s="57"/>
      <c r="AK1597" s="57"/>
      <c r="AL1597" s="57"/>
      <c r="AM1597" s="57"/>
      <c r="AN1597" s="57"/>
      <c r="AO1597" s="57"/>
      <c r="AP1597" s="57"/>
      <c r="AQ1597" s="57"/>
      <c r="AR1597" s="57"/>
      <c r="AS1597" s="57"/>
      <c r="AT1597" s="57"/>
      <c r="AU1597" s="57"/>
      <c r="AV1597" s="57"/>
      <c r="AW1597" s="57"/>
      <c r="AX1597" s="57"/>
      <c r="AY1597" s="57"/>
      <c r="AZ1597" s="57"/>
      <c r="BA1597" s="57"/>
      <c r="BB1597" s="57"/>
      <c r="BC1597" s="57"/>
      <c r="BD1597" s="57"/>
      <c r="BE1597" s="57"/>
      <c r="BF1597" s="57"/>
    </row>
    <row r="1598" spans="1:58" s="52" customFormat="1" x14ac:dyDescent="0.25">
      <c r="A1598" s="53"/>
      <c r="B1598" s="60"/>
      <c r="C1598" s="57">
        <f t="shared" si="120"/>
        <v>0</v>
      </c>
      <c r="D1598" s="56"/>
      <c r="E1598" s="57">
        <f>[1]DETAY!$A$2</f>
        <v>0</v>
      </c>
      <c r="F1598" s="90">
        <f t="shared" si="121"/>
        <v>0</v>
      </c>
      <c r="G1598" s="92">
        <f t="shared" si="122"/>
        <v>0</v>
      </c>
      <c r="H1598" s="62" t="e">
        <f t="shared" si="123"/>
        <v>#DIV/0!</v>
      </c>
      <c r="I1598" s="57"/>
      <c r="J1598" s="57"/>
      <c r="K1598" s="57"/>
      <c r="L1598" s="57"/>
      <c r="M1598" s="58"/>
      <c r="N1598" s="57"/>
      <c r="O1598" s="57"/>
      <c r="P1598" s="57"/>
      <c r="Q1598" s="57"/>
      <c r="R1598" s="57"/>
      <c r="S1598" s="61"/>
      <c r="T1598" s="57"/>
      <c r="U1598" s="57"/>
      <c r="V1598" s="57"/>
      <c r="W1598" s="57"/>
      <c r="X1598" s="57"/>
      <c r="Y1598" s="57"/>
      <c r="Z1598" s="57"/>
      <c r="AA1598" s="57"/>
      <c r="AB1598" s="57"/>
      <c r="AC1598" s="57"/>
      <c r="AD1598" s="57"/>
      <c r="AE1598" s="57"/>
      <c r="AF1598" s="57"/>
      <c r="AG1598" s="57"/>
      <c r="AH1598" s="57"/>
      <c r="AI1598" s="57"/>
      <c r="AJ1598" s="57"/>
      <c r="AK1598" s="57"/>
      <c r="AL1598" s="57"/>
      <c r="AM1598" s="57"/>
      <c r="AN1598" s="57"/>
      <c r="AO1598" s="57"/>
      <c r="AP1598" s="57"/>
      <c r="AQ1598" s="57"/>
      <c r="AR1598" s="57"/>
      <c r="AS1598" s="57"/>
      <c r="AT1598" s="57"/>
      <c r="AU1598" s="57"/>
      <c r="AV1598" s="57"/>
      <c r="AW1598" s="57"/>
      <c r="AX1598" s="57"/>
      <c r="AY1598" s="57"/>
      <c r="AZ1598" s="57"/>
      <c r="BA1598" s="57"/>
      <c r="BB1598" s="57"/>
      <c r="BC1598" s="57"/>
      <c r="BD1598" s="57"/>
      <c r="BE1598" s="57"/>
      <c r="BF1598" s="57"/>
    </row>
    <row r="1599" spans="1:58" s="52" customFormat="1" x14ac:dyDescent="0.25">
      <c r="A1599" s="53"/>
      <c r="B1599" s="60"/>
      <c r="C1599" s="57">
        <f t="shared" si="120"/>
        <v>0</v>
      </c>
      <c r="D1599" s="56"/>
      <c r="E1599" s="57">
        <f>[1]DETAY!$A$2</f>
        <v>0</v>
      </c>
      <c r="F1599" s="90">
        <f t="shared" si="121"/>
        <v>0</v>
      </c>
      <c r="G1599" s="92">
        <f t="shared" si="122"/>
        <v>0</v>
      </c>
      <c r="H1599" s="62" t="e">
        <f t="shared" si="123"/>
        <v>#DIV/0!</v>
      </c>
      <c r="I1599" s="57"/>
      <c r="J1599" s="57"/>
      <c r="K1599" s="57"/>
      <c r="L1599" s="57"/>
      <c r="M1599" s="58"/>
      <c r="N1599" s="57"/>
      <c r="O1599" s="57"/>
      <c r="P1599" s="57"/>
      <c r="Q1599" s="57"/>
      <c r="R1599" s="57"/>
      <c r="S1599" s="61"/>
      <c r="T1599" s="57"/>
      <c r="U1599" s="57"/>
      <c r="V1599" s="57"/>
      <c r="W1599" s="57"/>
      <c r="X1599" s="57"/>
      <c r="Y1599" s="57"/>
      <c r="Z1599" s="57"/>
      <c r="AA1599" s="57"/>
      <c r="AB1599" s="57"/>
      <c r="AC1599" s="57"/>
      <c r="AD1599" s="57"/>
      <c r="AE1599" s="57"/>
      <c r="AF1599" s="57"/>
      <c r="AG1599" s="57"/>
      <c r="AH1599" s="57"/>
      <c r="AI1599" s="57"/>
      <c r="AJ1599" s="57"/>
      <c r="AK1599" s="57"/>
      <c r="AL1599" s="57"/>
      <c r="AM1599" s="57"/>
      <c r="AN1599" s="57"/>
      <c r="AO1599" s="57"/>
      <c r="AP1599" s="57"/>
      <c r="AQ1599" s="57"/>
      <c r="AR1599" s="57"/>
      <c r="AS1599" s="57"/>
      <c r="AT1599" s="57"/>
      <c r="AU1599" s="57"/>
      <c r="AV1599" s="57"/>
      <c r="AW1599" s="57"/>
      <c r="AX1599" s="57"/>
      <c r="AY1599" s="57"/>
      <c r="AZ1599" s="57"/>
      <c r="BA1599" s="57"/>
      <c r="BB1599" s="57"/>
      <c r="BC1599" s="57"/>
      <c r="BD1599" s="57"/>
      <c r="BE1599" s="57"/>
      <c r="BF1599" s="57"/>
    </row>
    <row r="1600" spans="1:58" s="52" customFormat="1" x14ac:dyDescent="0.25">
      <c r="A1600" s="53"/>
      <c r="B1600" s="60"/>
      <c r="C1600" s="57">
        <f t="shared" si="120"/>
        <v>0</v>
      </c>
      <c r="D1600" s="56"/>
      <c r="E1600" s="57">
        <f>[1]DETAY!$A$2</f>
        <v>0</v>
      </c>
      <c r="F1600" s="90">
        <f t="shared" si="121"/>
        <v>0</v>
      </c>
      <c r="G1600" s="92">
        <f t="shared" si="122"/>
        <v>0</v>
      </c>
      <c r="H1600" s="62" t="e">
        <f t="shared" si="123"/>
        <v>#DIV/0!</v>
      </c>
      <c r="I1600" s="57"/>
      <c r="J1600" s="57"/>
      <c r="K1600" s="57"/>
      <c r="L1600" s="57"/>
      <c r="M1600" s="58"/>
      <c r="N1600" s="57"/>
      <c r="O1600" s="57"/>
      <c r="P1600" s="57"/>
      <c r="Q1600" s="57"/>
      <c r="R1600" s="57"/>
      <c r="S1600" s="61"/>
      <c r="T1600" s="57"/>
      <c r="U1600" s="57"/>
      <c r="V1600" s="57"/>
      <c r="W1600" s="57"/>
      <c r="X1600" s="57"/>
      <c r="Y1600" s="57"/>
      <c r="Z1600" s="57"/>
      <c r="AA1600" s="57"/>
      <c r="AB1600" s="57"/>
      <c r="AC1600" s="57"/>
      <c r="AD1600" s="57"/>
      <c r="AE1600" s="57"/>
      <c r="AF1600" s="57"/>
      <c r="AG1600" s="57"/>
      <c r="AH1600" s="57"/>
      <c r="AI1600" s="57"/>
      <c r="AJ1600" s="57"/>
      <c r="AK1600" s="57"/>
      <c r="AL1600" s="57"/>
      <c r="AM1600" s="57"/>
      <c r="AN1600" s="57"/>
      <c r="AO1600" s="57"/>
      <c r="AP1600" s="57"/>
      <c r="AQ1600" s="57"/>
      <c r="AR1600" s="57"/>
      <c r="AS1600" s="57"/>
      <c r="AT1600" s="57"/>
      <c r="AU1600" s="57"/>
      <c r="AV1600" s="57"/>
      <c r="AW1600" s="57"/>
      <c r="AX1600" s="57"/>
      <c r="AY1600" s="57"/>
      <c r="AZ1600" s="57"/>
      <c r="BA1600" s="57"/>
      <c r="BB1600" s="57"/>
      <c r="BC1600" s="57"/>
      <c r="BD1600" s="57"/>
      <c r="BE1600" s="57"/>
      <c r="BF1600" s="57"/>
    </row>
    <row r="1601" spans="1:58" s="52" customFormat="1" x14ac:dyDescent="0.25">
      <c r="A1601" s="53"/>
      <c r="B1601" s="60"/>
      <c r="C1601" s="57">
        <f t="shared" si="120"/>
        <v>0</v>
      </c>
      <c r="D1601" s="56"/>
      <c r="E1601" s="57">
        <f>[1]DETAY!$A$2</f>
        <v>0</v>
      </c>
      <c r="F1601" s="90">
        <f t="shared" si="121"/>
        <v>0</v>
      </c>
      <c r="G1601" s="92">
        <f t="shared" si="122"/>
        <v>0</v>
      </c>
      <c r="H1601" s="62" t="e">
        <f t="shared" si="123"/>
        <v>#DIV/0!</v>
      </c>
      <c r="I1601" s="57"/>
      <c r="J1601" s="57"/>
      <c r="K1601" s="57"/>
      <c r="L1601" s="57"/>
      <c r="M1601" s="58"/>
      <c r="N1601" s="57"/>
      <c r="O1601" s="57"/>
      <c r="P1601" s="57"/>
      <c r="Q1601" s="57"/>
      <c r="R1601" s="57"/>
      <c r="S1601" s="61"/>
      <c r="T1601" s="57"/>
      <c r="U1601" s="57"/>
      <c r="V1601" s="57"/>
      <c r="W1601" s="57"/>
      <c r="X1601" s="57"/>
      <c r="Y1601" s="57"/>
      <c r="Z1601" s="57"/>
      <c r="AA1601" s="57"/>
      <c r="AB1601" s="57"/>
      <c r="AC1601" s="57"/>
      <c r="AD1601" s="57"/>
      <c r="AE1601" s="57"/>
      <c r="AF1601" s="57"/>
      <c r="AG1601" s="57"/>
      <c r="AH1601" s="57"/>
      <c r="AI1601" s="57"/>
      <c r="AJ1601" s="57"/>
      <c r="AK1601" s="57"/>
      <c r="AL1601" s="57"/>
      <c r="AM1601" s="57"/>
      <c r="AN1601" s="57"/>
      <c r="AO1601" s="57"/>
      <c r="AP1601" s="57"/>
      <c r="AQ1601" s="57"/>
      <c r="AR1601" s="57"/>
      <c r="AS1601" s="57"/>
      <c r="AT1601" s="57"/>
      <c r="AU1601" s="57"/>
      <c r="AV1601" s="57"/>
      <c r="AW1601" s="57"/>
      <c r="AX1601" s="57"/>
      <c r="AY1601" s="57"/>
      <c r="AZ1601" s="57"/>
      <c r="BA1601" s="57"/>
      <c r="BB1601" s="57"/>
      <c r="BC1601" s="57"/>
      <c r="BD1601" s="57"/>
      <c r="BE1601" s="57"/>
      <c r="BF1601" s="57"/>
    </row>
    <row r="1602" spans="1:58" s="52" customFormat="1" x14ac:dyDescent="0.25">
      <c r="A1602" s="53"/>
      <c r="B1602" s="60"/>
      <c r="C1602" s="57">
        <f t="shared" si="120"/>
        <v>0</v>
      </c>
      <c r="D1602" s="56"/>
      <c r="E1602" s="57">
        <f>[1]DETAY!$A$2</f>
        <v>0</v>
      </c>
      <c r="F1602" s="90">
        <f t="shared" si="121"/>
        <v>0</v>
      </c>
      <c r="G1602" s="92">
        <f t="shared" si="122"/>
        <v>0</v>
      </c>
      <c r="H1602" s="62" t="e">
        <f t="shared" si="123"/>
        <v>#DIV/0!</v>
      </c>
      <c r="I1602" s="57"/>
      <c r="J1602" s="57"/>
      <c r="K1602" s="57"/>
      <c r="L1602" s="57"/>
      <c r="M1602" s="58"/>
      <c r="N1602" s="57"/>
      <c r="O1602" s="57"/>
      <c r="P1602" s="57"/>
      <c r="Q1602" s="57"/>
      <c r="R1602" s="57"/>
      <c r="S1602" s="61"/>
      <c r="T1602" s="57"/>
      <c r="U1602" s="57"/>
      <c r="V1602" s="57"/>
      <c r="W1602" s="57"/>
      <c r="X1602" s="57"/>
      <c r="Y1602" s="57"/>
      <c r="Z1602" s="57"/>
      <c r="AA1602" s="57"/>
      <c r="AB1602" s="57"/>
      <c r="AC1602" s="57"/>
      <c r="AD1602" s="57"/>
      <c r="AE1602" s="57"/>
      <c r="AF1602" s="57"/>
      <c r="AG1602" s="57"/>
      <c r="AH1602" s="57"/>
      <c r="AI1602" s="57"/>
      <c r="AJ1602" s="57"/>
      <c r="AK1602" s="57"/>
      <c r="AL1602" s="57"/>
      <c r="AM1602" s="57"/>
      <c r="AN1602" s="57"/>
      <c r="AO1602" s="57"/>
      <c r="AP1602" s="57"/>
      <c r="AQ1602" s="57"/>
      <c r="AR1602" s="57"/>
      <c r="AS1602" s="57"/>
      <c r="AT1602" s="57"/>
      <c r="AU1602" s="57"/>
      <c r="AV1602" s="57"/>
      <c r="AW1602" s="57"/>
      <c r="AX1602" s="57"/>
      <c r="AY1602" s="57"/>
      <c r="AZ1602" s="57"/>
      <c r="BA1602" s="57"/>
      <c r="BB1602" s="57"/>
      <c r="BC1602" s="57"/>
      <c r="BD1602" s="57"/>
      <c r="BE1602" s="57"/>
      <c r="BF1602" s="57"/>
    </row>
    <row r="1603" spans="1:58" s="52" customFormat="1" x14ac:dyDescent="0.25">
      <c r="A1603" s="53"/>
      <c r="B1603" s="60"/>
      <c r="C1603" s="57">
        <f t="shared" si="120"/>
        <v>0</v>
      </c>
      <c r="D1603" s="56"/>
      <c r="E1603" s="57">
        <f>[1]DETAY!$A$2</f>
        <v>0</v>
      </c>
      <c r="F1603" s="90">
        <f t="shared" si="121"/>
        <v>0</v>
      </c>
      <c r="G1603" s="92">
        <f t="shared" si="122"/>
        <v>0</v>
      </c>
      <c r="H1603" s="62" t="e">
        <f t="shared" si="123"/>
        <v>#DIV/0!</v>
      </c>
      <c r="I1603" s="57"/>
      <c r="J1603" s="57"/>
      <c r="K1603" s="57"/>
      <c r="L1603" s="57"/>
      <c r="M1603" s="58"/>
      <c r="N1603" s="57"/>
      <c r="O1603" s="57"/>
      <c r="P1603" s="57"/>
      <c r="Q1603" s="57"/>
      <c r="R1603" s="57"/>
      <c r="S1603" s="61"/>
      <c r="T1603" s="57"/>
      <c r="U1603" s="57"/>
      <c r="V1603" s="57"/>
      <c r="W1603" s="57"/>
      <c r="X1603" s="57"/>
      <c r="Y1603" s="57"/>
      <c r="Z1603" s="57"/>
      <c r="AA1603" s="57"/>
      <c r="AB1603" s="57"/>
      <c r="AC1603" s="57"/>
      <c r="AD1603" s="57"/>
      <c r="AE1603" s="57"/>
      <c r="AF1603" s="57"/>
      <c r="AG1603" s="57"/>
      <c r="AH1603" s="57"/>
      <c r="AI1603" s="57"/>
      <c r="AJ1603" s="57"/>
      <c r="AK1603" s="57"/>
      <c r="AL1603" s="57"/>
      <c r="AM1603" s="57"/>
      <c r="AN1603" s="57"/>
      <c r="AO1603" s="57"/>
      <c r="AP1603" s="57"/>
      <c r="AQ1603" s="57"/>
      <c r="AR1603" s="57"/>
      <c r="AS1603" s="57"/>
      <c r="AT1603" s="57"/>
      <c r="AU1603" s="57"/>
      <c r="AV1603" s="57"/>
      <c r="AW1603" s="57"/>
      <c r="AX1603" s="57"/>
      <c r="AY1603" s="57"/>
      <c r="AZ1603" s="57"/>
      <c r="BA1603" s="57"/>
      <c r="BB1603" s="57"/>
      <c r="BC1603" s="57"/>
      <c r="BD1603" s="57"/>
      <c r="BE1603" s="57"/>
      <c r="BF1603" s="57"/>
    </row>
    <row r="1604" spans="1:58" s="52" customFormat="1" x14ac:dyDescent="0.25">
      <c r="A1604" s="53"/>
      <c r="B1604" s="60"/>
      <c r="C1604" s="57">
        <f t="shared" si="120"/>
        <v>0</v>
      </c>
      <c r="D1604" s="56"/>
      <c r="E1604" s="57">
        <f>[1]DETAY!$A$2</f>
        <v>0</v>
      </c>
      <c r="F1604" s="90">
        <f t="shared" si="121"/>
        <v>0</v>
      </c>
      <c r="G1604" s="92">
        <f t="shared" si="122"/>
        <v>0</v>
      </c>
      <c r="H1604" s="62" t="e">
        <f t="shared" si="123"/>
        <v>#DIV/0!</v>
      </c>
      <c r="I1604" s="57"/>
      <c r="J1604" s="57"/>
      <c r="K1604" s="57"/>
      <c r="L1604" s="57"/>
      <c r="M1604" s="58"/>
      <c r="N1604" s="57"/>
      <c r="O1604" s="57"/>
      <c r="P1604" s="57"/>
      <c r="Q1604" s="57"/>
      <c r="R1604" s="57"/>
      <c r="S1604" s="61"/>
      <c r="T1604" s="57"/>
      <c r="U1604" s="57"/>
      <c r="V1604" s="57"/>
      <c r="W1604" s="57"/>
      <c r="X1604" s="57"/>
      <c r="Y1604" s="57"/>
      <c r="Z1604" s="57"/>
      <c r="AA1604" s="57"/>
      <c r="AB1604" s="57"/>
      <c r="AC1604" s="57"/>
      <c r="AD1604" s="57"/>
      <c r="AE1604" s="57"/>
      <c r="AF1604" s="57"/>
      <c r="AG1604" s="57"/>
      <c r="AH1604" s="57"/>
      <c r="AI1604" s="57"/>
      <c r="AJ1604" s="57"/>
      <c r="AK1604" s="57"/>
      <c r="AL1604" s="57"/>
      <c r="AM1604" s="57"/>
      <c r="AN1604" s="57"/>
      <c r="AO1604" s="57"/>
      <c r="AP1604" s="57"/>
      <c r="AQ1604" s="57"/>
      <c r="AR1604" s="57"/>
      <c r="AS1604" s="57"/>
      <c r="AT1604" s="57"/>
      <c r="AU1604" s="57"/>
      <c r="AV1604" s="57"/>
      <c r="AW1604" s="57"/>
      <c r="AX1604" s="57"/>
      <c r="AY1604" s="57"/>
      <c r="AZ1604" s="57"/>
      <c r="BA1604" s="57"/>
      <c r="BB1604" s="57"/>
      <c r="BC1604" s="57"/>
      <c r="BD1604" s="57"/>
      <c r="BE1604" s="57"/>
      <c r="BF1604" s="57"/>
    </row>
    <row r="1605" spans="1:58" s="52" customFormat="1" x14ac:dyDescent="0.25">
      <c r="A1605" s="53"/>
      <c r="B1605" s="60"/>
      <c r="C1605" s="57">
        <f t="shared" si="120"/>
        <v>0</v>
      </c>
      <c r="D1605" s="56"/>
      <c r="E1605" s="57">
        <f>[1]DETAY!$A$2</f>
        <v>0</v>
      </c>
      <c r="F1605" s="90">
        <f t="shared" si="121"/>
        <v>0</v>
      </c>
      <c r="G1605" s="92">
        <f t="shared" si="122"/>
        <v>0</v>
      </c>
      <c r="H1605" s="62" t="e">
        <f t="shared" si="123"/>
        <v>#DIV/0!</v>
      </c>
      <c r="I1605" s="57"/>
      <c r="J1605" s="57"/>
      <c r="K1605" s="57"/>
      <c r="L1605" s="57"/>
      <c r="M1605" s="58"/>
      <c r="N1605" s="57"/>
      <c r="O1605" s="57"/>
      <c r="P1605" s="57"/>
      <c r="Q1605" s="57"/>
      <c r="R1605" s="57"/>
      <c r="S1605" s="61"/>
      <c r="T1605" s="57"/>
      <c r="U1605" s="57"/>
      <c r="V1605" s="57"/>
      <c r="W1605" s="57"/>
      <c r="X1605" s="57"/>
      <c r="Y1605" s="57"/>
      <c r="Z1605" s="57"/>
      <c r="AA1605" s="57"/>
      <c r="AB1605" s="57"/>
      <c r="AC1605" s="57"/>
      <c r="AD1605" s="57"/>
      <c r="AE1605" s="57"/>
      <c r="AF1605" s="57"/>
      <c r="AG1605" s="57"/>
      <c r="AH1605" s="57"/>
      <c r="AI1605" s="57"/>
      <c r="AJ1605" s="57"/>
      <c r="AK1605" s="57"/>
      <c r="AL1605" s="57"/>
      <c r="AM1605" s="57"/>
      <c r="AN1605" s="57"/>
      <c r="AO1605" s="57"/>
      <c r="AP1605" s="57"/>
      <c r="AQ1605" s="57"/>
      <c r="AR1605" s="57"/>
      <c r="AS1605" s="57"/>
      <c r="AT1605" s="57"/>
      <c r="AU1605" s="57"/>
      <c r="AV1605" s="57"/>
      <c r="AW1605" s="57"/>
      <c r="AX1605" s="57"/>
      <c r="AY1605" s="57"/>
      <c r="AZ1605" s="57"/>
      <c r="BA1605" s="57"/>
      <c r="BB1605" s="57"/>
      <c r="BC1605" s="57"/>
      <c r="BD1605" s="57"/>
      <c r="BE1605" s="57"/>
      <c r="BF1605" s="57"/>
    </row>
    <row r="1606" spans="1:58" s="52" customFormat="1" x14ac:dyDescent="0.25">
      <c r="A1606" s="53"/>
      <c r="B1606" s="60"/>
      <c r="C1606" s="57">
        <f t="shared" si="120"/>
        <v>0</v>
      </c>
      <c r="D1606" s="56"/>
      <c r="E1606" s="57">
        <f>[1]DETAY!$A$2</f>
        <v>0</v>
      </c>
      <c r="F1606" s="90">
        <f t="shared" si="121"/>
        <v>0</v>
      </c>
      <c r="G1606" s="92">
        <f t="shared" si="122"/>
        <v>0</v>
      </c>
      <c r="H1606" s="62" t="e">
        <f t="shared" si="123"/>
        <v>#DIV/0!</v>
      </c>
      <c r="I1606" s="57"/>
      <c r="J1606" s="57"/>
      <c r="K1606" s="57"/>
      <c r="L1606" s="57"/>
      <c r="M1606" s="58"/>
      <c r="N1606" s="57"/>
      <c r="O1606" s="57"/>
      <c r="P1606" s="57"/>
      <c r="Q1606" s="57"/>
      <c r="R1606" s="57"/>
      <c r="S1606" s="61"/>
      <c r="T1606" s="57"/>
      <c r="U1606" s="57"/>
      <c r="V1606" s="57"/>
      <c r="W1606" s="57"/>
      <c r="X1606" s="57"/>
      <c r="Y1606" s="57"/>
      <c r="Z1606" s="57"/>
      <c r="AA1606" s="57"/>
      <c r="AB1606" s="57"/>
      <c r="AC1606" s="57"/>
      <c r="AD1606" s="57"/>
      <c r="AE1606" s="57"/>
      <c r="AF1606" s="57"/>
      <c r="AG1606" s="57"/>
      <c r="AH1606" s="57"/>
      <c r="AI1606" s="57"/>
      <c r="AJ1606" s="57"/>
      <c r="AK1606" s="57"/>
      <c r="AL1606" s="57"/>
      <c r="AM1606" s="57"/>
      <c r="AN1606" s="57"/>
      <c r="AO1606" s="57"/>
      <c r="AP1606" s="57"/>
      <c r="AQ1606" s="57"/>
      <c r="AR1606" s="57"/>
      <c r="AS1606" s="57"/>
      <c r="AT1606" s="57"/>
      <c r="AU1606" s="57"/>
      <c r="AV1606" s="57"/>
      <c r="AW1606" s="57"/>
      <c r="AX1606" s="57"/>
      <c r="AY1606" s="57"/>
      <c r="AZ1606" s="57"/>
      <c r="BA1606" s="57"/>
      <c r="BB1606" s="57"/>
      <c r="BC1606" s="57"/>
      <c r="BD1606" s="57"/>
      <c r="BE1606" s="57"/>
      <c r="BF1606" s="57"/>
    </row>
    <row r="1607" spans="1:58" s="52" customFormat="1" x14ac:dyDescent="0.25">
      <c r="A1607" s="53"/>
      <c r="B1607" s="60"/>
      <c r="C1607" s="57">
        <f t="shared" si="120"/>
        <v>0</v>
      </c>
      <c r="D1607" s="56"/>
      <c r="E1607" s="57">
        <f>[1]DETAY!$A$2</f>
        <v>0</v>
      </c>
      <c r="F1607" s="90">
        <f t="shared" si="121"/>
        <v>0</v>
      </c>
      <c r="G1607" s="92">
        <f t="shared" si="122"/>
        <v>0</v>
      </c>
      <c r="H1607" s="62" t="e">
        <f t="shared" si="123"/>
        <v>#DIV/0!</v>
      </c>
      <c r="I1607" s="57"/>
      <c r="J1607" s="57"/>
      <c r="K1607" s="57"/>
      <c r="L1607" s="57"/>
      <c r="M1607" s="58"/>
      <c r="N1607" s="57"/>
      <c r="O1607" s="57"/>
      <c r="P1607" s="57"/>
      <c r="Q1607" s="57"/>
      <c r="R1607" s="57"/>
      <c r="S1607" s="61"/>
      <c r="T1607" s="57"/>
      <c r="U1607" s="57"/>
      <c r="V1607" s="57"/>
      <c r="W1607" s="57"/>
      <c r="X1607" s="57"/>
      <c r="Y1607" s="57"/>
      <c r="Z1607" s="57"/>
      <c r="AA1607" s="57"/>
      <c r="AB1607" s="57"/>
      <c r="AC1607" s="57"/>
      <c r="AD1607" s="57"/>
      <c r="AE1607" s="57"/>
      <c r="AF1607" s="57"/>
      <c r="AG1607" s="57"/>
      <c r="AH1607" s="57"/>
      <c r="AI1607" s="57"/>
      <c r="AJ1607" s="57"/>
      <c r="AK1607" s="57"/>
      <c r="AL1607" s="57"/>
      <c r="AM1607" s="57"/>
      <c r="AN1607" s="57"/>
      <c r="AO1607" s="57"/>
      <c r="AP1607" s="57"/>
      <c r="AQ1607" s="57"/>
      <c r="AR1607" s="57"/>
      <c r="AS1607" s="57"/>
      <c r="AT1607" s="57"/>
      <c r="AU1607" s="57"/>
      <c r="AV1607" s="57"/>
      <c r="AW1607" s="57"/>
      <c r="AX1607" s="57"/>
      <c r="AY1607" s="57"/>
      <c r="AZ1607" s="57"/>
      <c r="BA1607" s="57"/>
      <c r="BB1607" s="57"/>
      <c r="BC1607" s="57"/>
      <c r="BD1607" s="57"/>
      <c r="BE1607" s="57"/>
      <c r="BF1607" s="57"/>
    </row>
    <row r="1608" spans="1:58" s="52" customFormat="1" x14ac:dyDescent="0.25">
      <c r="A1608" s="53"/>
      <c r="B1608" s="60"/>
      <c r="C1608" s="57">
        <f t="shared" ref="C1608:C1671" si="124">WEEKNUM(B1608)</f>
        <v>0</v>
      </c>
      <c r="D1608" s="56"/>
      <c r="E1608" s="57">
        <f>[1]DETAY!$A$2</f>
        <v>0</v>
      </c>
      <c r="F1608" s="90">
        <f t="shared" ref="F1608:F1671" si="125">D1608-G1608</f>
        <v>0</v>
      </c>
      <c r="G1608" s="92">
        <f t="shared" ref="G1608:G1671" si="126">SUBTOTAL(9,I1608:BD1608)</f>
        <v>0</v>
      </c>
      <c r="H1608" s="62" t="e">
        <f t="shared" ref="H1608:H1671" si="127">F1608/D1608</f>
        <v>#DIV/0!</v>
      </c>
      <c r="I1608" s="57"/>
      <c r="J1608" s="57"/>
      <c r="K1608" s="57"/>
      <c r="L1608" s="57"/>
      <c r="M1608" s="58"/>
      <c r="N1608" s="57"/>
      <c r="O1608" s="57"/>
      <c r="P1608" s="57"/>
      <c r="Q1608" s="57"/>
      <c r="R1608" s="57"/>
      <c r="S1608" s="61"/>
      <c r="T1608" s="57"/>
      <c r="U1608" s="57"/>
      <c r="V1608" s="57"/>
      <c r="W1608" s="57"/>
      <c r="X1608" s="57"/>
      <c r="Y1608" s="57"/>
      <c r="Z1608" s="57"/>
      <c r="AA1608" s="57"/>
      <c r="AB1608" s="57"/>
      <c r="AC1608" s="57"/>
      <c r="AD1608" s="57"/>
      <c r="AE1608" s="57"/>
      <c r="AF1608" s="57"/>
      <c r="AG1608" s="57"/>
      <c r="AH1608" s="57"/>
      <c r="AI1608" s="57"/>
      <c r="AJ1608" s="57"/>
      <c r="AK1608" s="57"/>
      <c r="AL1608" s="57"/>
      <c r="AM1608" s="57"/>
      <c r="AN1608" s="57"/>
      <c r="AO1608" s="57"/>
      <c r="AP1608" s="57"/>
      <c r="AQ1608" s="57"/>
      <c r="AR1608" s="57"/>
      <c r="AS1608" s="57"/>
      <c r="AT1608" s="57"/>
      <c r="AU1608" s="57"/>
      <c r="AV1608" s="57"/>
      <c r="AW1608" s="57"/>
      <c r="AX1608" s="57"/>
      <c r="AY1608" s="57"/>
      <c r="AZ1608" s="57"/>
      <c r="BA1608" s="57"/>
      <c r="BB1608" s="57"/>
      <c r="BC1608" s="57"/>
      <c r="BD1608" s="57"/>
      <c r="BE1608" s="57"/>
      <c r="BF1608" s="57"/>
    </row>
    <row r="1609" spans="1:58" s="52" customFormat="1" x14ac:dyDescent="0.25">
      <c r="A1609" s="53"/>
      <c r="B1609" s="60"/>
      <c r="C1609" s="57">
        <f t="shared" si="124"/>
        <v>0</v>
      </c>
      <c r="D1609" s="56"/>
      <c r="E1609" s="57">
        <f>[1]DETAY!$A$2</f>
        <v>0</v>
      </c>
      <c r="F1609" s="90">
        <f t="shared" si="125"/>
        <v>0</v>
      </c>
      <c r="G1609" s="92">
        <f t="shared" si="126"/>
        <v>0</v>
      </c>
      <c r="H1609" s="62" t="e">
        <f t="shared" si="127"/>
        <v>#DIV/0!</v>
      </c>
      <c r="I1609" s="57"/>
      <c r="J1609" s="57"/>
      <c r="K1609" s="57"/>
      <c r="L1609" s="57"/>
      <c r="M1609" s="58"/>
      <c r="N1609" s="57"/>
      <c r="O1609" s="57"/>
      <c r="P1609" s="57"/>
      <c r="Q1609" s="57"/>
      <c r="R1609" s="57"/>
      <c r="S1609" s="61"/>
      <c r="T1609" s="57"/>
      <c r="U1609" s="57"/>
      <c r="V1609" s="57"/>
      <c r="W1609" s="57"/>
      <c r="X1609" s="57"/>
      <c r="Y1609" s="57"/>
      <c r="Z1609" s="57"/>
      <c r="AA1609" s="57"/>
      <c r="AB1609" s="57"/>
      <c r="AC1609" s="57"/>
      <c r="AD1609" s="57"/>
      <c r="AE1609" s="57"/>
      <c r="AF1609" s="57"/>
      <c r="AG1609" s="57"/>
      <c r="AH1609" s="57"/>
      <c r="AI1609" s="57"/>
      <c r="AJ1609" s="57"/>
      <c r="AK1609" s="57"/>
      <c r="AL1609" s="57"/>
      <c r="AM1609" s="57"/>
      <c r="AN1609" s="57"/>
      <c r="AO1609" s="57"/>
      <c r="AP1609" s="57"/>
      <c r="AQ1609" s="57"/>
      <c r="AR1609" s="57"/>
      <c r="AS1609" s="57"/>
      <c r="AT1609" s="57"/>
      <c r="AU1609" s="57"/>
      <c r="AV1609" s="57"/>
      <c r="AW1609" s="57"/>
      <c r="AX1609" s="57"/>
      <c r="AY1609" s="57"/>
      <c r="AZ1609" s="57"/>
      <c r="BA1609" s="57"/>
      <c r="BB1609" s="57"/>
      <c r="BC1609" s="57"/>
      <c r="BD1609" s="57"/>
      <c r="BE1609" s="57"/>
      <c r="BF1609" s="57"/>
    </row>
    <row r="1610" spans="1:58" s="52" customFormat="1" x14ac:dyDescent="0.25">
      <c r="A1610" s="53"/>
      <c r="B1610" s="60"/>
      <c r="C1610" s="57">
        <f t="shared" si="124"/>
        <v>0</v>
      </c>
      <c r="D1610" s="56"/>
      <c r="E1610" s="57">
        <f>[1]DETAY!$A$2</f>
        <v>0</v>
      </c>
      <c r="F1610" s="90">
        <f t="shared" si="125"/>
        <v>0</v>
      </c>
      <c r="G1610" s="92">
        <f t="shared" si="126"/>
        <v>0</v>
      </c>
      <c r="H1610" s="62" t="e">
        <f t="shared" si="127"/>
        <v>#DIV/0!</v>
      </c>
      <c r="I1610" s="57"/>
      <c r="J1610" s="57"/>
      <c r="K1610" s="57"/>
      <c r="L1610" s="57"/>
      <c r="M1610" s="58"/>
      <c r="N1610" s="57"/>
      <c r="O1610" s="57"/>
      <c r="P1610" s="57"/>
      <c r="Q1610" s="57"/>
      <c r="R1610" s="57"/>
      <c r="S1610" s="61"/>
      <c r="T1610" s="57"/>
      <c r="U1610" s="57"/>
      <c r="V1610" s="57"/>
      <c r="W1610" s="57"/>
      <c r="X1610" s="57"/>
      <c r="Y1610" s="57"/>
      <c r="Z1610" s="57"/>
      <c r="AA1610" s="57"/>
      <c r="AB1610" s="57"/>
      <c r="AC1610" s="57"/>
      <c r="AD1610" s="57"/>
      <c r="AE1610" s="57"/>
      <c r="AF1610" s="57"/>
      <c r="AG1610" s="57"/>
      <c r="AH1610" s="57"/>
      <c r="AI1610" s="57"/>
      <c r="AJ1610" s="57"/>
      <c r="AK1610" s="57"/>
      <c r="AL1610" s="57"/>
      <c r="AM1610" s="57"/>
      <c r="AN1610" s="57"/>
      <c r="AO1610" s="57"/>
      <c r="AP1610" s="57"/>
      <c r="AQ1610" s="57"/>
      <c r="AR1610" s="57"/>
      <c r="AS1610" s="57"/>
      <c r="AT1610" s="57"/>
      <c r="AU1610" s="57"/>
      <c r="AV1610" s="57"/>
      <c r="AW1610" s="57"/>
      <c r="AX1610" s="57"/>
      <c r="AY1610" s="57"/>
      <c r="AZ1610" s="57"/>
      <c r="BA1610" s="57"/>
      <c r="BB1610" s="57"/>
      <c r="BC1610" s="57"/>
      <c r="BD1610" s="57"/>
      <c r="BE1610" s="57"/>
      <c r="BF1610" s="57"/>
    </row>
    <row r="1611" spans="1:58" s="52" customFormat="1" x14ac:dyDescent="0.25">
      <c r="A1611" s="53"/>
      <c r="B1611" s="60"/>
      <c r="C1611" s="57">
        <f t="shared" si="124"/>
        <v>0</v>
      </c>
      <c r="D1611" s="56"/>
      <c r="E1611" s="57">
        <f>[1]DETAY!$A$2</f>
        <v>0</v>
      </c>
      <c r="F1611" s="90">
        <f t="shared" si="125"/>
        <v>0</v>
      </c>
      <c r="G1611" s="92">
        <f t="shared" si="126"/>
        <v>0</v>
      </c>
      <c r="H1611" s="62" t="e">
        <f t="shared" si="127"/>
        <v>#DIV/0!</v>
      </c>
      <c r="I1611" s="57"/>
      <c r="J1611" s="57"/>
      <c r="K1611" s="57"/>
      <c r="L1611" s="57"/>
      <c r="M1611" s="58"/>
      <c r="N1611" s="57"/>
      <c r="O1611" s="57"/>
      <c r="P1611" s="57"/>
      <c r="Q1611" s="57"/>
      <c r="R1611" s="57"/>
      <c r="S1611" s="61"/>
      <c r="T1611" s="57"/>
      <c r="U1611" s="57"/>
      <c r="V1611" s="57"/>
      <c r="W1611" s="57"/>
      <c r="X1611" s="57"/>
      <c r="Y1611" s="57"/>
      <c r="Z1611" s="57"/>
      <c r="AA1611" s="57"/>
      <c r="AB1611" s="57"/>
      <c r="AC1611" s="57"/>
      <c r="AD1611" s="57"/>
      <c r="AE1611" s="57"/>
      <c r="AF1611" s="57"/>
      <c r="AG1611" s="57"/>
      <c r="AH1611" s="57"/>
      <c r="AI1611" s="57"/>
      <c r="AJ1611" s="57"/>
      <c r="AK1611" s="57"/>
      <c r="AL1611" s="57"/>
      <c r="AM1611" s="57"/>
      <c r="AN1611" s="57"/>
      <c r="AO1611" s="57"/>
      <c r="AP1611" s="57"/>
      <c r="AQ1611" s="57"/>
      <c r="AR1611" s="57"/>
      <c r="AS1611" s="57"/>
      <c r="AT1611" s="57"/>
      <c r="AU1611" s="57"/>
      <c r="AV1611" s="57"/>
      <c r="AW1611" s="57"/>
      <c r="AX1611" s="57"/>
      <c r="AY1611" s="57"/>
      <c r="AZ1611" s="57"/>
      <c r="BA1611" s="57"/>
      <c r="BB1611" s="57"/>
      <c r="BC1611" s="57"/>
      <c r="BD1611" s="57"/>
      <c r="BE1611" s="57"/>
      <c r="BF1611" s="57"/>
    </row>
    <row r="1612" spans="1:58" s="52" customFormat="1" x14ac:dyDescent="0.25">
      <c r="A1612" s="53"/>
      <c r="B1612" s="60"/>
      <c r="C1612" s="57">
        <f t="shared" si="124"/>
        <v>0</v>
      </c>
      <c r="D1612" s="56"/>
      <c r="E1612" s="57">
        <f>[1]DETAY!$A$2</f>
        <v>0</v>
      </c>
      <c r="F1612" s="90">
        <f t="shared" si="125"/>
        <v>0</v>
      </c>
      <c r="G1612" s="92">
        <f t="shared" si="126"/>
        <v>0</v>
      </c>
      <c r="H1612" s="62" t="e">
        <f t="shared" si="127"/>
        <v>#DIV/0!</v>
      </c>
      <c r="I1612" s="57"/>
      <c r="J1612" s="57"/>
      <c r="K1612" s="57"/>
      <c r="L1612" s="57"/>
      <c r="M1612" s="58"/>
      <c r="N1612" s="57"/>
      <c r="O1612" s="57"/>
      <c r="P1612" s="57"/>
      <c r="Q1612" s="57"/>
      <c r="R1612" s="57"/>
      <c r="S1612" s="61"/>
      <c r="T1612" s="57"/>
      <c r="U1612" s="57"/>
      <c r="V1612" s="57"/>
      <c r="W1612" s="57"/>
      <c r="X1612" s="57"/>
      <c r="Y1612" s="57"/>
      <c r="Z1612" s="57"/>
      <c r="AA1612" s="57"/>
      <c r="AB1612" s="57"/>
      <c r="AC1612" s="57"/>
      <c r="AD1612" s="57"/>
      <c r="AE1612" s="57"/>
      <c r="AF1612" s="57"/>
      <c r="AG1612" s="57"/>
      <c r="AH1612" s="57"/>
      <c r="AI1612" s="57"/>
      <c r="AJ1612" s="57"/>
      <c r="AK1612" s="57"/>
      <c r="AL1612" s="57"/>
      <c r="AM1612" s="57"/>
      <c r="AN1612" s="57"/>
      <c r="AO1612" s="57"/>
      <c r="AP1612" s="57"/>
      <c r="AQ1612" s="57"/>
      <c r="AR1612" s="57"/>
      <c r="AS1612" s="57"/>
      <c r="AT1612" s="57"/>
      <c r="AU1612" s="57"/>
      <c r="AV1612" s="57"/>
      <c r="AW1612" s="57"/>
      <c r="AX1612" s="57"/>
      <c r="AY1612" s="57"/>
      <c r="AZ1612" s="57"/>
      <c r="BA1612" s="57"/>
      <c r="BB1612" s="57"/>
      <c r="BC1612" s="57"/>
      <c r="BD1612" s="57"/>
      <c r="BE1612" s="57"/>
      <c r="BF1612" s="57"/>
    </row>
    <row r="1613" spans="1:58" s="52" customFormat="1" x14ac:dyDescent="0.25">
      <c r="A1613" s="53"/>
      <c r="B1613" s="60"/>
      <c r="C1613" s="57">
        <f t="shared" si="124"/>
        <v>0</v>
      </c>
      <c r="D1613" s="56"/>
      <c r="E1613" s="57">
        <f>[1]DETAY!$A$2</f>
        <v>0</v>
      </c>
      <c r="F1613" s="90">
        <f t="shared" si="125"/>
        <v>0</v>
      </c>
      <c r="G1613" s="92">
        <f t="shared" si="126"/>
        <v>0</v>
      </c>
      <c r="H1613" s="62" t="e">
        <f t="shared" si="127"/>
        <v>#DIV/0!</v>
      </c>
      <c r="I1613" s="57"/>
      <c r="J1613" s="57"/>
      <c r="K1613" s="57"/>
      <c r="L1613" s="57"/>
      <c r="M1613" s="58"/>
      <c r="N1613" s="57"/>
      <c r="O1613" s="57"/>
      <c r="P1613" s="57"/>
      <c r="Q1613" s="57"/>
      <c r="R1613" s="57"/>
      <c r="S1613" s="61"/>
      <c r="T1613" s="57"/>
      <c r="U1613" s="57"/>
      <c r="V1613" s="57"/>
      <c r="W1613" s="57"/>
      <c r="X1613" s="57"/>
      <c r="Y1613" s="57"/>
      <c r="Z1613" s="57"/>
      <c r="AA1613" s="57"/>
      <c r="AB1613" s="57"/>
      <c r="AC1613" s="57"/>
      <c r="AD1613" s="57"/>
      <c r="AE1613" s="57"/>
      <c r="AF1613" s="57"/>
      <c r="AG1613" s="57"/>
      <c r="AH1613" s="57"/>
      <c r="AI1613" s="57"/>
      <c r="AJ1613" s="57"/>
      <c r="AK1613" s="57"/>
      <c r="AL1613" s="57"/>
      <c r="AM1613" s="57"/>
      <c r="AN1613" s="57"/>
      <c r="AO1613" s="57"/>
      <c r="AP1613" s="57"/>
      <c r="AQ1613" s="57"/>
      <c r="AR1613" s="57"/>
      <c r="AS1613" s="57"/>
      <c r="AT1613" s="57"/>
      <c r="AU1613" s="57"/>
      <c r="AV1613" s="57"/>
      <c r="AW1613" s="57"/>
      <c r="AX1613" s="57"/>
      <c r="AY1613" s="57"/>
      <c r="AZ1613" s="57"/>
      <c r="BA1613" s="57"/>
      <c r="BB1613" s="57"/>
      <c r="BC1613" s="57"/>
      <c r="BD1613" s="57"/>
      <c r="BE1613" s="57"/>
      <c r="BF1613" s="57"/>
    </row>
    <row r="1614" spans="1:58" s="52" customFormat="1" x14ac:dyDescent="0.25">
      <c r="A1614" s="53"/>
      <c r="B1614" s="60"/>
      <c r="C1614" s="57">
        <f t="shared" si="124"/>
        <v>0</v>
      </c>
      <c r="D1614" s="56"/>
      <c r="E1614" s="57">
        <f>[1]DETAY!$A$2</f>
        <v>0</v>
      </c>
      <c r="F1614" s="90">
        <f t="shared" si="125"/>
        <v>0</v>
      </c>
      <c r="G1614" s="92">
        <f t="shared" si="126"/>
        <v>0</v>
      </c>
      <c r="H1614" s="62" t="e">
        <f t="shared" si="127"/>
        <v>#DIV/0!</v>
      </c>
      <c r="I1614" s="57"/>
      <c r="J1614" s="57"/>
      <c r="K1614" s="57"/>
      <c r="L1614" s="57"/>
      <c r="M1614" s="58"/>
      <c r="N1614" s="57"/>
      <c r="O1614" s="57"/>
      <c r="P1614" s="57"/>
      <c r="Q1614" s="57"/>
      <c r="R1614" s="57"/>
      <c r="S1614" s="61"/>
      <c r="T1614" s="57"/>
      <c r="U1614" s="57"/>
      <c r="V1614" s="57"/>
      <c r="W1614" s="57"/>
      <c r="X1614" s="57"/>
      <c r="Y1614" s="57"/>
      <c r="Z1614" s="57"/>
      <c r="AA1614" s="57"/>
      <c r="AB1614" s="57"/>
      <c r="AC1614" s="57"/>
      <c r="AD1614" s="57"/>
      <c r="AE1614" s="57"/>
      <c r="AF1614" s="57"/>
      <c r="AG1614" s="57"/>
      <c r="AH1614" s="57"/>
      <c r="AI1614" s="57"/>
      <c r="AJ1614" s="57"/>
      <c r="AK1614" s="57"/>
      <c r="AL1614" s="57"/>
      <c r="AM1614" s="57"/>
      <c r="AN1614" s="57"/>
      <c r="AO1614" s="57"/>
      <c r="AP1614" s="57"/>
      <c r="AQ1614" s="57"/>
      <c r="AR1614" s="57"/>
      <c r="AS1614" s="57"/>
      <c r="AT1614" s="57"/>
      <c r="AU1614" s="57"/>
      <c r="AV1614" s="57"/>
      <c r="AW1614" s="57"/>
      <c r="AX1614" s="57"/>
      <c r="AY1614" s="57"/>
      <c r="AZ1614" s="57"/>
      <c r="BA1614" s="57"/>
      <c r="BB1614" s="57"/>
      <c r="BC1614" s="57"/>
      <c r="BD1614" s="57"/>
      <c r="BE1614" s="57"/>
      <c r="BF1614" s="57"/>
    </row>
    <row r="1615" spans="1:58" s="52" customFormat="1" x14ac:dyDescent="0.25">
      <c r="A1615" s="53"/>
      <c r="B1615" s="60"/>
      <c r="C1615" s="57">
        <f t="shared" si="124"/>
        <v>0</v>
      </c>
      <c r="D1615" s="56"/>
      <c r="E1615" s="57">
        <f>[1]DETAY!$A$2</f>
        <v>0</v>
      </c>
      <c r="F1615" s="90">
        <f t="shared" si="125"/>
        <v>0</v>
      </c>
      <c r="G1615" s="92">
        <f t="shared" si="126"/>
        <v>0</v>
      </c>
      <c r="H1615" s="62" t="e">
        <f t="shared" si="127"/>
        <v>#DIV/0!</v>
      </c>
      <c r="I1615" s="57"/>
      <c r="J1615" s="57"/>
      <c r="K1615" s="57"/>
      <c r="L1615" s="57"/>
      <c r="M1615" s="58"/>
      <c r="N1615" s="57"/>
      <c r="O1615" s="57"/>
      <c r="P1615" s="57"/>
      <c r="Q1615" s="57"/>
      <c r="R1615" s="57"/>
      <c r="S1615" s="61"/>
      <c r="T1615" s="57"/>
      <c r="U1615" s="57"/>
      <c r="V1615" s="57"/>
      <c r="W1615" s="57"/>
      <c r="X1615" s="57"/>
      <c r="Y1615" s="57"/>
      <c r="Z1615" s="57"/>
      <c r="AA1615" s="57"/>
      <c r="AB1615" s="57"/>
      <c r="AC1615" s="57"/>
      <c r="AD1615" s="57"/>
      <c r="AE1615" s="57"/>
      <c r="AF1615" s="57"/>
      <c r="AG1615" s="57"/>
      <c r="AH1615" s="57"/>
      <c r="AI1615" s="57"/>
      <c r="AJ1615" s="57"/>
      <c r="AK1615" s="57"/>
      <c r="AL1615" s="57"/>
      <c r="AM1615" s="57"/>
      <c r="AN1615" s="57"/>
      <c r="AO1615" s="57"/>
      <c r="AP1615" s="57"/>
      <c r="AQ1615" s="57"/>
      <c r="AR1615" s="57"/>
      <c r="AS1615" s="57"/>
      <c r="AT1615" s="57"/>
      <c r="AU1615" s="57"/>
      <c r="AV1615" s="57"/>
      <c r="AW1615" s="57"/>
      <c r="AX1615" s="57"/>
      <c r="AY1615" s="57"/>
      <c r="AZ1615" s="57"/>
      <c r="BA1615" s="57"/>
      <c r="BB1615" s="57"/>
      <c r="BC1615" s="57"/>
      <c r="BD1615" s="57"/>
      <c r="BE1615" s="57"/>
      <c r="BF1615" s="57"/>
    </row>
    <row r="1616" spans="1:58" s="52" customFormat="1" x14ac:dyDescent="0.25">
      <c r="A1616" s="53"/>
      <c r="B1616" s="60"/>
      <c r="C1616" s="57">
        <f t="shared" si="124"/>
        <v>0</v>
      </c>
      <c r="D1616" s="56"/>
      <c r="E1616" s="57">
        <f>[1]DETAY!$A$2</f>
        <v>0</v>
      </c>
      <c r="F1616" s="90">
        <f t="shared" si="125"/>
        <v>0</v>
      </c>
      <c r="G1616" s="92">
        <f t="shared" si="126"/>
        <v>0</v>
      </c>
      <c r="H1616" s="62" t="e">
        <f t="shared" si="127"/>
        <v>#DIV/0!</v>
      </c>
      <c r="I1616" s="57"/>
      <c r="J1616" s="57"/>
      <c r="K1616" s="57"/>
      <c r="L1616" s="57"/>
      <c r="M1616" s="58"/>
      <c r="N1616" s="57"/>
      <c r="O1616" s="57"/>
      <c r="P1616" s="57"/>
      <c r="Q1616" s="57"/>
      <c r="R1616" s="57"/>
      <c r="S1616" s="61"/>
      <c r="T1616" s="57"/>
      <c r="U1616" s="57"/>
      <c r="V1616" s="57"/>
      <c r="W1616" s="57"/>
      <c r="X1616" s="57"/>
      <c r="Y1616" s="57"/>
      <c r="Z1616" s="57"/>
      <c r="AA1616" s="57"/>
      <c r="AB1616" s="57"/>
      <c r="AC1616" s="57"/>
      <c r="AD1616" s="57"/>
      <c r="AE1616" s="57"/>
      <c r="AF1616" s="57"/>
      <c r="AG1616" s="57"/>
      <c r="AH1616" s="57"/>
      <c r="AI1616" s="57"/>
      <c r="AJ1616" s="57"/>
      <c r="AK1616" s="57"/>
      <c r="AL1616" s="57"/>
      <c r="AM1616" s="57"/>
      <c r="AN1616" s="57"/>
      <c r="AO1616" s="57"/>
      <c r="AP1616" s="57"/>
      <c r="AQ1616" s="57"/>
      <c r="AR1616" s="57"/>
      <c r="AS1616" s="57"/>
      <c r="AT1616" s="57"/>
      <c r="AU1616" s="57"/>
      <c r="AV1616" s="57"/>
      <c r="AW1616" s="57"/>
      <c r="AX1616" s="57"/>
      <c r="AY1616" s="57"/>
      <c r="AZ1616" s="57"/>
      <c r="BA1616" s="57"/>
      <c r="BB1616" s="57"/>
      <c r="BC1616" s="57"/>
      <c r="BD1616" s="57"/>
      <c r="BE1616" s="57"/>
      <c r="BF1616" s="57"/>
    </row>
    <row r="1617" spans="1:58" s="52" customFormat="1" x14ac:dyDescent="0.25">
      <c r="A1617" s="53"/>
      <c r="B1617" s="60"/>
      <c r="C1617" s="57">
        <f t="shared" si="124"/>
        <v>0</v>
      </c>
      <c r="D1617" s="56"/>
      <c r="E1617" s="57">
        <f>[1]DETAY!$A$2</f>
        <v>0</v>
      </c>
      <c r="F1617" s="90">
        <f t="shared" si="125"/>
        <v>0</v>
      </c>
      <c r="G1617" s="92">
        <f t="shared" si="126"/>
        <v>0</v>
      </c>
      <c r="H1617" s="62" t="e">
        <f t="shared" si="127"/>
        <v>#DIV/0!</v>
      </c>
      <c r="I1617" s="57"/>
      <c r="J1617" s="57"/>
      <c r="K1617" s="57"/>
      <c r="L1617" s="57"/>
      <c r="M1617" s="58"/>
      <c r="N1617" s="57"/>
      <c r="O1617" s="57"/>
      <c r="P1617" s="57"/>
      <c r="Q1617" s="57"/>
      <c r="R1617" s="57"/>
      <c r="S1617" s="61"/>
      <c r="T1617" s="57"/>
      <c r="U1617" s="57"/>
      <c r="V1617" s="57"/>
      <c r="W1617" s="57"/>
      <c r="X1617" s="57"/>
      <c r="Y1617" s="57"/>
      <c r="Z1617" s="57"/>
      <c r="AA1617" s="57"/>
      <c r="AB1617" s="57"/>
      <c r="AC1617" s="57"/>
      <c r="AD1617" s="57"/>
      <c r="AE1617" s="57"/>
      <c r="AF1617" s="57"/>
      <c r="AG1617" s="57"/>
      <c r="AH1617" s="57"/>
      <c r="AI1617" s="57"/>
      <c r="AJ1617" s="57"/>
      <c r="AK1617" s="57"/>
      <c r="AL1617" s="57"/>
      <c r="AM1617" s="57"/>
      <c r="AN1617" s="57"/>
      <c r="AO1617" s="57"/>
      <c r="AP1617" s="57"/>
      <c r="AQ1617" s="57"/>
      <c r="AR1617" s="57"/>
      <c r="AS1617" s="57"/>
      <c r="AT1617" s="57"/>
      <c r="AU1617" s="57"/>
      <c r="AV1617" s="57"/>
      <c r="AW1617" s="57"/>
      <c r="AX1617" s="57"/>
      <c r="AY1617" s="57"/>
      <c r="AZ1617" s="57"/>
      <c r="BA1617" s="57"/>
      <c r="BB1617" s="57"/>
      <c r="BC1617" s="57"/>
      <c r="BD1617" s="57"/>
      <c r="BE1617" s="57"/>
      <c r="BF1617" s="57"/>
    </row>
    <row r="1618" spans="1:58" s="52" customFormat="1" x14ac:dyDescent="0.25">
      <c r="A1618" s="53"/>
      <c r="B1618" s="60"/>
      <c r="C1618" s="57">
        <f t="shared" si="124"/>
        <v>0</v>
      </c>
      <c r="D1618" s="56"/>
      <c r="E1618" s="57">
        <f>[1]DETAY!$A$2</f>
        <v>0</v>
      </c>
      <c r="F1618" s="90">
        <f t="shared" si="125"/>
        <v>0</v>
      </c>
      <c r="G1618" s="92">
        <f t="shared" si="126"/>
        <v>0</v>
      </c>
      <c r="H1618" s="62" t="e">
        <f t="shared" si="127"/>
        <v>#DIV/0!</v>
      </c>
      <c r="I1618" s="57"/>
      <c r="J1618" s="57"/>
      <c r="K1618" s="57"/>
      <c r="L1618" s="57"/>
      <c r="M1618" s="58"/>
      <c r="N1618" s="57"/>
      <c r="O1618" s="57"/>
      <c r="P1618" s="57"/>
      <c r="Q1618" s="57"/>
      <c r="R1618" s="57"/>
      <c r="S1618" s="61"/>
      <c r="T1618" s="57"/>
      <c r="U1618" s="57"/>
      <c r="V1618" s="57"/>
      <c r="W1618" s="57"/>
      <c r="X1618" s="57"/>
      <c r="Y1618" s="57"/>
      <c r="Z1618" s="57"/>
      <c r="AA1618" s="57"/>
      <c r="AB1618" s="57"/>
      <c r="AC1618" s="57"/>
      <c r="AD1618" s="57"/>
      <c r="AE1618" s="57"/>
      <c r="AF1618" s="57"/>
      <c r="AG1618" s="57"/>
      <c r="AH1618" s="57"/>
      <c r="AI1618" s="57"/>
      <c r="AJ1618" s="57"/>
      <c r="AK1618" s="57"/>
      <c r="AL1618" s="57"/>
      <c r="AM1618" s="57"/>
      <c r="AN1618" s="57"/>
      <c r="AO1618" s="57"/>
      <c r="AP1618" s="57"/>
      <c r="AQ1618" s="57"/>
      <c r="AR1618" s="57"/>
      <c r="AS1618" s="57"/>
      <c r="AT1618" s="57"/>
      <c r="AU1618" s="57"/>
      <c r="AV1618" s="57"/>
      <c r="AW1618" s="57"/>
      <c r="AX1618" s="57"/>
      <c r="AY1618" s="57"/>
      <c r="AZ1618" s="57"/>
      <c r="BA1618" s="57"/>
      <c r="BB1618" s="57"/>
      <c r="BC1618" s="57"/>
      <c r="BD1618" s="57"/>
      <c r="BE1618" s="57"/>
      <c r="BF1618" s="57"/>
    </row>
    <row r="1619" spans="1:58" s="52" customFormat="1" x14ac:dyDescent="0.25">
      <c r="A1619" s="53"/>
      <c r="B1619" s="60"/>
      <c r="C1619" s="57">
        <f t="shared" si="124"/>
        <v>0</v>
      </c>
      <c r="D1619" s="56"/>
      <c r="E1619" s="57">
        <f>[1]DETAY!$A$2</f>
        <v>0</v>
      </c>
      <c r="F1619" s="90">
        <f t="shared" si="125"/>
        <v>0</v>
      </c>
      <c r="G1619" s="92">
        <f t="shared" si="126"/>
        <v>0</v>
      </c>
      <c r="H1619" s="62" t="e">
        <f t="shared" si="127"/>
        <v>#DIV/0!</v>
      </c>
      <c r="I1619" s="57"/>
      <c r="J1619" s="57"/>
      <c r="K1619" s="57"/>
      <c r="L1619" s="57"/>
      <c r="M1619" s="58"/>
      <c r="N1619" s="57"/>
      <c r="O1619" s="57"/>
      <c r="P1619" s="57"/>
      <c r="Q1619" s="57"/>
      <c r="R1619" s="57"/>
      <c r="S1619" s="61"/>
      <c r="T1619" s="57"/>
      <c r="U1619" s="57"/>
      <c r="V1619" s="57"/>
      <c r="W1619" s="57"/>
      <c r="X1619" s="57"/>
      <c r="Y1619" s="57"/>
      <c r="Z1619" s="57"/>
      <c r="AA1619" s="57"/>
      <c r="AB1619" s="57"/>
      <c r="AC1619" s="57"/>
      <c r="AD1619" s="57"/>
      <c r="AE1619" s="57"/>
      <c r="AF1619" s="57"/>
      <c r="AG1619" s="57"/>
      <c r="AH1619" s="57"/>
      <c r="AI1619" s="57"/>
      <c r="AJ1619" s="57"/>
      <c r="AK1619" s="57"/>
      <c r="AL1619" s="57"/>
      <c r="AM1619" s="57"/>
      <c r="AN1619" s="57"/>
      <c r="AO1619" s="57"/>
      <c r="AP1619" s="57"/>
      <c r="AQ1619" s="57"/>
      <c r="AR1619" s="57"/>
      <c r="AS1619" s="57"/>
      <c r="AT1619" s="57"/>
      <c r="AU1619" s="57"/>
      <c r="AV1619" s="57"/>
      <c r="AW1619" s="57"/>
      <c r="AX1619" s="57"/>
      <c r="AY1619" s="57"/>
      <c r="AZ1619" s="57"/>
      <c r="BA1619" s="57"/>
      <c r="BB1619" s="57"/>
      <c r="BC1619" s="57"/>
      <c r="BD1619" s="57"/>
      <c r="BE1619" s="57"/>
      <c r="BF1619" s="57"/>
    </row>
    <row r="1620" spans="1:58" s="52" customFormat="1" x14ac:dyDescent="0.25">
      <c r="A1620" s="53"/>
      <c r="B1620" s="60"/>
      <c r="C1620" s="57">
        <f t="shared" si="124"/>
        <v>0</v>
      </c>
      <c r="D1620" s="56"/>
      <c r="E1620" s="57">
        <f>[1]DETAY!$A$2</f>
        <v>0</v>
      </c>
      <c r="F1620" s="90">
        <f t="shared" si="125"/>
        <v>0</v>
      </c>
      <c r="G1620" s="92">
        <f t="shared" si="126"/>
        <v>0</v>
      </c>
      <c r="H1620" s="62" t="e">
        <f t="shared" si="127"/>
        <v>#DIV/0!</v>
      </c>
      <c r="I1620" s="57"/>
      <c r="J1620" s="57"/>
      <c r="K1620" s="57"/>
      <c r="L1620" s="57"/>
      <c r="M1620" s="58"/>
      <c r="N1620" s="57"/>
      <c r="O1620" s="57"/>
      <c r="P1620" s="57"/>
      <c r="Q1620" s="57"/>
      <c r="R1620" s="57"/>
      <c r="S1620" s="61"/>
      <c r="T1620" s="57"/>
      <c r="U1620" s="57"/>
      <c r="V1620" s="57"/>
      <c r="W1620" s="57"/>
      <c r="X1620" s="57"/>
      <c r="Y1620" s="57"/>
      <c r="Z1620" s="57"/>
      <c r="AA1620" s="57"/>
      <c r="AB1620" s="57"/>
      <c r="AC1620" s="57"/>
      <c r="AD1620" s="57"/>
      <c r="AE1620" s="57"/>
      <c r="AF1620" s="57"/>
      <c r="AG1620" s="57"/>
      <c r="AH1620" s="57"/>
      <c r="AI1620" s="57"/>
      <c r="AJ1620" s="57"/>
      <c r="AK1620" s="57"/>
      <c r="AL1620" s="57"/>
      <c r="AM1620" s="57"/>
      <c r="AN1620" s="57"/>
      <c r="AO1620" s="57"/>
      <c r="AP1620" s="57"/>
      <c r="AQ1620" s="57"/>
      <c r="AR1620" s="57"/>
      <c r="AS1620" s="57"/>
      <c r="AT1620" s="57"/>
      <c r="AU1620" s="57"/>
      <c r="AV1620" s="57"/>
      <c r="AW1620" s="57"/>
      <c r="AX1620" s="57"/>
      <c r="AY1620" s="57"/>
      <c r="AZ1620" s="57"/>
      <c r="BA1620" s="57"/>
      <c r="BB1620" s="57"/>
      <c r="BC1620" s="57"/>
      <c r="BD1620" s="57"/>
      <c r="BE1620" s="57"/>
      <c r="BF1620" s="57"/>
    </row>
    <row r="1621" spans="1:58" s="52" customFormat="1" x14ac:dyDescent="0.25">
      <c r="A1621" s="53"/>
      <c r="B1621" s="60"/>
      <c r="C1621" s="57">
        <f t="shared" si="124"/>
        <v>0</v>
      </c>
      <c r="D1621" s="56"/>
      <c r="E1621" s="57">
        <f>[1]DETAY!$A$2</f>
        <v>0</v>
      </c>
      <c r="F1621" s="90">
        <f t="shared" si="125"/>
        <v>0</v>
      </c>
      <c r="G1621" s="92">
        <f t="shared" si="126"/>
        <v>0</v>
      </c>
      <c r="H1621" s="62" t="e">
        <f t="shared" si="127"/>
        <v>#DIV/0!</v>
      </c>
      <c r="I1621" s="57"/>
      <c r="J1621" s="57"/>
      <c r="K1621" s="57"/>
      <c r="L1621" s="57"/>
      <c r="M1621" s="58"/>
      <c r="N1621" s="57"/>
      <c r="O1621" s="57"/>
      <c r="P1621" s="57"/>
      <c r="Q1621" s="57"/>
      <c r="R1621" s="57"/>
      <c r="S1621" s="61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A1621" s="57"/>
      <c r="BB1621" s="57"/>
      <c r="BC1621" s="57"/>
      <c r="BD1621" s="57"/>
      <c r="BE1621" s="57"/>
      <c r="BF1621" s="57"/>
    </row>
    <row r="1622" spans="1:58" s="52" customFormat="1" x14ac:dyDescent="0.25">
      <c r="A1622" s="53"/>
      <c r="B1622" s="60"/>
      <c r="C1622" s="57">
        <f t="shared" si="124"/>
        <v>0</v>
      </c>
      <c r="D1622" s="56"/>
      <c r="E1622" s="57">
        <f>[1]DETAY!$A$2</f>
        <v>0</v>
      </c>
      <c r="F1622" s="90">
        <f t="shared" si="125"/>
        <v>0</v>
      </c>
      <c r="G1622" s="92">
        <f t="shared" si="126"/>
        <v>0</v>
      </c>
      <c r="H1622" s="62" t="e">
        <f t="shared" si="127"/>
        <v>#DIV/0!</v>
      </c>
      <c r="I1622" s="57"/>
      <c r="J1622" s="57"/>
      <c r="K1622" s="57"/>
      <c r="L1622" s="57"/>
      <c r="M1622" s="58"/>
      <c r="N1622" s="57"/>
      <c r="O1622" s="57"/>
      <c r="P1622" s="57"/>
      <c r="Q1622" s="57"/>
      <c r="R1622" s="57"/>
      <c r="S1622" s="61"/>
      <c r="T1622" s="57"/>
      <c r="U1622" s="57"/>
      <c r="V1622" s="57"/>
      <c r="W1622" s="57"/>
      <c r="X1622" s="57"/>
      <c r="Y1622" s="57"/>
      <c r="Z1622" s="57"/>
      <c r="AA1622" s="57"/>
      <c r="AB1622" s="57"/>
      <c r="AC1622" s="57"/>
      <c r="AD1622" s="57"/>
      <c r="AE1622" s="57"/>
      <c r="AF1622" s="57"/>
      <c r="AG1622" s="57"/>
      <c r="AH1622" s="57"/>
      <c r="AI1622" s="57"/>
      <c r="AJ1622" s="57"/>
      <c r="AK1622" s="57"/>
      <c r="AL1622" s="57"/>
      <c r="AM1622" s="57"/>
      <c r="AN1622" s="57"/>
      <c r="AO1622" s="57"/>
      <c r="AP1622" s="57"/>
      <c r="AQ1622" s="57"/>
      <c r="AR1622" s="57"/>
      <c r="AS1622" s="57"/>
      <c r="AT1622" s="57"/>
      <c r="AU1622" s="57"/>
      <c r="AV1622" s="57"/>
      <c r="AW1622" s="57"/>
      <c r="AX1622" s="57"/>
      <c r="AY1622" s="57"/>
      <c r="AZ1622" s="57"/>
      <c r="BA1622" s="57"/>
      <c r="BB1622" s="57"/>
      <c r="BC1622" s="57"/>
      <c r="BD1622" s="57"/>
      <c r="BE1622" s="57"/>
      <c r="BF1622" s="57"/>
    </row>
    <row r="1623" spans="1:58" s="52" customFormat="1" x14ac:dyDescent="0.25">
      <c r="A1623" s="53"/>
      <c r="B1623" s="60"/>
      <c r="C1623" s="57">
        <f t="shared" si="124"/>
        <v>0</v>
      </c>
      <c r="D1623" s="56"/>
      <c r="E1623" s="57">
        <f>[1]DETAY!$A$2</f>
        <v>0</v>
      </c>
      <c r="F1623" s="90">
        <f t="shared" si="125"/>
        <v>0</v>
      </c>
      <c r="G1623" s="92">
        <f t="shared" si="126"/>
        <v>0</v>
      </c>
      <c r="H1623" s="62" t="e">
        <f t="shared" si="127"/>
        <v>#DIV/0!</v>
      </c>
      <c r="I1623" s="57"/>
      <c r="J1623" s="57"/>
      <c r="K1623" s="57"/>
      <c r="L1623" s="57"/>
      <c r="M1623" s="58"/>
      <c r="N1623" s="57"/>
      <c r="O1623" s="57"/>
      <c r="P1623" s="57"/>
      <c r="Q1623" s="57"/>
      <c r="R1623" s="57"/>
      <c r="S1623" s="61"/>
      <c r="T1623" s="57"/>
      <c r="U1623" s="57"/>
      <c r="V1623" s="57"/>
      <c r="W1623" s="57"/>
      <c r="X1623" s="57"/>
      <c r="Y1623" s="57"/>
      <c r="Z1623" s="57"/>
      <c r="AA1623" s="57"/>
      <c r="AB1623" s="57"/>
      <c r="AC1623" s="57"/>
      <c r="AD1623" s="57"/>
      <c r="AE1623" s="57"/>
      <c r="AF1623" s="57"/>
      <c r="AG1623" s="57"/>
      <c r="AH1623" s="57"/>
      <c r="AI1623" s="57"/>
      <c r="AJ1623" s="57"/>
      <c r="AK1623" s="57"/>
      <c r="AL1623" s="57"/>
      <c r="AM1623" s="57"/>
      <c r="AN1623" s="57"/>
      <c r="AO1623" s="57"/>
      <c r="AP1623" s="57"/>
      <c r="AQ1623" s="57"/>
      <c r="AR1623" s="57"/>
      <c r="AS1623" s="57"/>
      <c r="AT1623" s="57"/>
      <c r="AU1623" s="57"/>
      <c r="AV1623" s="57"/>
      <c r="AW1623" s="57"/>
      <c r="AX1623" s="57"/>
      <c r="AY1623" s="57"/>
      <c r="AZ1623" s="57"/>
      <c r="BA1623" s="57"/>
      <c r="BB1623" s="57"/>
      <c r="BC1623" s="57"/>
      <c r="BD1623" s="57"/>
      <c r="BE1623" s="57"/>
      <c r="BF1623" s="57"/>
    </row>
    <row r="1624" spans="1:58" s="52" customFormat="1" x14ac:dyDescent="0.25">
      <c r="A1624" s="53"/>
      <c r="B1624" s="60"/>
      <c r="C1624" s="57">
        <f t="shared" si="124"/>
        <v>0</v>
      </c>
      <c r="D1624" s="56"/>
      <c r="E1624" s="57">
        <f>[1]DETAY!$A$2</f>
        <v>0</v>
      </c>
      <c r="F1624" s="90">
        <f t="shared" si="125"/>
        <v>0</v>
      </c>
      <c r="G1624" s="92">
        <f t="shared" si="126"/>
        <v>0</v>
      </c>
      <c r="H1624" s="62" t="e">
        <f t="shared" si="127"/>
        <v>#DIV/0!</v>
      </c>
      <c r="I1624" s="57"/>
      <c r="J1624" s="57"/>
      <c r="K1624" s="57"/>
      <c r="L1624" s="57"/>
      <c r="M1624" s="58"/>
      <c r="N1624" s="57"/>
      <c r="O1624" s="57"/>
      <c r="P1624" s="57"/>
      <c r="Q1624" s="57"/>
      <c r="R1624" s="57"/>
      <c r="S1624" s="61"/>
      <c r="T1624" s="57"/>
      <c r="U1624" s="57"/>
      <c r="V1624" s="57"/>
      <c r="W1624" s="57"/>
      <c r="X1624" s="57"/>
      <c r="Y1624" s="57"/>
      <c r="Z1624" s="57"/>
      <c r="AA1624" s="57"/>
      <c r="AB1624" s="57"/>
      <c r="AC1624" s="57"/>
      <c r="AD1624" s="57"/>
      <c r="AE1624" s="57"/>
      <c r="AF1624" s="57"/>
      <c r="AG1624" s="57"/>
      <c r="AH1624" s="57"/>
      <c r="AI1624" s="57"/>
      <c r="AJ1624" s="57"/>
      <c r="AK1624" s="57"/>
      <c r="AL1624" s="57"/>
      <c r="AM1624" s="57"/>
      <c r="AN1624" s="57"/>
      <c r="AO1624" s="57"/>
      <c r="AP1624" s="57"/>
      <c r="AQ1624" s="57"/>
      <c r="AR1624" s="57"/>
      <c r="AS1624" s="57"/>
      <c r="AT1624" s="57"/>
      <c r="AU1624" s="57"/>
      <c r="AV1624" s="57"/>
      <c r="AW1624" s="57"/>
      <c r="AX1624" s="57"/>
      <c r="AY1624" s="57"/>
      <c r="AZ1624" s="57"/>
      <c r="BA1624" s="57"/>
      <c r="BB1624" s="57"/>
      <c r="BC1624" s="57"/>
      <c r="BD1624" s="57"/>
      <c r="BE1624" s="57"/>
      <c r="BF1624" s="57"/>
    </row>
    <row r="1625" spans="1:58" s="52" customFormat="1" x14ac:dyDescent="0.25">
      <c r="A1625" s="53"/>
      <c r="B1625" s="60"/>
      <c r="C1625" s="57">
        <f t="shared" si="124"/>
        <v>0</v>
      </c>
      <c r="D1625" s="56"/>
      <c r="E1625" s="57">
        <f>[1]DETAY!$A$2</f>
        <v>0</v>
      </c>
      <c r="F1625" s="90">
        <f t="shared" si="125"/>
        <v>0</v>
      </c>
      <c r="G1625" s="92">
        <f t="shared" si="126"/>
        <v>0</v>
      </c>
      <c r="H1625" s="62" t="e">
        <f t="shared" si="127"/>
        <v>#DIV/0!</v>
      </c>
      <c r="I1625" s="57"/>
      <c r="J1625" s="57"/>
      <c r="K1625" s="57"/>
      <c r="L1625" s="57"/>
      <c r="M1625" s="58"/>
      <c r="N1625" s="57"/>
      <c r="O1625" s="57"/>
      <c r="P1625" s="57"/>
      <c r="Q1625" s="57"/>
      <c r="R1625" s="57"/>
      <c r="S1625" s="61"/>
      <c r="T1625" s="57"/>
      <c r="U1625" s="57"/>
      <c r="V1625" s="57"/>
      <c r="W1625" s="57"/>
      <c r="X1625" s="57"/>
      <c r="Y1625" s="57"/>
      <c r="Z1625" s="57"/>
      <c r="AA1625" s="57"/>
      <c r="AB1625" s="57"/>
      <c r="AC1625" s="57"/>
      <c r="AD1625" s="57"/>
      <c r="AE1625" s="57"/>
      <c r="AF1625" s="57"/>
      <c r="AG1625" s="57"/>
      <c r="AH1625" s="57"/>
      <c r="AI1625" s="57"/>
      <c r="AJ1625" s="57"/>
      <c r="AK1625" s="57"/>
      <c r="AL1625" s="57"/>
      <c r="AM1625" s="57"/>
      <c r="AN1625" s="57"/>
      <c r="AO1625" s="57"/>
      <c r="AP1625" s="57"/>
      <c r="AQ1625" s="57"/>
      <c r="AR1625" s="57"/>
      <c r="AS1625" s="57"/>
      <c r="AT1625" s="57"/>
      <c r="AU1625" s="57"/>
      <c r="AV1625" s="57"/>
      <c r="AW1625" s="57"/>
      <c r="AX1625" s="57"/>
      <c r="AY1625" s="57"/>
      <c r="AZ1625" s="57"/>
      <c r="BA1625" s="57"/>
      <c r="BB1625" s="57"/>
      <c r="BC1625" s="57"/>
      <c r="BD1625" s="57"/>
      <c r="BE1625" s="57"/>
      <c r="BF1625" s="57"/>
    </row>
    <row r="1626" spans="1:58" s="52" customFormat="1" x14ac:dyDescent="0.25">
      <c r="A1626" s="53"/>
      <c r="B1626" s="60"/>
      <c r="C1626" s="57">
        <f t="shared" si="124"/>
        <v>0</v>
      </c>
      <c r="D1626" s="56"/>
      <c r="E1626" s="57">
        <f>[1]DETAY!$A$2</f>
        <v>0</v>
      </c>
      <c r="F1626" s="90">
        <f t="shared" si="125"/>
        <v>0</v>
      </c>
      <c r="G1626" s="92">
        <f t="shared" si="126"/>
        <v>0</v>
      </c>
      <c r="H1626" s="62" t="e">
        <f t="shared" si="127"/>
        <v>#DIV/0!</v>
      </c>
      <c r="I1626" s="57"/>
      <c r="J1626" s="57"/>
      <c r="K1626" s="57"/>
      <c r="L1626" s="57"/>
      <c r="M1626" s="58"/>
      <c r="N1626" s="57"/>
      <c r="O1626" s="57"/>
      <c r="P1626" s="57"/>
      <c r="Q1626" s="57"/>
      <c r="R1626" s="57"/>
      <c r="S1626" s="61"/>
      <c r="T1626" s="57"/>
      <c r="U1626" s="57"/>
      <c r="V1626" s="57"/>
      <c r="W1626" s="57"/>
      <c r="X1626" s="57"/>
      <c r="Y1626" s="57"/>
      <c r="Z1626" s="57"/>
      <c r="AA1626" s="57"/>
      <c r="AB1626" s="57"/>
      <c r="AC1626" s="57"/>
      <c r="AD1626" s="57"/>
      <c r="AE1626" s="57"/>
      <c r="AF1626" s="57"/>
      <c r="AG1626" s="57"/>
      <c r="AH1626" s="57"/>
      <c r="AI1626" s="57"/>
      <c r="AJ1626" s="57"/>
      <c r="AK1626" s="57"/>
      <c r="AL1626" s="57"/>
      <c r="AM1626" s="57"/>
      <c r="AN1626" s="57"/>
      <c r="AO1626" s="57"/>
      <c r="AP1626" s="57"/>
      <c r="AQ1626" s="57"/>
      <c r="AR1626" s="57"/>
      <c r="AS1626" s="57"/>
      <c r="AT1626" s="57"/>
      <c r="AU1626" s="57"/>
      <c r="AV1626" s="57"/>
      <c r="AW1626" s="57"/>
      <c r="AX1626" s="57"/>
      <c r="AY1626" s="57"/>
      <c r="AZ1626" s="57"/>
      <c r="BA1626" s="57"/>
      <c r="BB1626" s="57"/>
      <c r="BC1626" s="57"/>
      <c r="BD1626" s="57"/>
      <c r="BE1626" s="57"/>
      <c r="BF1626" s="57"/>
    </row>
    <row r="1627" spans="1:58" s="52" customFormat="1" x14ac:dyDescent="0.25">
      <c r="A1627" s="53"/>
      <c r="B1627" s="60"/>
      <c r="C1627" s="57">
        <f t="shared" si="124"/>
        <v>0</v>
      </c>
      <c r="D1627" s="56"/>
      <c r="E1627" s="57">
        <f>[1]DETAY!$A$2</f>
        <v>0</v>
      </c>
      <c r="F1627" s="90">
        <f t="shared" si="125"/>
        <v>0</v>
      </c>
      <c r="G1627" s="92">
        <f t="shared" si="126"/>
        <v>0</v>
      </c>
      <c r="H1627" s="62" t="e">
        <f t="shared" si="127"/>
        <v>#DIV/0!</v>
      </c>
      <c r="I1627" s="57"/>
      <c r="J1627" s="57"/>
      <c r="K1627" s="57"/>
      <c r="L1627" s="57"/>
      <c r="M1627" s="58"/>
      <c r="N1627" s="57"/>
      <c r="O1627" s="57"/>
      <c r="P1627" s="57"/>
      <c r="Q1627" s="57"/>
      <c r="R1627" s="57"/>
      <c r="S1627" s="61"/>
      <c r="T1627" s="57"/>
      <c r="U1627" s="57"/>
      <c r="V1627" s="57"/>
      <c r="W1627" s="57"/>
      <c r="X1627" s="57"/>
      <c r="Y1627" s="57"/>
      <c r="Z1627" s="57"/>
      <c r="AA1627" s="57"/>
      <c r="AB1627" s="57"/>
      <c r="AC1627" s="57"/>
      <c r="AD1627" s="57"/>
      <c r="AE1627" s="57"/>
      <c r="AF1627" s="57"/>
      <c r="AG1627" s="57"/>
      <c r="AH1627" s="57"/>
      <c r="AI1627" s="57"/>
      <c r="AJ1627" s="57"/>
      <c r="AK1627" s="57"/>
      <c r="AL1627" s="57"/>
      <c r="AM1627" s="57"/>
      <c r="AN1627" s="57"/>
      <c r="AO1627" s="57"/>
      <c r="AP1627" s="57"/>
      <c r="AQ1627" s="57"/>
      <c r="AR1627" s="57"/>
      <c r="AS1627" s="57"/>
      <c r="AT1627" s="57"/>
      <c r="AU1627" s="57"/>
      <c r="AV1627" s="57"/>
      <c r="AW1627" s="57"/>
      <c r="AX1627" s="57"/>
      <c r="AY1627" s="57"/>
      <c r="AZ1627" s="57"/>
      <c r="BA1627" s="57"/>
      <c r="BB1627" s="57"/>
      <c r="BC1627" s="57"/>
      <c r="BD1627" s="57"/>
      <c r="BE1627" s="57"/>
      <c r="BF1627" s="57"/>
    </row>
    <row r="1628" spans="1:58" s="52" customFormat="1" x14ac:dyDescent="0.25">
      <c r="A1628" s="53"/>
      <c r="B1628" s="60"/>
      <c r="C1628" s="57">
        <f t="shared" si="124"/>
        <v>0</v>
      </c>
      <c r="D1628" s="56"/>
      <c r="E1628" s="57">
        <f>[1]DETAY!$A$2</f>
        <v>0</v>
      </c>
      <c r="F1628" s="90">
        <f t="shared" si="125"/>
        <v>0</v>
      </c>
      <c r="G1628" s="92">
        <f t="shared" si="126"/>
        <v>0</v>
      </c>
      <c r="H1628" s="62" t="e">
        <f t="shared" si="127"/>
        <v>#DIV/0!</v>
      </c>
      <c r="I1628" s="57"/>
      <c r="J1628" s="57"/>
      <c r="K1628" s="57"/>
      <c r="L1628" s="57"/>
      <c r="M1628" s="58"/>
      <c r="N1628" s="57"/>
      <c r="O1628" s="57"/>
      <c r="P1628" s="57"/>
      <c r="Q1628" s="57"/>
      <c r="R1628" s="57"/>
      <c r="S1628" s="61"/>
      <c r="T1628" s="57"/>
      <c r="U1628" s="57"/>
      <c r="V1628" s="57"/>
      <c r="W1628" s="57"/>
      <c r="X1628" s="57"/>
      <c r="Y1628" s="57"/>
      <c r="Z1628" s="57"/>
      <c r="AA1628" s="57"/>
      <c r="AB1628" s="57"/>
      <c r="AC1628" s="57"/>
      <c r="AD1628" s="57"/>
      <c r="AE1628" s="57"/>
      <c r="AF1628" s="57"/>
      <c r="AG1628" s="57"/>
      <c r="AH1628" s="57"/>
      <c r="AI1628" s="57"/>
      <c r="AJ1628" s="57"/>
      <c r="AK1628" s="57"/>
      <c r="AL1628" s="57"/>
      <c r="AM1628" s="57"/>
      <c r="AN1628" s="57"/>
      <c r="AO1628" s="57"/>
      <c r="AP1628" s="57"/>
      <c r="AQ1628" s="57"/>
      <c r="AR1628" s="57"/>
      <c r="AS1628" s="57"/>
      <c r="AT1628" s="57"/>
      <c r="AU1628" s="57"/>
      <c r="AV1628" s="57"/>
      <c r="AW1628" s="57"/>
      <c r="AX1628" s="57"/>
      <c r="AY1628" s="57"/>
      <c r="AZ1628" s="57"/>
      <c r="BA1628" s="57"/>
      <c r="BB1628" s="57"/>
      <c r="BC1628" s="57"/>
      <c r="BD1628" s="57"/>
      <c r="BE1628" s="57"/>
      <c r="BF1628" s="57"/>
    </row>
    <row r="1629" spans="1:58" s="52" customFormat="1" x14ac:dyDescent="0.25">
      <c r="A1629" s="53"/>
      <c r="B1629" s="60"/>
      <c r="C1629" s="57">
        <f t="shared" si="124"/>
        <v>0</v>
      </c>
      <c r="D1629" s="56"/>
      <c r="E1629" s="57">
        <f>[1]DETAY!$A$2</f>
        <v>0</v>
      </c>
      <c r="F1629" s="90">
        <f t="shared" si="125"/>
        <v>0</v>
      </c>
      <c r="G1629" s="92">
        <f t="shared" si="126"/>
        <v>0</v>
      </c>
      <c r="H1629" s="62" t="e">
        <f t="shared" si="127"/>
        <v>#DIV/0!</v>
      </c>
      <c r="I1629" s="57"/>
      <c r="J1629" s="57"/>
      <c r="K1629" s="57"/>
      <c r="L1629" s="57"/>
      <c r="M1629" s="58"/>
      <c r="N1629" s="57"/>
      <c r="O1629" s="57"/>
      <c r="P1629" s="57"/>
      <c r="Q1629" s="57"/>
      <c r="R1629" s="57"/>
      <c r="S1629" s="61"/>
      <c r="T1629" s="57"/>
      <c r="U1629" s="57"/>
      <c r="V1629" s="57"/>
      <c r="W1629" s="57"/>
      <c r="X1629" s="57"/>
      <c r="Y1629" s="57"/>
      <c r="Z1629" s="57"/>
      <c r="AA1629" s="57"/>
      <c r="AB1629" s="57"/>
      <c r="AC1629" s="57"/>
      <c r="AD1629" s="57"/>
      <c r="AE1629" s="57"/>
      <c r="AF1629" s="57"/>
      <c r="AG1629" s="57"/>
      <c r="AH1629" s="57"/>
      <c r="AI1629" s="57"/>
      <c r="AJ1629" s="57"/>
      <c r="AK1629" s="57"/>
      <c r="AL1629" s="57"/>
      <c r="AM1629" s="57"/>
      <c r="AN1629" s="57"/>
      <c r="AO1629" s="57"/>
      <c r="AP1629" s="57"/>
      <c r="AQ1629" s="57"/>
      <c r="AR1629" s="57"/>
      <c r="AS1629" s="57"/>
      <c r="AT1629" s="57"/>
      <c r="AU1629" s="57"/>
      <c r="AV1629" s="57"/>
      <c r="AW1629" s="57"/>
      <c r="AX1629" s="57"/>
      <c r="AY1629" s="57"/>
      <c r="AZ1629" s="57"/>
      <c r="BA1629" s="57"/>
      <c r="BB1629" s="57"/>
      <c r="BC1629" s="57"/>
      <c r="BD1629" s="57"/>
      <c r="BE1629" s="57"/>
      <c r="BF1629" s="57"/>
    </row>
    <row r="1630" spans="1:58" s="52" customFormat="1" x14ac:dyDescent="0.25">
      <c r="A1630" s="53"/>
      <c r="B1630" s="60"/>
      <c r="C1630" s="57">
        <f t="shared" si="124"/>
        <v>0</v>
      </c>
      <c r="D1630" s="56"/>
      <c r="E1630" s="57">
        <f>[1]DETAY!$A$2</f>
        <v>0</v>
      </c>
      <c r="F1630" s="90">
        <f t="shared" si="125"/>
        <v>0</v>
      </c>
      <c r="G1630" s="92">
        <f t="shared" si="126"/>
        <v>0</v>
      </c>
      <c r="H1630" s="62" t="e">
        <f t="shared" si="127"/>
        <v>#DIV/0!</v>
      </c>
      <c r="I1630" s="57"/>
      <c r="J1630" s="57"/>
      <c r="K1630" s="57"/>
      <c r="L1630" s="57"/>
      <c r="M1630" s="58"/>
      <c r="N1630" s="57"/>
      <c r="O1630" s="57"/>
      <c r="P1630" s="57"/>
      <c r="Q1630" s="57"/>
      <c r="R1630" s="57"/>
      <c r="S1630" s="61"/>
      <c r="T1630" s="57"/>
      <c r="U1630" s="57"/>
      <c r="V1630" s="57"/>
      <c r="W1630" s="57"/>
      <c r="X1630" s="57"/>
      <c r="Y1630" s="57"/>
      <c r="Z1630" s="57"/>
      <c r="AA1630" s="57"/>
      <c r="AB1630" s="57"/>
      <c r="AC1630" s="57"/>
      <c r="AD1630" s="57"/>
      <c r="AE1630" s="57"/>
      <c r="AF1630" s="57"/>
      <c r="AG1630" s="57"/>
      <c r="AH1630" s="57"/>
      <c r="AI1630" s="57"/>
      <c r="AJ1630" s="57"/>
      <c r="AK1630" s="57"/>
      <c r="AL1630" s="57"/>
      <c r="AM1630" s="57"/>
      <c r="AN1630" s="57"/>
      <c r="AO1630" s="57"/>
      <c r="AP1630" s="57"/>
      <c r="AQ1630" s="57"/>
      <c r="AR1630" s="57"/>
      <c r="AS1630" s="57"/>
      <c r="AT1630" s="57"/>
      <c r="AU1630" s="57"/>
      <c r="AV1630" s="57"/>
      <c r="AW1630" s="57"/>
      <c r="AX1630" s="57"/>
      <c r="AY1630" s="57"/>
      <c r="AZ1630" s="57"/>
      <c r="BA1630" s="57"/>
      <c r="BB1630" s="57"/>
      <c r="BC1630" s="57"/>
      <c r="BD1630" s="57"/>
      <c r="BE1630" s="57"/>
      <c r="BF1630" s="57"/>
    </row>
    <row r="1631" spans="1:58" s="52" customFormat="1" x14ac:dyDescent="0.25">
      <c r="A1631" s="53"/>
      <c r="B1631" s="60"/>
      <c r="C1631" s="57">
        <f t="shared" si="124"/>
        <v>0</v>
      </c>
      <c r="D1631" s="56"/>
      <c r="E1631" s="57">
        <f>[1]DETAY!$A$2</f>
        <v>0</v>
      </c>
      <c r="F1631" s="90">
        <f t="shared" si="125"/>
        <v>0</v>
      </c>
      <c r="G1631" s="92">
        <f t="shared" si="126"/>
        <v>0</v>
      </c>
      <c r="H1631" s="62" t="e">
        <f t="shared" si="127"/>
        <v>#DIV/0!</v>
      </c>
      <c r="I1631" s="57"/>
      <c r="J1631" s="57"/>
      <c r="K1631" s="57"/>
      <c r="L1631" s="57"/>
      <c r="M1631" s="58"/>
      <c r="N1631" s="57"/>
      <c r="O1631" s="57"/>
      <c r="P1631" s="57"/>
      <c r="Q1631" s="57"/>
      <c r="R1631" s="57"/>
      <c r="S1631" s="61"/>
      <c r="T1631" s="57"/>
      <c r="U1631" s="57"/>
      <c r="V1631" s="57"/>
      <c r="W1631" s="57"/>
      <c r="X1631" s="57"/>
      <c r="Y1631" s="57"/>
      <c r="Z1631" s="57"/>
      <c r="AA1631" s="57"/>
      <c r="AB1631" s="57"/>
      <c r="AC1631" s="57"/>
      <c r="AD1631" s="57"/>
      <c r="AE1631" s="57"/>
      <c r="AF1631" s="57"/>
      <c r="AG1631" s="57"/>
      <c r="AH1631" s="57"/>
      <c r="AI1631" s="57"/>
      <c r="AJ1631" s="57"/>
      <c r="AK1631" s="57"/>
      <c r="AL1631" s="57"/>
      <c r="AM1631" s="57"/>
      <c r="AN1631" s="57"/>
      <c r="AO1631" s="57"/>
      <c r="AP1631" s="57"/>
      <c r="AQ1631" s="57"/>
      <c r="AR1631" s="57"/>
      <c r="AS1631" s="57"/>
      <c r="AT1631" s="57"/>
      <c r="AU1631" s="57"/>
      <c r="AV1631" s="57"/>
      <c r="AW1631" s="57"/>
      <c r="AX1631" s="57"/>
      <c r="AY1631" s="57"/>
      <c r="AZ1631" s="57"/>
      <c r="BA1631" s="57"/>
      <c r="BB1631" s="57"/>
      <c r="BC1631" s="57"/>
      <c r="BD1631" s="57"/>
      <c r="BE1631" s="57"/>
      <c r="BF1631" s="57"/>
    </row>
    <row r="1632" spans="1:58" s="52" customFormat="1" x14ac:dyDescent="0.25">
      <c r="A1632" s="53"/>
      <c r="B1632" s="60"/>
      <c r="C1632" s="57">
        <f t="shared" si="124"/>
        <v>0</v>
      </c>
      <c r="D1632" s="56"/>
      <c r="E1632" s="57">
        <f>[1]DETAY!$A$2</f>
        <v>0</v>
      </c>
      <c r="F1632" s="90">
        <f t="shared" si="125"/>
        <v>0</v>
      </c>
      <c r="G1632" s="92">
        <f t="shared" si="126"/>
        <v>0</v>
      </c>
      <c r="H1632" s="62" t="e">
        <f t="shared" si="127"/>
        <v>#DIV/0!</v>
      </c>
      <c r="I1632" s="57"/>
      <c r="J1632" s="57"/>
      <c r="K1632" s="57"/>
      <c r="L1632" s="57"/>
      <c r="M1632" s="58"/>
      <c r="N1632" s="57"/>
      <c r="O1632" s="57"/>
      <c r="P1632" s="57"/>
      <c r="Q1632" s="57"/>
      <c r="R1632" s="57"/>
      <c r="S1632" s="61"/>
      <c r="T1632" s="57"/>
      <c r="U1632" s="57"/>
      <c r="V1632" s="57"/>
      <c r="W1632" s="57"/>
      <c r="X1632" s="57"/>
      <c r="Y1632" s="57"/>
      <c r="Z1632" s="57"/>
      <c r="AA1632" s="57"/>
      <c r="AB1632" s="57"/>
      <c r="AC1632" s="57"/>
      <c r="AD1632" s="57"/>
      <c r="AE1632" s="57"/>
      <c r="AF1632" s="57"/>
      <c r="AG1632" s="57"/>
      <c r="AH1632" s="57"/>
      <c r="AI1632" s="57"/>
      <c r="AJ1632" s="57"/>
      <c r="AK1632" s="57"/>
      <c r="AL1632" s="57"/>
      <c r="AM1632" s="57"/>
      <c r="AN1632" s="57"/>
      <c r="AO1632" s="57"/>
      <c r="AP1632" s="57"/>
      <c r="AQ1632" s="57"/>
      <c r="AR1632" s="57"/>
      <c r="AS1632" s="57"/>
      <c r="AT1632" s="57"/>
      <c r="AU1632" s="57"/>
      <c r="AV1632" s="57"/>
      <c r="AW1632" s="57"/>
      <c r="AX1632" s="57"/>
      <c r="AY1632" s="57"/>
      <c r="AZ1632" s="57"/>
      <c r="BA1632" s="57"/>
      <c r="BB1632" s="57"/>
      <c r="BC1632" s="57"/>
      <c r="BD1632" s="57"/>
      <c r="BE1632" s="57"/>
      <c r="BF1632" s="57"/>
    </row>
    <row r="1633" spans="1:58" s="52" customFormat="1" x14ac:dyDescent="0.25">
      <c r="A1633" s="53"/>
      <c r="B1633" s="60"/>
      <c r="C1633" s="57">
        <f t="shared" si="124"/>
        <v>0</v>
      </c>
      <c r="D1633" s="56"/>
      <c r="E1633" s="57">
        <f>[1]DETAY!$A$2</f>
        <v>0</v>
      </c>
      <c r="F1633" s="90">
        <f t="shared" si="125"/>
        <v>0</v>
      </c>
      <c r="G1633" s="92">
        <f t="shared" si="126"/>
        <v>0</v>
      </c>
      <c r="H1633" s="62" t="e">
        <f t="shared" si="127"/>
        <v>#DIV/0!</v>
      </c>
      <c r="I1633" s="57"/>
      <c r="J1633" s="57"/>
      <c r="K1633" s="57"/>
      <c r="L1633" s="57"/>
      <c r="M1633" s="58"/>
      <c r="N1633" s="57"/>
      <c r="O1633" s="57"/>
      <c r="P1633" s="57"/>
      <c r="Q1633" s="57"/>
      <c r="R1633" s="57"/>
      <c r="S1633" s="61"/>
      <c r="T1633" s="57"/>
      <c r="U1633" s="57"/>
      <c r="V1633" s="57"/>
      <c r="W1633" s="57"/>
      <c r="X1633" s="57"/>
      <c r="Y1633" s="57"/>
      <c r="Z1633" s="57"/>
      <c r="AA1633" s="57"/>
      <c r="AB1633" s="57"/>
      <c r="AC1633" s="57"/>
      <c r="AD1633" s="57"/>
      <c r="AE1633" s="57"/>
      <c r="AF1633" s="57"/>
      <c r="AG1633" s="57"/>
      <c r="AH1633" s="57"/>
      <c r="AI1633" s="57"/>
      <c r="AJ1633" s="57"/>
      <c r="AK1633" s="57"/>
      <c r="AL1633" s="57"/>
      <c r="AM1633" s="57"/>
      <c r="AN1633" s="57"/>
      <c r="AO1633" s="57"/>
      <c r="AP1633" s="57"/>
      <c r="AQ1633" s="57"/>
      <c r="AR1633" s="57"/>
      <c r="AS1633" s="57"/>
      <c r="AT1633" s="57"/>
      <c r="AU1633" s="57"/>
      <c r="AV1633" s="57"/>
      <c r="AW1633" s="57"/>
      <c r="AX1633" s="57"/>
      <c r="AY1633" s="57"/>
      <c r="AZ1633" s="57"/>
      <c r="BA1633" s="57"/>
      <c r="BB1633" s="57"/>
      <c r="BC1633" s="57"/>
      <c r="BD1633" s="57"/>
      <c r="BE1633" s="57"/>
      <c r="BF1633" s="57"/>
    </row>
    <row r="1634" spans="1:58" s="52" customFormat="1" x14ac:dyDescent="0.25">
      <c r="A1634" s="53"/>
      <c r="B1634" s="60"/>
      <c r="C1634" s="57">
        <f t="shared" si="124"/>
        <v>0</v>
      </c>
      <c r="D1634" s="56"/>
      <c r="E1634" s="57">
        <f>[1]DETAY!$A$2</f>
        <v>0</v>
      </c>
      <c r="F1634" s="90">
        <f t="shared" si="125"/>
        <v>0</v>
      </c>
      <c r="G1634" s="92">
        <f t="shared" si="126"/>
        <v>0</v>
      </c>
      <c r="H1634" s="62" t="e">
        <f t="shared" si="127"/>
        <v>#DIV/0!</v>
      </c>
      <c r="I1634" s="57"/>
      <c r="J1634" s="57"/>
      <c r="K1634" s="57"/>
      <c r="L1634" s="57"/>
      <c r="M1634" s="58"/>
      <c r="N1634" s="57"/>
      <c r="O1634" s="57"/>
      <c r="P1634" s="57"/>
      <c r="Q1634" s="57"/>
      <c r="R1634" s="57"/>
      <c r="S1634" s="61"/>
      <c r="T1634" s="57"/>
      <c r="U1634" s="57"/>
      <c r="V1634" s="57"/>
      <c r="W1634" s="57"/>
      <c r="X1634" s="57"/>
      <c r="Y1634" s="57"/>
      <c r="Z1634" s="57"/>
      <c r="AA1634" s="57"/>
      <c r="AB1634" s="57"/>
      <c r="AC1634" s="57"/>
      <c r="AD1634" s="57"/>
      <c r="AE1634" s="57"/>
      <c r="AF1634" s="57"/>
      <c r="AG1634" s="57"/>
      <c r="AH1634" s="57"/>
      <c r="AI1634" s="57"/>
      <c r="AJ1634" s="57"/>
      <c r="AK1634" s="57"/>
      <c r="AL1634" s="57"/>
      <c r="AM1634" s="57"/>
      <c r="AN1634" s="57"/>
      <c r="AO1634" s="57"/>
      <c r="AP1634" s="57"/>
      <c r="AQ1634" s="57"/>
      <c r="AR1634" s="57"/>
      <c r="AS1634" s="57"/>
      <c r="AT1634" s="57"/>
      <c r="AU1634" s="57"/>
      <c r="AV1634" s="57"/>
      <c r="AW1634" s="57"/>
      <c r="AX1634" s="57"/>
      <c r="AY1634" s="57"/>
      <c r="AZ1634" s="57"/>
      <c r="BA1634" s="57"/>
      <c r="BB1634" s="57"/>
      <c r="BC1634" s="57"/>
      <c r="BD1634" s="57"/>
      <c r="BE1634" s="57"/>
      <c r="BF1634" s="57"/>
    </row>
    <row r="1635" spans="1:58" s="52" customFormat="1" x14ac:dyDescent="0.25">
      <c r="A1635" s="53"/>
      <c r="B1635" s="60"/>
      <c r="C1635" s="57">
        <f t="shared" si="124"/>
        <v>0</v>
      </c>
      <c r="D1635" s="56"/>
      <c r="E1635" s="57">
        <f>[1]DETAY!$A$2</f>
        <v>0</v>
      </c>
      <c r="F1635" s="90">
        <f t="shared" si="125"/>
        <v>0</v>
      </c>
      <c r="G1635" s="92">
        <f t="shared" si="126"/>
        <v>0</v>
      </c>
      <c r="H1635" s="62" t="e">
        <f t="shared" si="127"/>
        <v>#DIV/0!</v>
      </c>
      <c r="I1635" s="57"/>
      <c r="J1635" s="57"/>
      <c r="K1635" s="57"/>
      <c r="L1635" s="57"/>
      <c r="M1635" s="58"/>
      <c r="N1635" s="57"/>
      <c r="O1635" s="57"/>
      <c r="P1635" s="57"/>
      <c r="Q1635" s="57"/>
      <c r="R1635" s="57"/>
      <c r="S1635" s="61"/>
      <c r="T1635" s="57"/>
      <c r="U1635" s="57"/>
      <c r="V1635" s="57"/>
      <c r="W1635" s="57"/>
      <c r="X1635" s="57"/>
      <c r="Y1635" s="57"/>
      <c r="Z1635" s="57"/>
      <c r="AA1635" s="57"/>
      <c r="AB1635" s="57"/>
      <c r="AC1635" s="57"/>
      <c r="AD1635" s="57"/>
      <c r="AE1635" s="57"/>
      <c r="AF1635" s="57"/>
      <c r="AG1635" s="57"/>
      <c r="AH1635" s="57"/>
      <c r="AI1635" s="57"/>
      <c r="AJ1635" s="57"/>
      <c r="AK1635" s="57"/>
      <c r="AL1635" s="57"/>
      <c r="AM1635" s="57"/>
      <c r="AN1635" s="57"/>
      <c r="AO1635" s="57"/>
      <c r="AP1635" s="57"/>
      <c r="AQ1635" s="57"/>
      <c r="AR1635" s="57"/>
      <c r="AS1635" s="57"/>
      <c r="AT1635" s="57"/>
      <c r="AU1635" s="57"/>
      <c r="AV1635" s="57"/>
      <c r="AW1635" s="57"/>
      <c r="AX1635" s="57"/>
      <c r="AY1635" s="57"/>
      <c r="AZ1635" s="57"/>
      <c r="BA1635" s="57"/>
      <c r="BB1635" s="57"/>
      <c r="BC1635" s="57"/>
      <c r="BD1635" s="57"/>
      <c r="BE1635" s="57"/>
      <c r="BF1635" s="57"/>
    </row>
    <row r="1636" spans="1:58" s="52" customFormat="1" x14ac:dyDescent="0.25">
      <c r="A1636" s="53"/>
      <c r="B1636" s="60"/>
      <c r="C1636" s="57">
        <f t="shared" si="124"/>
        <v>0</v>
      </c>
      <c r="D1636" s="56"/>
      <c r="E1636" s="57">
        <f>[1]DETAY!$A$2</f>
        <v>0</v>
      </c>
      <c r="F1636" s="90">
        <f t="shared" si="125"/>
        <v>0</v>
      </c>
      <c r="G1636" s="92">
        <f t="shared" si="126"/>
        <v>0</v>
      </c>
      <c r="H1636" s="62" t="e">
        <f t="shared" si="127"/>
        <v>#DIV/0!</v>
      </c>
      <c r="I1636" s="57"/>
      <c r="J1636" s="57"/>
      <c r="K1636" s="57"/>
      <c r="L1636" s="57"/>
      <c r="M1636" s="58"/>
      <c r="N1636" s="57"/>
      <c r="O1636" s="57"/>
      <c r="P1636" s="57"/>
      <c r="Q1636" s="57"/>
      <c r="R1636" s="57"/>
      <c r="S1636" s="61"/>
      <c r="T1636" s="57"/>
      <c r="U1636" s="57"/>
      <c r="V1636" s="57"/>
      <c r="W1636" s="57"/>
      <c r="X1636" s="57"/>
      <c r="Y1636" s="57"/>
      <c r="Z1636" s="57"/>
      <c r="AA1636" s="57"/>
      <c r="AB1636" s="57"/>
      <c r="AC1636" s="57"/>
      <c r="AD1636" s="57"/>
      <c r="AE1636" s="57"/>
      <c r="AF1636" s="57"/>
      <c r="AG1636" s="57"/>
      <c r="AH1636" s="57"/>
      <c r="AI1636" s="57"/>
      <c r="AJ1636" s="57"/>
      <c r="AK1636" s="57"/>
      <c r="AL1636" s="57"/>
      <c r="AM1636" s="57"/>
      <c r="AN1636" s="57"/>
      <c r="AO1636" s="57"/>
      <c r="AP1636" s="57"/>
      <c r="AQ1636" s="57"/>
      <c r="AR1636" s="57"/>
      <c r="AS1636" s="57"/>
      <c r="AT1636" s="57"/>
      <c r="AU1636" s="57"/>
      <c r="AV1636" s="57"/>
      <c r="AW1636" s="57"/>
      <c r="AX1636" s="57"/>
      <c r="AY1636" s="57"/>
      <c r="AZ1636" s="57"/>
      <c r="BA1636" s="57"/>
      <c r="BB1636" s="57"/>
      <c r="BC1636" s="57"/>
      <c r="BD1636" s="57"/>
      <c r="BE1636" s="57"/>
      <c r="BF1636" s="57"/>
    </row>
    <row r="1637" spans="1:58" s="52" customFormat="1" x14ac:dyDescent="0.25">
      <c r="A1637" s="53"/>
      <c r="B1637" s="60"/>
      <c r="C1637" s="57">
        <f t="shared" si="124"/>
        <v>0</v>
      </c>
      <c r="D1637" s="56"/>
      <c r="E1637" s="57">
        <f>[1]DETAY!$A$2</f>
        <v>0</v>
      </c>
      <c r="F1637" s="90">
        <f t="shared" si="125"/>
        <v>0</v>
      </c>
      <c r="G1637" s="92">
        <f t="shared" si="126"/>
        <v>0</v>
      </c>
      <c r="H1637" s="62" t="e">
        <f t="shared" si="127"/>
        <v>#DIV/0!</v>
      </c>
      <c r="I1637" s="57"/>
      <c r="J1637" s="57"/>
      <c r="K1637" s="57"/>
      <c r="L1637" s="57"/>
      <c r="M1637" s="58"/>
      <c r="N1637" s="57"/>
      <c r="O1637" s="57"/>
      <c r="P1637" s="57"/>
      <c r="Q1637" s="57"/>
      <c r="R1637" s="57"/>
      <c r="S1637" s="61"/>
      <c r="T1637" s="57"/>
      <c r="U1637" s="57"/>
      <c r="V1637" s="57"/>
      <c r="W1637" s="57"/>
      <c r="X1637" s="57"/>
      <c r="Y1637" s="57"/>
      <c r="Z1637" s="57"/>
      <c r="AA1637" s="57"/>
      <c r="AB1637" s="57"/>
      <c r="AC1637" s="57"/>
      <c r="AD1637" s="57"/>
      <c r="AE1637" s="57"/>
      <c r="AF1637" s="57"/>
      <c r="AG1637" s="57"/>
      <c r="AH1637" s="57"/>
      <c r="AI1637" s="57"/>
      <c r="AJ1637" s="57"/>
      <c r="AK1637" s="57"/>
      <c r="AL1637" s="57"/>
      <c r="AM1637" s="57"/>
      <c r="AN1637" s="57"/>
      <c r="AO1637" s="57"/>
      <c r="AP1637" s="57"/>
      <c r="AQ1637" s="57"/>
      <c r="AR1637" s="57"/>
      <c r="AS1637" s="57"/>
      <c r="AT1637" s="57"/>
      <c r="AU1637" s="57"/>
      <c r="AV1637" s="57"/>
      <c r="AW1637" s="57"/>
      <c r="AX1637" s="57"/>
      <c r="AY1637" s="57"/>
      <c r="AZ1637" s="57"/>
      <c r="BA1637" s="57"/>
      <c r="BB1637" s="57"/>
      <c r="BC1637" s="57"/>
      <c r="BD1637" s="57"/>
      <c r="BE1637" s="57"/>
      <c r="BF1637" s="57"/>
    </row>
    <row r="1638" spans="1:58" s="52" customFormat="1" x14ac:dyDescent="0.25">
      <c r="A1638" s="53"/>
      <c r="B1638" s="60"/>
      <c r="C1638" s="57">
        <f t="shared" si="124"/>
        <v>0</v>
      </c>
      <c r="D1638" s="56"/>
      <c r="E1638" s="57">
        <f>[1]DETAY!$A$2</f>
        <v>0</v>
      </c>
      <c r="F1638" s="90">
        <f t="shared" si="125"/>
        <v>0</v>
      </c>
      <c r="G1638" s="92">
        <f t="shared" si="126"/>
        <v>0</v>
      </c>
      <c r="H1638" s="62" t="e">
        <f t="shared" si="127"/>
        <v>#DIV/0!</v>
      </c>
      <c r="I1638" s="57"/>
      <c r="J1638" s="57"/>
      <c r="K1638" s="57"/>
      <c r="L1638" s="57"/>
      <c r="M1638" s="58"/>
      <c r="N1638" s="57"/>
      <c r="O1638" s="57"/>
      <c r="P1638" s="57"/>
      <c r="Q1638" s="57"/>
      <c r="R1638" s="57"/>
      <c r="S1638" s="61"/>
      <c r="T1638" s="57"/>
      <c r="U1638" s="57"/>
      <c r="V1638" s="57"/>
      <c r="W1638" s="57"/>
      <c r="X1638" s="57"/>
      <c r="Y1638" s="57"/>
      <c r="Z1638" s="57"/>
      <c r="AA1638" s="57"/>
      <c r="AB1638" s="57"/>
      <c r="AC1638" s="57"/>
      <c r="AD1638" s="57"/>
      <c r="AE1638" s="57"/>
      <c r="AF1638" s="57"/>
      <c r="AG1638" s="57"/>
      <c r="AH1638" s="57"/>
      <c r="AI1638" s="57"/>
      <c r="AJ1638" s="57"/>
      <c r="AK1638" s="57"/>
      <c r="AL1638" s="57"/>
      <c r="AM1638" s="57"/>
      <c r="AN1638" s="57"/>
      <c r="AO1638" s="57"/>
      <c r="AP1638" s="57"/>
      <c r="AQ1638" s="57"/>
      <c r="AR1638" s="57"/>
      <c r="AS1638" s="57"/>
      <c r="AT1638" s="57"/>
      <c r="AU1638" s="57"/>
      <c r="AV1638" s="57"/>
      <c r="AW1638" s="57"/>
      <c r="AX1638" s="57"/>
      <c r="AY1638" s="57"/>
      <c r="AZ1638" s="57"/>
      <c r="BA1638" s="57"/>
      <c r="BB1638" s="57"/>
      <c r="BC1638" s="57"/>
      <c r="BD1638" s="57"/>
      <c r="BE1638" s="57"/>
      <c r="BF1638" s="57"/>
    </row>
    <row r="1639" spans="1:58" s="52" customFormat="1" x14ac:dyDescent="0.25">
      <c r="A1639" s="53"/>
      <c r="B1639" s="60"/>
      <c r="C1639" s="57">
        <f t="shared" si="124"/>
        <v>0</v>
      </c>
      <c r="D1639" s="56"/>
      <c r="E1639" s="57">
        <f>[1]DETAY!$A$2</f>
        <v>0</v>
      </c>
      <c r="F1639" s="90">
        <f t="shared" si="125"/>
        <v>0</v>
      </c>
      <c r="G1639" s="92">
        <f t="shared" si="126"/>
        <v>0</v>
      </c>
      <c r="H1639" s="62" t="e">
        <f t="shared" si="127"/>
        <v>#DIV/0!</v>
      </c>
      <c r="I1639" s="57"/>
      <c r="J1639" s="57"/>
      <c r="K1639" s="57"/>
      <c r="L1639" s="57"/>
      <c r="M1639" s="58"/>
      <c r="N1639" s="57"/>
      <c r="O1639" s="57"/>
      <c r="P1639" s="57"/>
      <c r="Q1639" s="57"/>
      <c r="R1639" s="57"/>
      <c r="S1639" s="61"/>
      <c r="T1639" s="57"/>
      <c r="U1639" s="57"/>
      <c r="V1639" s="57"/>
      <c r="W1639" s="57"/>
      <c r="X1639" s="57"/>
      <c r="Y1639" s="57"/>
      <c r="Z1639" s="57"/>
      <c r="AA1639" s="57"/>
      <c r="AB1639" s="57"/>
      <c r="AC1639" s="57"/>
      <c r="AD1639" s="57"/>
      <c r="AE1639" s="57"/>
      <c r="AF1639" s="57"/>
      <c r="AG1639" s="57"/>
      <c r="AH1639" s="57"/>
      <c r="AI1639" s="57"/>
      <c r="AJ1639" s="57"/>
      <c r="AK1639" s="57"/>
      <c r="AL1639" s="57"/>
      <c r="AM1639" s="57"/>
      <c r="AN1639" s="57"/>
      <c r="AO1639" s="57"/>
      <c r="AP1639" s="57"/>
      <c r="AQ1639" s="57"/>
      <c r="AR1639" s="57"/>
      <c r="AS1639" s="57"/>
      <c r="AT1639" s="57"/>
      <c r="AU1639" s="57"/>
      <c r="AV1639" s="57"/>
      <c r="AW1639" s="57"/>
      <c r="AX1639" s="57"/>
      <c r="AY1639" s="57"/>
      <c r="AZ1639" s="57"/>
      <c r="BA1639" s="57"/>
      <c r="BB1639" s="57"/>
      <c r="BC1639" s="57"/>
      <c r="BD1639" s="57"/>
      <c r="BE1639" s="57"/>
      <c r="BF1639" s="57"/>
    </row>
    <row r="1640" spans="1:58" s="52" customFormat="1" x14ac:dyDescent="0.25">
      <c r="A1640" s="53"/>
      <c r="B1640" s="60"/>
      <c r="C1640" s="57">
        <f t="shared" si="124"/>
        <v>0</v>
      </c>
      <c r="D1640" s="56"/>
      <c r="E1640" s="57">
        <f>[1]DETAY!$A$2</f>
        <v>0</v>
      </c>
      <c r="F1640" s="90">
        <f t="shared" si="125"/>
        <v>0</v>
      </c>
      <c r="G1640" s="92">
        <f t="shared" si="126"/>
        <v>0</v>
      </c>
      <c r="H1640" s="62" t="e">
        <f t="shared" si="127"/>
        <v>#DIV/0!</v>
      </c>
      <c r="I1640" s="57"/>
      <c r="J1640" s="57"/>
      <c r="K1640" s="57"/>
      <c r="L1640" s="57"/>
      <c r="M1640" s="58"/>
      <c r="N1640" s="57"/>
      <c r="O1640" s="57"/>
      <c r="P1640" s="57"/>
      <c r="Q1640" s="57"/>
      <c r="R1640" s="57"/>
      <c r="S1640" s="61"/>
      <c r="T1640" s="57"/>
      <c r="U1640" s="57"/>
      <c r="V1640" s="57"/>
      <c r="W1640" s="57"/>
      <c r="X1640" s="57"/>
      <c r="Y1640" s="57"/>
      <c r="Z1640" s="57"/>
      <c r="AA1640" s="57"/>
      <c r="AB1640" s="57"/>
      <c r="AC1640" s="57"/>
      <c r="AD1640" s="57"/>
      <c r="AE1640" s="57"/>
      <c r="AF1640" s="57"/>
      <c r="AG1640" s="57"/>
      <c r="AH1640" s="57"/>
      <c r="AI1640" s="57"/>
      <c r="AJ1640" s="57"/>
      <c r="AK1640" s="57"/>
      <c r="AL1640" s="57"/>
      <c r="AM1640" s="57"/>
      <c r="AN1640" s="57"/>
      <c r="AO1640" s="57"/>
      <c r="AP1640" s="57"/>
      <c r="AQ1640" s="57"/>
      <c r="AR1640" s="57"/>
      <c r="AS1640" s="57"/>
      <c r="AT1640" s="57"/>
      <c r="AU1640" s="57"/>
      <c r="AV1640" s="57"/>
      <c r="AW1640" s="57"/>
      <c r="AX1640" s="57"/>
      <c r="AY1640" s="57"/>
      <c r="AZ1640" s="57"/>
      <c r="BA1640" s="57"/>
      <c r="BB1640" s="57"/>
      <c r="BC1640" s="57"/>
      <c r="BD1640" s="57"/>
      <c r="BE1640" s="57"/>
      <c r="BF1640" s="57"/>
    </row>
    <row r="1641" spans="1:58" s="52" customFormat="1" x14ac:dyDescent="0.25">
      <c r="A1641" s="53"/>
      <c r="B1641" s="60"/>
      <c r="C1641" s="57">
        <f t="shared" si="124"/>
        <v>0</v>
      </c>
      <c r="D1641" s="56"/>
      <c r="E1641" s="57">
        <f>[1]DETAY!$A$2</f>
        <v>0</v>
      </c>
      <c r="F1641" s="90">
        <f t="shared" si="125"/>
        <v>0</v>
      </c>
      <c r="G1641" s="92">
        <f t="shared" si="126"/>
        <v>0</v>
      </c>
      <c r="H1641" s="62" t="e">
        <f t="shared" si="127"/>
        <v>#DIV/0!</v>
      </c>
      <c r="I1641" s="57"/>
      <c r="J1641" s="57"/>
      <c r="K1641" s="57"/>
      <c r="L1641" s="57"/>
      <c r="M1641" s="58"/>
      <c r="N1641" s="57"/>
      <c r="O1641" s="57"/>
      <c r="P1641" s="57"/>
      <c r="Q1641" s="57"/>
      <c r="R1641" s="57"/>
      <c r="S1641" s="61"/>
      <c r="T1641" s="57"/>
      <c r="U1641" s="57"/>
      <c r="V1641" s="57"/>
      <c r="W1641" s="57"/>
      <c r="X1641" s="57"/>
      <c r="Y1641" s="57"/>
      <c r="Z1641" s="57"/>
      <c r="AA1641" s="57"/>
      <c r="AB1641" s="57"/>
      <c r="AC1641" s="57"/>
      <c r="AD1641" s="57"/>
      <c r="AE1641" s="57"/>
      <c r="AF1641" s="57"/>
      <c r="AG1641" s="57"/>
      <c r="AH1641" s="57"/>
      <c r="AI1641" s="57"/>
      <c r="AJ1641" s="57"/>
      <c r="AK1641" s="57"/>
      <c r="AL1641" s="57"/>
      <c r="AM1641" s="57"/>
      <c r="AN1641" s="57"/>
      <c r="AO1641" s="57"/>
      <c r="AP1641" s="57"/>
      <c r="AQ1641" s="57"/>
      <c r="AR1641" s="57"/>
      <c r="AS1641" s="57"/>
      <c r="AT1641" s="57"/>
      <c r="AU1641" s="57"/>
      <c r="AV1641" s="57"/>
      <c r="AW1641" s="57"/>
      <c r="AX1641" s="57"/>
      <c r="AY1641" s="57"/>
      <c r="AZ1641" s="57"/>
      <c r="BA1641" s="57"/>
      <c r="BB1641" s="57"/>
      <c r="BC1641" s="57"/>
      <c r="BD1641" s="57"/>
      <c r="BE1641" s="57"/>
      <c r="BF1641" s="57"/>
    </row>
    <row r="1642" spans="1:58" s="52" customFormat="1" x14ac:dyDescent="0.25">
      <c r="A1642" s="53"/>
      <c r="B1642" s="60"/>
      <c r="C1642" s="57">
        <f t="shared" si="124"/>
        <v>0</v>
      </c>
      <c r="D1642" s="56"/>
      <c r="E1642" s="57">
        <f>[1]DETAY!$A$2</f>
        <v>0</v>
      </c>
      <c r="F1642" s="90">
        <f t="shared" si="125"/>
        <v>0</v>
      </c>
      <c r="G1642" s="92">
        <f t="shared" si="126"/>
        <v>0</v>
      </c>
      <c r="H1642" s="62" t="e">
        <f t="shared" si="127"/>
        <v>#DIV/0!</v>
      </c>
      <c r="I1642" s="57"/>
      <c r="J1642" s="57"/>
      <c r="K1642" s="57"/>
      <c r="L1642" s="57"/>
      <c r="M1642" s="58"/>
      <c r="N1642" s="57"/>
      <c r="O1642" s="57"/>
      <c r="P1642" s="57"/>
      <c r="Q1642" s="57"/>
      <c r="R1642" s="57"/>
      <c r="S1642" s="61"/>
      <c r="T1642" s="57"/>
      <c r="U1642" s="57"/>
      <c r="V1642" s="57"/>
      <c r="W1642" s="57"/>
      <c r="X1642" s="57"/>
      <c r="Y1642" s="57"/>
      <c r="Z1642" s="57"/>
      <c r="AA1642" s="57"/>
      <c r="AB1642" s="57"/>
      <c r="AC1642" s="57"/>
      <c r="AD1642" s="57"/>
      <c r="AE1642" s="57"/>
      <c r="AF1642" s="57"/>
      <c r="AG1642" s="57"/>
      <c r="AH1642" s="57"/>
      <c r="AI1642" s="57"/>
      <c r="AJ1642" s="57"/>
      <c r="AK1642" s="57"/>
      <c r="AL1642" s="57"/>
      <c r="AM1642" s="57"/>
      <c r="AN1642" s="57"/>
      <c r="AO1642" s="57"/>
      <c r="AP1642" s="57"/>
      <c r="AQ1642" s="57"/>
      <c r="AR1642" s="57"/>
      <c r="AS1642" s="57"/>
      <c r="AT1642" s="57"/>
      <c r="AU1642" s="57"/>
      <c r="AV1642" s="57"/>
      <c r="AW1642" s="57"/>
      <c r="AX1642" s="57"/>
      <c r="AY1642" s="57"/>
      <c r="AZ1642" s="57"/>
      <c r="BA1642" s="57"/>
      <c r="BB1642" s="57"/>
      <c r="BC1642" s="57"/>
      <c r="BD1642" s="57"/>
      <c r="BE1642" s="57"/>
      <c r="BF1642" s="57"/>
    </row>
    <row r="1643" spans="1:58" s="52" customFormat="1" x14ac:dyDescent="0.25">
      <c r="A1643" s="53"/>
      <c r="B1643" s="60"/>
      <c r="C1643" s="57">
        <f t="shared" si="124"/>
        <v>0</v>
      </c>
      <c r="D1643" s="56"/>
      <c r="E1643" s="57">
        <f>[1]DETAY!$A$2</f>
        <v>0</v>
      </c>
      <c r="F1643" s="90">
        <f t="shared" si="125"/>
        <v>0</v>
      </c>
      <c r="G1643" s="92">
        <f t="shared" si="126"/>
        <v>0</v>
      </c>
      <c r="H1643" s="62" t="e">
        <f t="shared" si="127"/>
        <v>#DIV/0!</v>
      </c>
      <c r="I1643" s="57"/>
      <c r="J1643" s="57"/>
      <c r="K1643" s="57"/>
      <c r="L1643" s="57"/>
      <c r="M1643" s="58"/>
      <c r="N1643" s="57"/>
      <c r="O1643" s="57"/>
      <c r="P1643" s="57"/>
      <c r="Q1643" s="57"/>
      <c r="R1643" s="57"/>
      <c r="S1643" s="61"/>
      <c r="T1643" s="57"/>
      <c r="U1643" s="57"/>
      <c r="V1643" s="57"/>
      <c r="W1643" s="57"/>
      <c r="X1643" s="57"/>
      <c r="Y1643" s="57"/>
      <c r="Z1643" s="57"/>
      <c r="AA1643" s="57"/>
      <c r="AB1643" s="57"/>
      <c r="AC1643" s="57"/>
      <c r="AD1643" s="57"/>
      <c r="AE1643" s="57"/>
      <c r="AF1643" s="57"/>
      <c r="AG1643" s="57"/>
      <c r="AH1643" s="57"/>
      <c r="AI1643" s="57"/>
      <c r="AJ1643" s="57"/>
      <c r="AK1643" s="57"/>
      <c r="AL1643" s="57"/>
      <c r="AM1643" s="57"/>
      <c r="AN1643" s="57"/>
      <c r="AO1643" s="57"/>
      <c r="AP1643" s="57"/>
      <c r="AQ1643" s="57"/>
      <c r="AR1643" s="57"/>
      <c r="AS1643" s="57"/>
      <c r="AT1643" s="57"/>
      <c r="AU1643" s="57"/>
      <c r="AV1643" s="57"/>
      <c r="AW1643" s="57"/>
      <c r="AX1643" s="57"/>
      <c r="AY1643" s="57"/>
      <c r="AZ1643" s="57"/>
      <c r="BA1643" s="57"/>
      <c r="BB1643" s="57"/>
      <c r="BC1643" s="57"/>
      <c r="BD1643" s="57"/>
      <c r="BE1643" s="57"/>
      <c r="BF1643" s="57"/>
    </row>
    <row r="1644" spans="1:58" s="52" customFormat="1" x14ac:dyDescent="0.25">
      <c r="A1644" s="53"/>
      <c r="B1644" s="60"/>
      <c r="C1644" s="57">
        <f t="shared" si="124"/>
        <v>0</v>
      </c>
      <c r="D1644" s="56"/>
      <c r="E1644" s="57">
        <f>[1]DETAY!$A$2</f>
        <v>0</v>
      </c>
      <c r="F1644" s="90">
        <f t="shared" si="125"/>
        <v>0</v>
      </c>
      <c r="G1644" s="92">
        <f t="shared" si="126"/>
        <v>0</v>
      </c>
      <c r="H1644" s="62" t="e">
        <f t="shared" si="127"/>
        <v>#DIV/0!</v>
      </c>
      <c r="I1644" s="57"/>
      <c r="J1644" s="57"/>
      <c r="K1644" s="57"/>
      <c r="L1644" s="57"/>
      <c r="M1644" s="58"/>
      <c r="N1644" s="57"/>
      <c r="O1644" s="57"/>
      <c r="P1644" s="57"/>
      <c r="Q1644" s="57"/>
      <c r="R1644" s="57"/>
      <c r="S1644" s="61"/>
      <c r="T1644" s="57"/>
      <c r="U1644" s="57"/>
      <c r="V1644" s="57"/>
      <c r="W1644" s="57"/>
      <c r="X1644" s="57"/>
      <c r="Y1644" s="57"/>
      <c r="Z1644" s="57"/>
      <c r="AA1644" s="57"/>
      <c r="AB1644" s="57"/>
      <c r="AC1644" s="57"/>
      <c r="AD1644" s="57"/>
      <c r="AE1644" s="57"/>
      <c r="AF1644" s="57"/>
      <c r="AG1644" s="57"/>
      <c r="AH1644" s="57"/>
      <c r="AI1644" s="57"/>
      <c r="AJ1644" s="57"/>
      <c r="AK1644" s="57"/>
      <c r="AL1644" s="57"/>
      <c r="AM1644" s="57"/>
      <c r="AN1644" s="57"/>
      <c r="AO1644" s="57"/>
      <c r="AP1644" s="57"/>
      <c r="AQ1644" s="57"/>
      <c r="AR1644" s="57"/>
      <c r="AS1644" s="57"/>
      <c r="AT1644" s="57"/>
      <c r="AU1644" s="57"/>
      <c r="AV1644" s="57"/>
      <c r="AW1644" s="57"/>
      <c r="AX1644" s="57"/>
      <c r="AY1644" s="57"/>
      <c r="AZ1644" s="57"/>
      <c r="BA1644" s="57"/>
      <c r="BB1644" s="57"/>
      <c r="BC1644" s="57"/>
      <c r="BD1644" s="57"/>
      <c r="BE1644" s="57"/>
      <c r="BF1644" s="57"/>
    </row>
    <row r="1645" spans="1:58" s="52" customFormat="1" x14ac:dyDescent="0.25">
      <c r="A1645" s="53"/>
      <c r="B1645" s="60"/>
      <c r="C1645" s="57">
        <f t="shared" si="124"/>
        <v>0</v>
      </c>
      <c r="D1645" s="56"/>
      <c r="E1645" s="57">
        <f>[1]DETAY!$A$2</f>
        <v>0</v>
      </c>
      <c r="F1645" s="90">
        <f t="shared" si="125"/>
        <v>0</v>
      </c>
      <c r="G1645" s="92">
        <f t="shared" si="126"/>
        <v>0</v>
      </c>
      <c r="H1645" s="62" t="e">
        <f t="shared" si="127"/>
        <v>#DIV/0!</v>
      </c>
      <c r="I1645" s="57"/>
      <c r="J1645" s="57"/>
      <c r="K1645" s="57"/>
      <c r="L1645" s="57"/>
      <c r="M1645" s="58"/>
      <c r="N1645" s="57"/>
      <c r="O1645" s="57"/>
      <c r="P1645" s="57"/>
      <c r="Q1645" s="57"/>
      <c r="R1645" s="57"/>
      <c r="S1645" s="61"/>
      <c r="T1645" s="57"/>
      <c r="U1645" s="57"/>
      <c r="V1645" s="57"/>
      <c r="W1645" s="57"/>
      <c r="X1645" s="57"/>
      <c r="Y1645" s="57"/>
      <c r="Z1645" s="57"/>
      <c r="AA1645" s="57"/>
      <c r="AB1645" s="57"/>
      <c r="AC1645" s="57"/>
      <c r="AD1645" s="57"/>
      <c r="AE1645" s="57"/>
      <c r="AF1645" s="57"/>
      <c r="AG1645" s="57"/>
      <c r="AH1645" s="57"/>
      <c r="AI1645" s="57"/>
      <c r="AJ1645" s="57"/>
      <c r="AK1645" s="57"/>
      <c r="AL1645" s="57"/>
      <c r="AM1645" s="57"/>
      <c r="AN1645" s="57"/>
      <c r="AO1645" s="57"/>
      <c r="AP1645" s="57"/>
      <c r="AQ1645" s="57"/>
      <c r="AR1645" s="57"/>
      <c r="AS1645" s="57"/>
      <c r="AT1645" s="57"/>
      <c r="AU1645" s="57"/>
      <c r="AV1645" s="57"/>
      <c r="AW1645" s="57"/>
      <c r="AX1645" s="57"/>
      <c r="AY1645" s="57"/>
      <c r="AZ1645" s="57"/>
      <c r="BA1645" s="57"/>
      <c r="BB1645" s="57"/>
      <c r="BC1645" s="57"/>
      <c r="BD1645" s="57"/>
      <c r="BE1645" s="57"/>
      <c r="BF1645" s="57"/>
    </row>
    <row r="1646" spans="1:58" s="52" customFormat="1" x14ac:dyDescent="0.25">
      <c r="A1646" s="53"/>
      <c r="B1646" s="60"/>
      <c r="C1646" s="57">
        <f t="shared" si="124"/>
        <v>0</v>
      </c>
      <c r="D1646" s="56"/>
      <c r="E1646" s="57">
        <f>[1]DETAY!$A$2</f>
        <v>0</v>
      </c>
      <c r="F1646" s="90">
        <f t="shared" si="125"/>
        <v>0</v>
      </c>
      <c r="G1646" s="92">
        <f t="shared" si="126"/>
        <v>0</v>
      </c>
      <c r="H1646" s="62" t="e">
        <f t="shared" si="127"/>
        <v>#DIV/0!</v>
      </c>
      <c r="I1646" s="57"/>
      <c r="J1646" s="57"/>
      <c r="K1646" s="57"/>
      <c r="L1646" s="57"/>
      <c r="M1646" s="58"/>
      <c r="N1646" s="57"/>
      <c r="O1646" s="57"/>
      <c r="P1646" s="57"/>
      <c r="Q1646" s="57"/>
      <c r="R1646" s="57"/>
      <c r="S1646" s="61"/>
      <c r="T1646" s="57"/>
      <c r="U1646" s="57"/>
      <c r="V1646" s="57"/>
      <c r="W1646" s="57"/>
      <c r="X1646" s="57"/>
      <c r="Y1646" s="57"/>
      <c r="Z1646" s="57"/>
      <c r="AA1646" s="57"/>
      <c r="AB1646" s="57"/>
      <c r="AC1646" s="57"/>
      <c r="AD1646" s="57"/>
      <c r="AE1646" s="57"/>
      <c r="AF1646" s="57"/>
      <c r="AG1646" s="57"/>
      <c r="AH1646" s="57"/>
      <c r="AI1646" s="57"/>
      <c r="AJ1646" s="57"/>
      <c r="AK1646" s="57"/>
      <c r="AL1646" s="57"/>
      <c r="AM1646" s="57"/>
      <c r="AN1646" s="57"/>
      <c r="AO1646" s="57"/>
      <c r="AP1646" s="57"/>
      <c r="AQ1646" s="57"/>
      <c r="AR1646" s="57"/>
      <c r="AS1646" s="57"/>
      <c r="AT1646" s="57"/>
      <c r="AU1646" s="57"/>
      <c r="AV1646" s="57"/>
      <c r="AW1646" s="57"/>
      <c r="AX1646" s="57"/>
      <c r="AY1646" s="57"/>
      <c r="AZ1646" s="57"/>
      <c r="BA1646" s="57"/>
      <c r="BB1646" s="57"/>
      <c r="BC1646" s="57"/>
      <c r="BD1646" s="57"/>
      <c r="BE1646" s="57"/>
      <c r="BF1646" s="57"/>
    </row>
    <row r="1647" spans="1:58" s="52" customFormat="1" x14ac:dyDescent="0.25">
      <c r="A1647" s="53"/>
      <c r="B1647" s="60"/>
      <c r="C1647" s="57">
        <f t="shared" si="124"/>
        <v>0</v>
      </c>
      <c r="D1647" s="56"/>
      <c r="E1647" s="57">
        <f>[1]DETAY!$A$2</f>
        <v>0</v>
      </c>
      <c r="F1647" s="90">
        <f t="shared" si="125"/>
        <v>0</v>
      </c>
      <c r="G1647" s="92">
        <f t="shared" si="126"/>
        <v>0</v>
      </c>
      <c r="H1647" s="62" t="e">
        <f t="shared" si="127"/>
        <v>#DIV/0!</v>
      </c>
      <c r="I1647" s="57"/>
      <c r="J1647" s="57"/>
      <c r="K1647" s="57"/>
      <c r="L1647" s="57"/>
      <c r="M1647" s="58"/>
      <c r="N1647" s="57"/>
      <c r="O1647" s="57"/>
      <c r="P1647" s="57"/>
      <c r="Q1647" s="57"/>
      <c r="R1647" s="57"/>
      <c r="S1647" s="61"/>
      <c r="T1647" s="57"/>
      <c r="U1647" s="57"/>
      <c r="V1647" s="57"/>
      <c r="W1647" s="57"/>
      <c r="X1647" s="57"/>
      <c r="Y1647" s="57"/>
      <c r="Z1647" s="57"/>
      <c r="AA1647" s="57"/>
      <c r="AB1647" s="57"/>
      <c r="AC1647" s="57"/>
      <c r="AD1647" s="57"/>
      <c r="AE1647" s="57"/>
      <c r="AF1647" s="57"/>
      <c r="AG1647" s="57"/>
      <c r="AH1647" s="57"/>
      <c r="AI1647" s="57"/>
      <c r="AJ1647" s="57"/>
      <c r="AK1647" s="57"/>
      <c r="AL1647" s="57"/>
      <c r="AM1647" s="57"/>
      <c r="AN1647" s="57"/>
      <c r="AO1647" s="57"/>
      <c r="AP1647" s="57"/>
      <c r="AQ1647" s="57"/>
      <c r="AR1647" s="57"/>
      <c r="AS1647" s="57"/>
      <c r="AT1647" s="57"/>
      <c r="AU1647" s="57"/>
      <c r="AV1647" s="57"/>
      <c r="AW1647" s="57"/>
      <c r="AX1647" s="57"/>
      <c r="AY1647" s="57"/>
      <c r="AZ1647" s="57"/>
      <c r="BA1647" s="57"/>
      <c r="BB1647" s="57"/>
      <c r="BC1647" s="57"/>
      <c r="BD1647" s="57"/>
      <c r="BE1647" s="57"/>
      <c r="BF1647" s="57"/>
    </row>
    <row r="1648" spans="1:58" s="52" customFormat="1" x14ac:dyDescent="0.25">
      <c r="A1648" s="53"/>
      <c r="B1648" s="60"/>
      <c r="C1648" s="57">
        <f t="shared" si="124"/>
        <v>0</v>
      </c>
      <c r="D1648" s="56"/>
      <c r="E1648" s="57">
        <f>[1]DETAY!$A$2</f>
        <v>0</v>
      </c>
      <c r="F1648" s="90">
        <f t="shared" si="125"/>
        <v>0</v>
      </c>
      <c r="G1648" s="92">
        <f t="shared" si="126"/>
        <v>0</v>
      </c>
      <c r="H1648" s="62" t="e">
        <f t="shared" si="127"/>
        <v>#DIV/0!</v>
      </c>
      <c r="I1648" s="57"/>
      <c r="J1648" s="57"/>
      <c r="K1648" s="57"/>
      <c r="L1648" s="57"/>
      <c r="M1648" s="58"/>
      <c r="N1648" s="57"/>
      <c r="O1648" s="57"/>
      <c r="P1648" s="57"/>
      <c r="Q1648" s="57"/>
      <c r="R1648" s="57"/>
      <c r="S1648" s="61"/>
      <c r="T1648" s="57"/>
      <c r="U1648" s="57"/>
      <c r="V1648" s="57"/>
      <c r="W1648" s="57"/>
      <c r="X1648" s="57"/>
      <c r="Y1648" s="57"/>
      <c r="Z1648" s="57"/>
      <c r="AA1648" s="57"/>
      <c r="AB1648" s="57"/>
      <c r="AC1648" s="57"/>
      <c r="AD1648" s="57"/>
      <c r="AE1648" s="57"/>
      <c r="AF1648" s="57"/>
      <c r="AG1648" s="57"/>
      <c r="AH1648" s="57"/>
      <c r="AI1648" s="57"/>
      <c r="AJ1648" s="57"/>
      <c r="AK1648" s="57"/>
      <c r="AL1648" s="57"/>
      <c r="AM1648" s="57"/>
      <c r="AN1648" s="57"/>
      <c r="AO1648" s="57"/>
      <c r="AP1648" s="57"/>
      <c r="AQ1648" s="57"/>
      <c r="AR1648" s="57"/>
      <c r="AS1648" s="57"/>
      <c r="AT1648" s="57"/>
      <c r="AU1648" s="57"/>
      <c r="AV1648" s="57"/>
      <c r="AW1648" s="57"/>
      <c r="AX1648" s="57"/>
      <c r="AY1648" s="57"/>
      <c r="AZ1648" s="57"/>
      <c r="BA1648" s="57"/>
      <c r="BB1648" s="57"/>
      <c r="BC1648" s="57"/>
      <c r="BD1648" s="57"/>
      <c r="BE1648" s="57"/>
      <c r="BF1648" s="57"/>
    </row>
    <row r="1649" spans="1:58" s="52" customFormat="1" x14ac:dyDescent="0.25">
      <c r="A1649" s="53"/>
      <c r="B1649" s="60"/>
      <c r="C1649" s="57">
        <f t="shared" si="124"/>
        <v>0</v>
      </c>
      <c r="D1649" s="56"/>
      <c r="E1649" s="57">
        <f>[1]DETAY!$A$2</f>
        <v>0</v>
      </c>
      <c r="F1649" s="90">
        <f t="shared" si="125"/>
        <v>0</v>
      </c>
      <c r="G1649" s="92">
        <f t="shared" si="126"/>
        <v>0</v>
      </c>
      <c r="H1649" s="62" t="e">
        <f t="shared" si="127"/>
        <v>#DIV/0!</v>
      </c>
      <c r="I1649" s="57"/>
      <c r="J1649" s="57"/>
      <c r="K1649" s="57"/>
      <c r="L1649" s="57"/>
      <c r="M1649" s="58"/>
      <c r="N1649" s="57"/>
      <c r="O1649" s="57"/>
      <c r="P1649" s="57"/>
      <c r="Q1649" s="57"/>
      <c r="R1649" s="57"/>
      <c r="S1649" s="61"/>
      <c r="T1649" s="57"/>
      <c r="U1649" s="57"/>
      <c r="V1649" s="57"/>
      <c r="W1649" s="57"/>
      <c r="X1649" s="57"/>
      <c r="Y1649" s="57"/>
      <c r="Z1649" s="57"/>
      <c r="AA1649" s="57"/>
      <c r="AB1649" s="57"/>
      <c r="AC1649" s="57"/>
      <c r="AD1649" s="57"/>
      <c r="AE1649" s="57"/>
      <c r="AF1649" s="57"/>
      <c r="AG1649" s="57"/>
      <c r="AH1649" s="57"/>
      <c r="AI1649" s="57"/>
      <c r="AJ1649" s="57"/>
      <c r="AK1649" s="57"/>
      <c r="AL1649" s="57"/>
      <c r="AM1649" s="57"/>
      <c r="AN1649" s="57"/>
      <c r="AO1649" s="57"/>
      <c r="AP1649" s="57"/>
      <c r="AQ1649" s="57"/>
      <c r="AR1649" s="57"/>
      <c r="AS1649" s="57"/>
      <c r="AT1649" s="57"/>
      <c r="AU1649" s="57"/>
      <c r="AV1649" s="57"/>
      <c r="AW1649" s="57"/>
      <c r="AX1649" s="57"/>
      <c r="AY1649" s="57"/>
      <c r="AZ1649" s="57"/>
      <c r="BA1649" s="57"/>
      <c r="BB1649" s="57"/>
      <c r="BC1649" s="57"/>
      <c r="BD1649" s="57"/>
      <c r="BE1649" s="57"/>
      <c r="BF1649" s="57"/>
    </row>
    <row r="1650" spans="1:58" s="52" customFormat="1" x14ac:dyDescent="0.25">
      <c r="A1650" s="53"/>
      <c r="B1650" s="60"/>
      <c r="C1650" s="57">
        <f t="shared" si="124"/>
        <v>0</v>
      </c>
      <c r="D1650" s="56"/>
      <c r="E1650" s="57">
        <f>[1]DETAY!$A$2</f>
        <v>0</v>
      </c>
      <c r="F1650" s="90">
        <f t="shared" si="125"/>
        <v>0</v>
      </c>
      <c r="G1650" s="92">
        <f t="shared" si="126"/>
        <v>0</v>
      </c>
      <c r="H1650" s="62" t="e">
        <f t="shared" si="127"/>
        <v>#DIV/0!</v>
      </c>
      <c r="I1650" s="57"/>
      <c r="J1650" s="57"/>
      <c r="K1650" s="57"/>
      <c r="L1650" s="57"/>
      <c r="M1650" s="58"/>
      <c r="N1650" s="57"/>
      <c r="O1650" s="57"/>
      <c r="P1650" s="57"/>
      <c r="Q1650" s="57"/>
      <c r="R1650" s="57"/>
      <c r="S1650" s="61"/>
      <c r="T1650" s="57"/>
      <c r="U1650" s="57"/>
      <c r="V1650" s="57"/>
      <c r="W1650" s="57"/>
      <c r="X1650" s="57"/>
      <c r="Y1650" s="57"/>
      <c r="Z1650" s="57"/>
      <c r="AA1650" s="57"/>
      <c r="AB1650" s="57"/>
      <c r="AC1650" s="57"/>
      <c r="AD1650" s="57"/>
      <c r="AE1650" s="57"/>
      <c r="AF1650" s="57"/>
      <c r="AG1650" s="57"/>
      <c r="AH1650" s="57"/>
      <c r="AI1650" s="57"/>
      <c r="AJ1650" s="57"/>
      <c r="AK1650" s="57"/>
      <c r="AL1650" s="57"/>
      <c r="AM1650" s="57"/>
      <c r="AN1650" s="57"/>
      <c r="AO1650" s="57"/>
      <c r="AP1650" s="57"/>
      <c r="AQ1650" s="57"/>
      <c r="AR1650" s="57"/>
      <c r="AS1650" s="57"/>
      <c r="AT1650" s="57"/>
      <c r="AU1650" s="57"/>
      <c r="AV1650" s="57"/>
      <c r="AW1650" s="57"/>
      <c r="AX1650" s="57"/>
      <c r="AY1650" s="57"/>
      <c r="AZ1650" s="57"/>
      <c r="BA1650" s="57"/>
      <c r="BB1650" s="57"/>
      <c r="BC1650" s="57"/>
      <c r="BD1650" s="57"/>
      <c r="BE1650" s="57"/>
      <c r="BF1650" s="57"/>
    </row>
    <row r="1651" spans="1:58" s="52" customFormat="1" x14ac:dyDescent="0.25">
      <c r="A1651" s="53"/>
      <c r="B1651" s="60"/>
      <c r="C1651" s="57">
        <f t="shared" si="124"/>
        <v>0</v>
      </c>
      <c r="D1651" s="56"/>
      <c r="E1651" s="57">
        <f>[1]DETAY!$A$2</f>
        <v>0</v>
      </c>
      <c r="F1651" s="90">
        <f t="shared" si="125"/>
        <v>0</v>
      </c>
      <c r="G1651" s="92">
        <f t="shared" si="126"/>
        <v>0</v>
      </c>
      <c r="H1651" s="62" t="e">
        <f t="shared" si="127"/>
        <v>#DIV/0!</v>
      </c>
      <c r="I1651" s="57"/>
      <c r="J1651" s="57"/>
      <c r="K1651" s="57"/>
      <c r="L1651" s="57"/>
      <c r="M1651" s="58"/>
      <c r="N1651" s="57"/>
      <c r="O1651" s="57"/>
      <c r="P1651" s="57"/>
      <c r="Q1651" s="57"/>
      <c r="R1651" s="57"/>
      <c r="S1651" s="61"/>
      <c r="T1651" s="57"/>
      <c r="U1651" s="57"/>
      <c r="V1651" s="57"/>
      <c r="W1651" s="57"/>
      <c r="X1651" s="57"/>
      <c r="Y1651" s="57"/>
      <c r="Z1651" s="57"/>
      <c r="AA1651" s="57"/>
      <c r="AB1651" s="57"/>
      <c r="AC1651" s="57"/>
      <c r="AD1651" s="57"/>
      <c r="AE1651" s="57"/>
      <c r="AF1651" s="57"/>
      <c r="AG1651" s="57"/>
      <c r="AH1651" s="57"/>
      <c r="AI1651" s="57"/>
      <c r="AJ1651" s="57"/>
      <c r="AK1651" s="57"/>
      <c r="AL1651" s="57"/>
      <c r="AM1651" s="57"/>
      <c r="AN1651" s="57"/>
      <c r="AO1651" s="57"/>
      <c r="AP1651" s="57"/>
      <c r="AQ1651" s="57"/>
      <c r="AR1651" s="57"/>
      <c r="AS1651" s="57"/>
      <c r="AT1651" s="57"/>
      <c r="AU1651" s="57"/>
      <c r="AV1651" s="57"/>
      <c r="AW1651" s="57"/>
      <c r="AX1651" s="57"/>
      <c r="AY1651" s="57"/>
      <c r="AZ1651" s="57"/>
      <c r="BA1651" s="57"/>
      <c r="BB1651" s="57"/>
      <c r="BC1651" s="57"/>
      <c r="BD1651" s="57"/>
      <c r="BE1651" s="57"/>
      <c r="BF1651" s="57"/>
    </row>
    <row r="1652" spans="1:58" s="52" customFormat="1" x14ac:dyDescent="0.25">
      <c r="A1652" s="53"/>
      <c r="B1652" s="60"/>
      <c r="C1652" s="57">
        <f t="shared" si="124"/>
        <v>0</v>
      </c>
      <c r="D1652" s="56"/>
      <c r="E1652" s="57">
        <f>[1]DETAY!$A$2</f>
        <v>0</v>
      </c>
      <c r="F1652" s="90">
        <f t="shared" si="125"/>
        <v>0</v>
      </c>
      <c r="G1652" s="92">
        <f t="shared" si="126"/>
        <v>0</v>
      </c>
      <c r="H1652" s="62" t="e">
        <f t="shared" si="127"/>
        <v>#DIV/0!</v>
      </c>
      <c r="I1652" s="57"/>
      <c r="J1652" s="57"/>
      <c r="K1652" s="57"/>
      <c r="L1652" s="57"/>
      <c r="M1652" s="58"/>
      <c r="N1652" s="57"/>
      <c r="O1652" s="57"/>
      <c r="P1652" s="57"/>
      <c r="Q1652" s="57"/>
      <c r="R1652" s="57"/>
      <c r="S1652" s="61"/>
      <c r="T1652" s="57"/>
      <c r="U1652" s="57"/>
      <c r="V1652" s="57"/>
      <c r="W1652" s="57"/>
      <c r="X1652" s="57"/>
      <c r="Y1652" s="57"/>
      <c r="Z1652" s="57"/>
      <c r="AA1652" s="57"/>
      <c r="AB1652" s="57"/>
      <c r="AC1652" s="57"/>
      <c r="AD1652" s="57"/>
      <c r="AE1652" s="57"/>
      <c r="AF1652" s="57"/>
      <c r="AG1652" s="57"/>
      <c r="AH1652" s="57"/>
      <c r="AI1652" s="57"/>
      <c r="AJ1652" s="57"/>
      <c r="AK1652" s="57"/>
      <c r="AL1652" s="57"/>
      <c r="AM1652" s="57"/>
      <c r="AN1652" s="57"/>
      <c r="AO1652" s="57"/>
      <c r="AP1652" s="57"/>
      <c r="AQ1652" s="57"/>
      <c r="AR1652" s="57"/>
      <c r="AS1652" s="57"/>
      <c r="AT1652" s="57"/>
      <c r="AU1652" s="57"/>
      <c r="AV1652" s="57"/>
      <c r="AW1652" s="57"/>
      <c r="AX1652" s="57"/>
      <c r="AY1652" s="57"/>
      <c r="AZ1652" s="57"/>
      <c r="BA1652" s="57"/>
      <c r="BB1652" s="57"/>
      <c r="BC1652" s="57"/>
      <c r="BD1652" s="57"/>
      <c r="BE1652" s="57"/>
      <c r="BF1652" s="57"/>
    </row>
    <row r="1653" spans="1:58" s="52" customFormat="1" x14ac:dyDescent="0.25">
      <c r="A1653" s="53"/>
      <c r="B1653" s="60"/>
      <c r="C1653" s="57">
        <f t="shared" si="124"/>
        <v>0</v>
      </c>
      <c r="D1653" s="56"/>
      <c r="E1653" s="57">
        <f>[1]DETAY!$A$2</f>
        <v>0</v>
      </c>
      <c r="F1653" s="90">
        <f t="shared" si="125"/>
        <v>0</v>
      </c>
      <c r="G1653" s="92">
        <f t="shared" si="126"/>
        <v>0</v>
      </c>
      <c r="H1653" s="62" t="e">
        <f t="shared" si="127"/>
        <v>#DIV/0!</v>
      </c>
      <c r="I1653" s="57"/>
      <c r="J1653" s="57"/>
      <c r="K1653" s="57"/>
      <c r="L1653" s="57"/>
      <c r="M1653" s="58"/>
      <c r="N1653" s="57"/>
      <c r="O1653" s="57"/>
      <c r="P1653" s="57"/>
      <c r="Q1653" s="57"/>
      <c r="R1653" s="57"/>
      <c r="S1653" s="61"/>
      <c r="T1653" s="57"/>
      <c r="U1653" s="57"/>
      <c r="V1653" s="57"/>
      <c r="W1653" s="57"/>
      <c r="X1653" s="57"/>
      <c r="Y1653" s="57"/>
      <c r="Z1653" s="57"/>
      <c r="AA1653" s="57"/>
      <c r="AB1653" s="57"/>
      <c r="AC1653" s="57"/>
      <c r="AD1653" s="57"/>
      <c r="AE1653" s="57"/>
      <c r="AF1653" s="57"/>
      <c r="AG1653" s="57"/>
      <c r="AH1653" s="57"/>
      <c r="AI1653" s="57"/>
      <c r="AJ1653" s="57"/>
      <c r="AK1653" s="57"/>
      <c r="AL1653" s="57"/>
      <c r="AM1653" s="57"/>
      <c r="AN1653" s="57"/>
      <c r="AO1653" s="57"/>
      <c r="AP1653" s="57"/>
      <c r="AQ1653" s="57"/>
      <c r="AR1653" s="57"/>
      <c r="AS1653" s="57"/>
      <c r="AT1653" s="57"/>
      <c r="AU1653" s="57"/>
      <c r="AV1653" s="57"/>
      <c r="AW1653" s="57"/>
      <c r="AX1653" s="57"/>
      <c r="AY1653" s="57"/>
      <c r="AZ1653" s="57"/>
      <c r="BA1653" s="57"/>
      <c r="BB1653" s="57"/>
      <c r="BC1653" s="57"/>
      <c r="BD1653" s="57"/>
      <c r="BE1653" s="57"/>
      <c r="BF1653" s="57"/>
    </row>
    <row r="1654" spans="1:58" s="52" customFormat="1" x14ac:dyDescent="0.25">
      <c r="A1654" s="53"/>
      <c r="B1654" s="60"/>
      <c r="C1654" s="57">
        <f t="shared" si="124"/>
        <v>0</v>
      </c>
      <c r="D1654" s="56"/>
      <c r="E1654" s="57">
        <f>[1]DETAY!$A$2</f>
        <v>0</v>
      </c>
      <c r="F1654" s="90">
        <f t="shared" si="125"/>
        <v>0</v>
      </c>
      <c r="G1654" s="92">
        <f t="shared" si="126"/>
        <v>0</v>
      </c>
      <c r="H1654" s="62" t="e">
        <f t="shared" si="127"/>
        <v>#DIV/0!</v>
      </c>
      <c r="I1654" s="57"/>
      <c r="J1654" s="57"/>
      <c r="K1654" s="57"/>
      <c r="L1654" s="57"/>
      <c r="M1654" s="58"/>
      <c r="N1654" s="57"/>
      <c r="O1654" s="57"/>
      <c r="P1654" s="57"/>
      <c r="Q1654" s="57"/>
      <c r="R1654" s="57"/>
      <c r="S1654" s="61"/>
      <c r="T1654" s="57"/>
      <c r="U1654" s="57"/>
      <c r="V1654" s="57"/>
      <c r="W1654" s="57"/>
      <c r="X1654" s="57"/>
      <c r="Y1654" s="57"/>
      <c r="Z1654" s="57"/>
      <c r="AA1654" s="57"/>
      <c r="AB1654" s="57"/>
      <c r="AC1654" s="57"/>
      <c r="AD1654" s="57"/>
      <c r="AE1654" s="57"/>
      <c r="AF1654" s="57"/>
      <c r="AG1654" s="57"/>
      <c r="AH1654" s="57"/>
      <c r="AI1654" s="57"/>
      <c r="AJ1654" s="57"/>
      <c r="AK1654" s="57"/>
      <c r="AL1654" s="57"/>
      <c r="AM1654" s="57"/>
      <c r="AN1654" s="57"/>
      <c r="AO1654" s="57"/>
      <c r="AP1654" s="57"/>
      <c r="AQ1654" s="57"/>
      <c r="AR1654" s="57"/>
      <c r="AS1654" s="57"/>
      <c r="AT1654" s="57"/>
      <c r="AU1654" s="57"/>
      <c r="AV1654" s="57"/>
      <c r="AW1654" s="57"/>
      <c r="AX1654" s="57"/>
      <c r="AY1654" s="57"/>
      <c r="AZ1654" s="57"/>
      <c r="BA1654" s="57"/>
      <c r="BB1654" s="57"/>
      <c r="BC1654" s="57"/>
      <c r="BD1654" s="57"/>
      <c r="BE1654" s="57"/>
      <c r="BF1654" s="57"/>
    </row>
    <row r="1655" spans="1:58" s="52" customFormat="1" x14ac:dyDescent="0.25">
      <c r="A1655" s="53"/>
      <c r="B1655" s="60"/>
      <c r="C1655" s="57">
        <f t="shared" si="124"/>
        <v>0</v>
      </c>
      <c r="D1655" s="56"/>
      <c r="E1655" s="57">
        <f>[1]DETAY!$A$2</f>
        <v>0</v>
      </c>
      <c r="F1655" s="90">
        <f t="shared" si="125"/>
        <v>0</v>
      </c>
      <c r="G1655" s="92">
        <f t="shared" si="126"/>
        <v>0</v>
      </c>
      <c r="H1655" s="62" t="e">
        <f t="shared" si="127"/>
        <v>#DIV/0!</v>
      </c>
      <c r="I1655" s="57"/>
      <c r="J1655" s="57"/>
      <c r="K1655" s="57"/>
      <c r="L1655" s="57"/>
      <c r="M1655" s="58"/>
      <c r="N1655" s="57"/>
      <c r="O1655" s="57"/>
      <c r="P1655" s="57"/>
      <c r="Q1655" s="57"/>
      <c r="R1655" s="57"/>
      <c r="S1655" s="61"/>
      <c r="T1655" s="57"/>
      <c r="U1655" s="57"/>
      <c r="V1655" s="57"/>
      <c r="W1655" s="57"/>
      <c r="X1655" s="57"/>
      <c r="Y1655" s="57"/>
      <c r="Z1655" s="57"/>
      <c r="AA1655" s="57"/>
      <c r="AB1655" s="57"/>
      <c r="AC1655" s="57"/>
      <c r="AD1655" s="57"/>
      <c r="AE1655" s="57"/>
      <c r="AF1655" s="57"/>
      <c r="AG1655" s="57"/>
      <c r="AH1655" s="57"/>
      <c r="AI1655" s="57"/>
      <c r="AJ1655" s="57"/>
      <c r="AK1655" s="57"/>
      <c r="AL1655" s="57"/>
      <c r="AM1655" s="57"/>
      <c r="AN1655" s="57"/>
      <c r="AO1655" s="57"/>
      <c r="AP1655" s="57"/>
      <c r="AQ1655" s="57"/>
      <c r="AR1655" s="57"/>
      <c r="AS1655" s="57"/>
      <c r="AT1655" s="57"/>
      <c r="AU1655" s="57"/>
      <c r="AV1655" s="57"/>
      <c r="AW1655" s="57"/>
      <c r="AX1655" s="57"/>
      <c r="AY1655" s="57"/>
      <c r="AZ1655" s="57"/>
      <c r="BA1655" s="57"/>
      <c r="BB1655" s="57"/>
      <c r="BC1655" s="57"/>
      <c r="BD1655" s="57"/>
      <c r="BE1655" s="57"/>
      <c r="BF1655" s="57"/>
    </row>
    <row r="1656" spans="1:58" s="52" customFormat="1" x14ac:dyDescent="0.25">
      <c r="A1656" s="53"/>
      <c r="B1656" s="60"/>
      <c r="C1656" s="57">
        <f t="shared" si="124"/>
        <v>0</v>
      </c>
      <c r="D1656" s="56"/>
      <c r="E1656" s="57">
        <f>[1]DETAY!$A$2</f>
        <v>0</v>
      </c>
      <c r="F1656" s="90">
        <f t="shared" si="125"/>
        <v>0</v>
      </c>
      <c r="G1656" s="92">
        <f t="shared" si="126"/>
        <v>0</v>
      </c>
      <c r="H1656" s="62" t="e">
        <f t="shared" si="127"/>
        <v>#DIV/0!</v>
      </c>
      <c r="I1656" s="57"/>
      <c r="J1656" s="57"/>
      <c r="K1656" s="57"/>
      <c r="L1656" s="57"/>
      <c r="M1656" s="58"/>
      <c r="N1656" s="57"/>
      <c r="O1656" s="57"/>
      <c r="P1656" s="57"/>
      <c r="Q1656" s="57"/>
      <c r="R1656" s="57"/>
      <c r="S1656" s="61"/>
      <c r="T1656" s="57"/>
      <c r="U1656" s="57"/>
      <c r="V1656" s="57"/>
      <c r="W1656" s="57"/>
      <c r="X1656" s="57"/>
      <c r="Y1656" s="57"/>
      <c r="Z1656" s="57"/>
      <c r="AA1656" s="57"/>
      <c r="AB1656" s="57"/>
      <c r="AC1656" s="57"/>
      <c r="AD1656" s="57"/>
      <c r="AE1656" s="57"/>
      <c r="AF1656" s="57"/>
      <c r="AG1656" s="57"/>
      <c r="AH1656" s="57"/>
      <c r="AI1656" s="57"/>
      <c r="AJ1656" s="57"/>
      <c r="AK1656" s="57"/>
      <c r="AL1656" s="57"/>
      <c r="AM1656" s="57"/>
      <c r="AN1656" s="57"/>
      <c r="AO1656" s="57"/>
      <c r="AP1656" s="57"/>
      <c r="AQ1656" s="57"/>
      <c r="AR1656" s="57"/>
      <c r="AS1656" s="57"/>
      <c r="AT1656" s="57"/>
      <c r="AU1656" s="57"/>
      <c r="AV1656" s="57"/>
      <c r="AW1656" s="57"/>
      <c r="AX1656" s="57"/>
      <c r="AY1656" s="57"/>
      <c r="AZ1656" s="57"/>
      <c r="BA1656" s="57"/>
      <c r="BB1656" s="57"/>
      <c r="BC1656" s="57"/>
      <c r="BD1656" s="57"/>
      <c r="BE1656" s="57"/>
      <c r="BF1656" s="57"/>
    </row>
    <row r="1657" spans="1:58" s="52" customFormat="1" x14ac:dyDescent="0.25">
      <c r="A1657" s="53"/>
      <c r="B1657" s="60"/>
      <c r="C1657" s="57">
        <f t="shared" si="124"/>
        <v>0</v>
      </c>
      <c r="D1657" s="56"/>
      <c r="E1657" s="57">
        <f>[1]DETAY!$A$2</f>
        <v>0</v>
      </c>
      <c r="F1657" s="90">
        <f t="shared" si="125"/>
        <v>0</v>
      </c>
      <c r="G1657" s="92">
        <f t="shared" si="126"/>
        <v>0</v>
      </c>
      <c r="H1657" s="62" t="e">
        <f t="shared" si="127"/>
        <v>#DIV/0!</v>
      </c>
      <c r="I1657" s="57"/>
      <c r="J1657" s="57"/>
      <c r="K1657" s="57"/>
      <c r="L1657" s="57"/>
      <c r="M1657" s="58"/>
      <c r="N1657" s="57"/>
      <c r="O1657" s="57"/>
      <c r="P1657" s="57"/>
      <c r="Q1657" s="57"/>
      <c r="R1657" s="57"/>
      <c r="S1657" s="61"/>
      <c r="T1657" s="57"/>
      <c r="U1657" s="57"/>
      <c r="V1657" s="57"/>
      <c r="W1657" s="57"/>
      <c r="X1657" s="57"/>
      <c r="Y1657" s="57"/>
      <c r="Z1657" s="57"/>
      <c r="AA1657" s="57"/>
      <c r="AB1657" s="57"/>
      <c r="AC1657" s="57"/>
      <c r="AD1657" s="57"/>
      <c r="AE1657" s="57"/>
      <c r="AF1657" s="57"/>
      <c r="AG1657" s="57"/>
      <c r="AH1657" s="57"/>
      <c r="AI1657" s="57"/>
      <c r="AJ1657" s="57"/>
      <c r="AK1657" s="57"/>
      <c r="AL1657" s="57"/>
      <c r="AM1657" s="57"/>
      <c r="AN1657" s="57"/>
      <c r="AO1657" s="57"/>
      <c r="AP1657" s="57"/>
      <c r="AQ1657" s="57"/>
      <c r="AR1657" s="57"/>
      <c r="AS1657" s="57"/>
      <c r="AT1657" s="57"/>
      <c r="AU1657" s="57"/>
      <c r="AV1657" s="57"/>
      <c r="AW1657" s="57"/>
      <c r="AX1657" s="57"/>
      <c r="AY1657" s="57"/>
      <c r="AZ1657" s="57"/>
      <c r="BA1657" s="57"/>
      <c r="BB1657" s="57"/>
      <c r="BC1657" s="57"/>
      <c r="BD1657" s="57"/>
      <c r="BE1657" s="57"/>
      <c r="BF1657" s="57"/>
    </row>
    <row r="1658" spans="1:58" s="52" customFormat="1" x14ac:dyDescent="0.25">
      <c r="A1658" s="53"/>
      <c r="B1658" s="60"/>
      <c r="C1658" s="57">
        <f t="shared" si="124"/>
        <v>0</v>
      </c>
      <c r="D1658" s="56"/>
      <c r="E1658" s="57">
        <f>[1]DETAY!$A$2</f>
        <v>0</v>
      </c>
      <c r="F1658" s="90">
        <f t="shared" si="125"/>
        <v>0</v>
      </c>
      <c r="G1658" s="92">
        <f t="shared" si="126"/>
        <v>0</v>
      </c>
      <c r="H1658" s="62" t="e">
        <f t="shared" si="127"/>
        <v>#DIV/0!</v>
      </c>
      <c r="I1658" s="57"/>
      <c r="J1658" s="57"/>
      <c r="K1658" s="57"/>
      <c r="L1658" s="57"/>
      <c r="M1658" s="58"/>
      <c r="N1658" s="57"/>
      <c r="O1658" s="57"/>
      <c r="P1658" s="57"/>
      <c r="Q1658" s="57"/>
      <c r="R1658" s="57"/>
      <c r="S1658" s="61"/>
      <c r="T1658" s="57"/>
      <c r="U1658" s="57"/>
      <c r="V1658" s="57"/>
      <c r="W1658" s="57"/>
      <c r="X1658" s="57"/>
      <c r="Y1658" s="57"/>
      <c r="Z1658" s="57"/>
      <c r="AA1658" s="57"/>
      <c r="AB1658" s="57"/>
      <c r="AC1658" s="57"/>
      <c r="AD1658" s="57"/>
      <c r="AE1658" s="57"/>
      <c r="AF1658" s="57"/>
      <c r="AG1658" s="57"/>
      <c r="AH1658" s="57"/>
      <c r="AI1658" s="57"/>
      <c r="AJ1658" s="57"/>
      <c r="AK1658" s="57"/>
      <c r="AL1658" s="57"/>
      <c r="AM1658" s="57"/>
      <c r="AN1658" s="57"/>
      <c r="AO1658" s="57"/>
      <c r="AP1658" s="57"/>
      <c r="AQ1658" s="57"/>
      <c r="AR1658" s="57"/>
      <c r="AS1658" s="57"/>
      <c r="AT1658" s="57"/>
      <c r="AU1658" s="57"/>
      <c r="AV1658" s="57"/>
      <c r="AW1658" s="57"/>
      <c r="AX1658" s="57"/>
      <c r="AY1658" s="57"/>
      <c r="AZ1658" s="57"/>
      <c r="BA1658" s="57"/>
      <c r="BB1658" s="57"/>
      <c r="BC1658" s="57"/>
      <c r="BD1658" s="57"/>
      <c r="BE1658" s="57"/>
      <c r="BF1658" s="57"/>
    </row>
    <row r="1659" spans="1:58" s="52" customFormat="1" x14ac:dyDescent="0.25">
      <c r="A1659" s="53"/>
      <c r="B1659" s="60"/>
      <c r="C1659" s="57">
        <f t="shared" si="124"/>
        <v>0</v>
      </c>
      <c r="D1659" s="56"/>
      <c r="E1659" s="57">
        <f>[1]DETAY!$A$2</f>
        <v>0</v>
      </c>
      <c r="F1659" s="90">
        <f t="shared" si="125"/>
        <v>0</v>
      </c>
      <c r="G1659" s="92">
        <f t="shared" si="126"/>
        <v>0</v>
      </c>
      <c r="H1659" s="62" t="e">
        <f t="shared" si="127"/>
        <v>#DIV/0!</v>
      </c>
      <c r="I1659" s="57"/>
      <c r="J1659" s="57"/>
      <c r="K1659" s="57"/>
      <c r="L1659" s="57"/>
      <c r="M1659" s="58"/>
      <c r="N1659" s="57"/>
      <c r="O1659" s="57"/>
      <c r="P1659" s="57"/>
      <c r="Q1659" s="57"/>
      <c r="R1659" s="57"/>
      <c r="S1659" s="61"/>
      <c r="T1659" s="57"/>
      <c r="U1659" s="57"/>
      <c r="V1659" s="57"/>
      <c r="W1659" s="57"/>
      <c r="X1659" s="57"/>
      <c r="Y1659" s="57"/>
      <c r="Z1659" s="57"/>
      <c r="AA1659" s="57"/>
      <c r="AB1659" s="57"/>
      <c r="AC1659" s="57"/>
      <c r="AD1659" s="57"/>
      <c r="AE1659" s="57"/>
      <c r="AF1659" s="57"/>
      <c r="AG1659" s="57"/>
      <c r="AH1659" s="57"/>
      <c r="AI1659" s="57"/>
      <c r="AJ1659" s="57"/>
      <c r="AK1659" s="57"/>
      <c r="AL1659" s="57"/>
      <c r="AM1659" s="57"/>
      <c r="AN1659" s="57"/>
      <c r="AO1659" s="57"/>
      <c r="AP1659" s="57"/>
      <c r="AQ1659" s="57"/>
      <c r="AR1659" s="57"/>
      <c r="AS1659" s="57"/>
      <c r="AT1659" s="57"/>
      <c r="AU1659" s="57"/>
      <c r="AV1659" s="57"/>
      <c r="AW1659" s="57"/>
      <c r="AX1659" s="57"/>
      <c r="AY1659" s="57"/>
      <c r="AZ1659" s="57"/>
      <c r="BA1659" s="57"/>
      <c r="BB1659" s="57"/>
      <c r="BC1659" s="57"/>
      <c r="BD1659" s="57"/>
      <c r="BE1659" s="57"/>
      <c r="BF1659" s="57"/>
    </row>
    <row r="1660" spans="1:58" s="52" customFormat="1" x14ac:dyDescent="0.25">
      <c r="A1660" s="53"/>
      <c r="B1660" s="60"/>
      <c r="C1660" s="57">
        <f t="shared" si="124"/>
        <v>0</v>
      </c>
      <c r="D1660" s="56"/>
      <c r="E1660" s="57">
        <f>[1]DETAY!$A$2</f>
        <v>0</v>
      </c>
      <c r="F1660" s="90">
        <f t="shared" si="125"/>
        <v>0</v>
      </c>
      <c r="G1660" s="92">
        <f t="shared" si="126"/>
        <v>0</v>
      </c>
      <c r="H1660" s="62" t="e">
        <f t="shared" si="127"/>
        <v>#DIV/0!</v>
      </c>
      <c r="I1660" s="57"/>
      <c r="J1660" s="57"/>
      <c r="K1660" s="57"/>
      <c r="L1660" s="57"/>
      <c r="M1660" s="58"/>
      <c r="N1660" s="57"/>
      <c r="O1660" s="57"/>
      <c r="P1660" s="57"/>
      <c r="Q1660" s="57"/>
      <c r="R1660" s="57"/>
      <c r="S1660" s="61"/>
      <c r="T1660" s="57"/>
      <c r="U1660" s="57"/>
      <c r="V1660" s="57"/>
      <c r="W1660" s="57"/>
      <c r="X1660" s="57"/>
      <c r="Y1660" s="57"/>
      <c r="Z1660" s="57"/>
      <c r="AA1660" s="57"/>
      <c r="AB1660" s="57"/>
      <c r="AC1660" s="57"/>
      <c r="AD1660" s="57"/>
      <c r="AE1660" s="57"/>
      <c r="AF1660" s="57"/>
      <c r="AG1660" s="57"/>
      <c r="AH1660" s="57"/>
      <c r="AI1660" s="57"/>
      <c r="AJ1660" s="57"/>
      <c r="AK1660" s="57"/>
      <c r="AL1660" s="57"/>
      <c r="AM1660" s="57"/>
      <c r="AN1660" s="57"/>
      <c r="AO1660" s="57"/>
      <c r="AP1660" s="57"/>
      <c r="AQ1660" s="57"/>
      <c r="AR1660" s="57"/>
      <c r="AS1660" s="57"/>
      <c r="AT1660" s="57"/>
      <c r="AU1660" s="57"/>
      <c r="AV1660" s="57"/>
      <c r="AW1660" s="57"/>
      <c r="AX1660" s="57"/>
      <c r="AY1660" s="57"/>
      <c r="AZ1660" s="57"/>
      <c r="BA1660" s="57"/>
      <c r="BB1660" s="57"/>
      <c r="BC1660" s="57"/>
      <c r="BD1660" s="57"/>
      <c r="BE1660" s="57"/>
      <c r="BF1660" s="57"/>
    </row>
    <row r="1661" spans="1:58" s="52" customFormat="1" x14ac:dyDescent="0.25">
      <c r="A1661" s="53"/>
      <c r="B1661" s="60"/>
      <c r="C1661" s="57">
        <f t="shared" si="124"/>
        <v>0</v>
      </c>
      <c r="D1661" s="56"/>
      <c r="E1661" s="57">
        <f>[1]DETAY!$A$2</f>
        <v>0</v>
      </c>
      <c r="F1661" s="90">
        <f t="shared" si="125"/>
        <v>0</v>
      </c>
      <c r="G1661" s="92">
        <f t="shared" si="126"/>
        <v>0</v>
      </c>
      <c r="H1661" s="62" t="e">
        <f t="shared" si="127"/>
        <v>#DIV/0!</v>
      </c>
      <c r="I1661" s="57"/>
      <c r="J1661" s="57"/>
      <c r="K1661" s="57"/>
      <c r="L1661" s="57"/>
      <c r="M1661" s="58"/>
      <c r="N1661" s="57"/>
      <c r="O1661" s="57"/>
      <c r="P1661" s="57"/>
      <c r="Q1661" s="57"/>
      <c r="R1661" s="57"/>
      <c r="S1661" s="61"/>
      <c r="T1661" s="57"/>
      <c r="U1661" s="57"/>
      <c r="V1661" s="57"/>
      <c r="W1661" s="57"/>
      <c r="X1661" s="57"/>
      <c r="Y1661" s="57"/>
      <c r="Z1661" s="57"/>
      <c r="AA1661" s="57"/>
      <c r="AB1661" s="57"/>
      <c r="AC1661" s="57"/>
      <c r="AD1661" s="57"/>
      <c r="AE1661" s="57"/>
      <c r="AF1661" s="57"/>
      <c r="AG1661" s="57"/>
      <c r="AH1661" s="57"/>
      <c r="AI1661" s="57"/>
      <c r="AJ1661" s="57"/>
      <c r="AK1661" s="57"/>
      <c r="AL1661" s="57"/>
      <c r="AM1661" s="57"/>
      <c r="AN1661" s="57"/>
      <c r="AO1661" s="57"/>
      <c r="AP1661" s="57"/>
      <c r="AQ1661" s="57"/>
      <c r="AR1661" s="57"/>
      <c r="AS1661" s="57"/>
      <c r="AT1661" s="57"/>
      <c r="AU1661" s="57"/>
      <c r="AV1661" s="57"/>
      <c r="AW1661" s="57"/>
      <c r="AX1661" s="57"/>
      <c r="AY1661" s="57"/>
      <c r="AZ1661" s="57"/>
      <c r="BA1661" s="57"/>
      <c r="BB1661" s="57"/>
      <c r="BC1661" s="57"/>
      <c r="BD1661" s="57"/>
      <c r="BE1661" s="57"/>
      <c r="BF1661" s="57"/>
    </row>
    <row r="1662" spans="1:58" s="52" customFormat="1" x14ac:dyDescent="0.25">
      <c r="A1662" s="53"/>
      <c r="B1662" s="60"/>
      <c r="C1662" s="57">
        <f t="shared" si="124"/>
        <v>0</v>
      </c>
      <c r="D1662" s="56"/>
      <c r="E1662" s="57">
        <f>[1]DETAY!$A$2</f>
        <v>0</v>
      </c>
      <c r="F1662" s="90">
        <f t="shared" si="125"/>
        <v>0</v>
      </c>
      <c r="G1662" s="92">
        <f t="shared" si="126"/>
        <v>0</v>
      </c>
      <c r="H1662" s="62" t="e">
        <f t="shared" si="127"/>
        <v>#DIV/0!</v>
      </c>
      <c r="I1662" s="57"/>
      <c r="J1662" s="57"/>
      <c r="K1662" s="57"/>
      <c r="L1662" s="57"/>
      <c r="M1662" s="58"/>
      <c r="N1662" s="57"/>
      <c r="O1662" s="57"/>
      <c r="P1662" s="57"/>
      <c r="Q1662" s="57"/>
      <c r="R1662" s="57"/>
      <c r="S1662" s="61"/>
      <c r="T1662" s="57"/>
      <c r="U1662" s="57"/>
      <c r="V1662" s="57"/>
      <c r="W1662" s="57"/>
      <c r="X1662" s="57"/>
      <c r="Y1662" s="57"/>
      <c r="Z1662" s="57"/>
      <c r="AA1662" s="57"/>
      <c r="AB1662" s="57"/>
      <c r="AC1662" s="57"/>
      <c r="AD1662" s="57"/>
      <c r="AE1662" s="57"/>
      <c r="AF1662" s="57"/>
      <c r="AG1662" s="57"/>
      <c r="AH1662" s="57"/>
      <c r="AI1662" s="57"/>
      <c r="AJ1662" s="57"/>
      <c r="AK1662" s="57"/>
      <c r="AL1662" s="57"/>
      <c r="AM1662" s="57"/>
      <c r="AN1662" s="57"/>
      <c r="AO1662" s="57"/>
      <c r="AP1662" s="57"/>
      <c r="AQ1662" s="57"/>
      <c r="AR1662" s="57"/>
      <c r="AS1662" s="57"/>
      <c r="AT1662" s="57"/>
      <c r="AU1662" s="57"/>
      <c r="AV1662" s="57"/>
      <c r="AW1662" s="57"/>
      <c r="AX1662" s="57"/>
      <c r="AY1662" s="57"/>
      <c r="AZ1662" s="57"/>
      <c r="BA1662" s="57"/>
      <c r="BB1662" s="57"/>
      <c r="BC1662" s="57"/>
      <c r="BD1662" s="57"/>
      <c r="BE1662" s="57"/>
      <c r="BF1662" s="57"/>
    </row>
    <row r="1663" spans="1:58" s="52" customFormat="1" x14ac:dyDescent="0.25">
      <c r="A1663" s="53"/>
      <c r="B1663" s="60"/>
      <c r="C1663" s="57">
        <f t="shared" si="124"/>
        <v>0</v>
      </c>
      <c r="D1663" s="56"/>
      <c r="E1663" s="57">
        <f>[1]DETAY!$A$2</f>
        <v>0</v>
      </c>
      <c r="F1663" s="90">
        <f t="shared" si="125"/>
        <v>0</v>
      </c>
      <c r="G1663" s="92">
        <f t="shared" si="126"/>
        <v>0</v>
      </c>
      <c r="H1663" s="62" t="e">
        <f t="shared" si="127"/>
        <v>#DIV/0!</v>
      </c>
      <c r="I1663" s="57"/>
      <c r="J1663" s="57"/>
      <c r="K1663" s="57"/>
      <c r="L1663" s="57"/>
      <c r="M1663" s="58"/>
      <c r="N1663" s="57"/>
      <c r="O1663" s="57"/>
      <c r="P1663" s="57"/>
      <c r="Q1663" s="57"/>
      <c r="R1663" s="57"/>
      <c r="S1663" s="61"/>
      <c r="T1663" s="57"/>
      <c r="U1663" s="57"/>
      <c r="V1663" s="57"/>
      <c r="W1663" s="57"/>
      <c r="X1663" s="57"/>
      <c r="Y1663" s="57"/>
      <c r="Z1663" s="57"/>
      <c r="AA1663" s="57"/>
      <c r="AB1663" s="57"/>
      <c r="AC1663" s="57"/>
      <c r="AD1663" s="57"/>
      <c r="AE1663" s="57"/>
      <c r="AF1663" s="57"/>
      <c r="AG1663" s="57"/>
      <c r="AH1663" s="57"/>
      <c r="AI1663" s="57"/>
      <c r="AJ1663" s="57"/>
      <c r="AK1663" s="57"/>
      <c r="AL1663" s="57"/>
      <c r="AM1663" s="57"/>
      <c r="AN1663" s="57"/>
      <c r="AO1663" s="57"/>
      <c r="AP1663" s="57"/>
      <c r="AQ1663" s="57"/>
      <c r="AR1663" s="57"/>
      <c r="AS1663" s="57"/>
      <c r="AT1663" s="57"/>
      <c r="AU1663" s="57"/>
      <c r="AV1663" s="57"/>
      <c r="AW1663" s="57"/>
      <c r="AX1663" s="57"/>
      <c r="AY1663" s="57"/>
      <c r="AZ1663" s="57"/>
      <c r="BA1663" s="57"/>
      <c r="BB1663" s="57"/>
      <c r="BC1663" s="57"/>
      <c r="BD1663" s="57"/>
      <c r="BE1663" s="57"/>
      <c r="BF1663" s="57"/>
    </row>
    <row r="1664" spans="1:58" s="52" customFormat="1" x14ac:dyDescent="0.25">
      <c r="A1664" s="53"/>
      <c r="B1664" s="60"/>
      <c r="C1664" s="57">
        <f t="shared" si="124"/>
        <v>0</v>
      </c>
      <c r="D1664" s="56"/>
      <c r="E1664" s="57">
        <f>[1]DETAY!$A$2</f>
        <v>0</v>
      </c>
      <c r="F1664" s="90">
        <f t="shared" si="125"/>
        <v>0</v>
      </c>
      <c r="G1664" s="92">
        <f t="shared" si="126"/>
        <v>0</v>
      </c>
      <c r="H1664" s="62" t="e">
        <f t="shared" si="127"/>
        <v>#DIV/0!</v>
      </c>
      <c r="I1664" s="57"/>
      <c r="J1664" s="57"/>
      <c r="K1664" s="57"/>
      <c r="L1664" s="57"/>
      <c r="M1664" s="58"/>
      <c r="N1664" s="57"/>
      <c r="O1664" s="57"/>
      <c r="P1664" s="57"/>
      <c r="Q1664" s="57"/>
      <c r="R1664" s="57"/>
      <c r="S1664" s="61"/>
      <c r="T1664" s="57"/>
      <c r="U1664" s="57"/>
      <c r="V1664" s="57"/>
      <c r="W1664" s="57"/>
      <c r="X1664" s="57"/>
      <c r="Y1664" s="57"/>
      <c r="Z1664" s="57"/>
      <c r="AA1664" s="57"/>
      <c r="AB1664" s="57"/>
      <c r="AC1664" s="57"/>
      <c r="AD1664" s="57"/>
      <c r="AE1664" s="57"/>
      <c r="AF1664" s="57"/>
      <c r="AG1664" s="57"/>
      <c r="AH1664" s="57"/>
      <c r="AI1664" s="57"/>
      <c r="AJ1664" s="57"/>
      <c r="AK1664" s="57"/>
      <c r="AL1664" s="57"/>
      <c r="AM1664" s="57"/>
      <c r="AN1664" s="57"/>
      <c r="AO1664" s="57"/>
      <c r="AP1664" s="57"/>
      <c r="AQ1664" s="57"/>
      <c r="AR1664" s="57"/>
      <c r="AS1664" s="57"/>
      <c r="AT1664" s="57"/>
      <c r="AU1664" s="57"/>
      <c r="AV1664" s="57"/>
      <c r="AW1664" s="57"/>
      <c r="AX1664" s="57"/>
      <c r="AY1664" s="57"/>
      <c r="AZ1664" s="57"/>
      <c r="BA1664" s="57"/>
      <c r="BB1664" s="57"/>
      <c r="BC1664" s="57"/>
      <c r="BD1664" s="57"/>
      <c r="BE1664" s="57"/>
      <c r="BF1664" s="57"/>
    </row>
    <row r="1665" spans="1:58" s="52" customFormat="1" x14ac:dyDescent="0.25">
      <c r="A1665" s="53"/>
      <c r="B1665" s="60"/>
      <c r="C1665" s="57">
        <f t="shared" si="124"/>
        <v>0</v>
      </c>
      <c r="D1665" s="56"/>
      <c r="E1665" s="57">
        <f>[1]DETAY!$A$2</f>
        <v>0</v>
      </c>
      <c r="F1665" s="90">
        <f t="shared" si="125"/>
        <v>0</v>
      </c>
      <c r="G1665" s="92">
        <f t="shared" si="126"/>
        <v>0</v>
      </c>
      <c r="H1665" s="62" t="e">
        <f t="shared" si="127"/>
        <v>#DIV/0!</v>
      </c>
      <c r="I1665" s="57"/>
      <c r="J1665" s="57"/>
      <c r="K1665" s="57"/>
      <c r="L1665" s="57"/>
      <c r="M1665" s="58"/>
      <c r="N1665" s="57"/>
      <c r="O1665" s="57"/>
      <c r="P1665" s="57"/>
      <c r="Q1665" s="57"/>
      <c r="R1665" s="57"/>
      <c r="S1665" s="61"/>
      <c r="T1665" s="57"/>
      <c r="U1665" s="57"/>
      <c r="V1665" s="57"/>
      <c r="W1665" s="57"/>
      <c r="X1665" s="57"/>
      <c r="Y1665" s="57"/>
      <c r="Z1665" s="57"/>
      <c r="AA1665" s="57"/>
      <c r="AB1665" s="57"/>
      <c r="AC1665" s="57"/>
      <c r="AD1665" s="57"/>
      <c r="AE1665" s="57"/>
      <c r="AF1665" s="57"/>
      <c r="AG1665" s="57"/>
      <c r="AH1665" s="57"/>
      <c r="AI1665" s="57"/>
      <c r="AJ1665" s="57"/>
      <c r="AK1665" s="57"/>
      <c r="AL1665" s="57"/>
      <c r="AM1665" s="57"/>
      <c r="AN1665" s="57"/>
      <c r="AO1665" s="57"/>
      <c r="AP1665" s="57"/>
      <c r="AQ1665" s="57"/>
      <c r="AR1665" s="57"/>
      <c r="AS1665" s="57"/>
      <c r="AT1665" s="57"/>
      <c r="AU1665" s="57"/>
      <c r="AV1665" s="57"/>
      <c r="AW1665" s="57"/>
      <c r="AX1665" s="57"/>
      <c r="AY1665" s="57"/>
      <c r="AZ1665" s="57"/>
      <c r="BA1665" s="57"/>
      <c r="BB1665" s="57"/>
      <c r="BC1665" s="57"/>
      <c r="BD1665" s="57"/>
      <c r="BE1665" s="57"/>
      <c r="BF1665" s="57"/>
    </row>
    <row r="1666" spans="1:58" s="52" customFormat="1" x14ac:dyDescent="0.25">
      <c r="A1666" s="53"/>
      <c r="B1666" s="60"/>
      <c r="C1666" s="57">
        <f t="shared" si="124"/>
        <v>0</v>
      </c>
      <c r="D1666" s="56"/>
      <c r="E1666" s="57">
        <f>[1]DETAY!$A$2</f>
        <v>0</v>
      </c>
      <c r="F1666" s="90">
        <f t="shared" si="125"/>
        <v>0</v>
      </c>
      <c r="G1666" s="92">
        <f t="shared" si="126"/>
        <v>0</v>
      </c>
      <c r="H1666" s="62" t="e">
        <f t="shared" si="127"/>
        <v>#DIV/0!</v>
      </c>
      <c r="I1666" s="57"/>
      <c r="J1666" s="57"/>
      <c r="K1666" s="57"/>
      <c r="L1666" s="57"/>
      <c r="M1666" s="58"/>
      <c r="N1666" s="57"/>
      <c r="O1666" s="57"/>
      <c r="P1666" s="57"/>
      <c r="Q1666" s="57"/>
      <c r="R1666" s="57"/>
      <c r="S1666" s="61"/>
      <c r="T1666" s="57"/>
      <c r="U1666" s="57"/>
      <c r="V1666" s="57"/>
      <c r="W1666" s="57"/>
      <c r="X1666" s="57"/>
      <c r="Y1666" s="57"/>
      <c r="Z1666" s="57"/>
      <c r="AA1666" s="57"/>
      <c r="AB1666" s="57"/>
      <c r="AC1666" s="57"/>
      <c r="AD1666" s="57"/>
      <c r="AE1666" s="57"/>
      <c r="AF1666" s="57"/>
      <c r="AG1666" s="57"/>
      <c r="AH1666" s="57"/>
      <c r="AI1666" s="57"/>
      <c r="AJ1666" s="57"/>
      <c r="AK1666" s="57"/>
      <c r="AL1666" s="57"/>
      <c r="AM1666" s="57"/>
      <c r="AN1666" s="57"/>
      <c r="AO1666" s="57"/>
      <c r="AP1666" s="57"/>
      <c r="AQ1666" s="57"/>
      <c r="AR1666" s="57"/>
      <c r="AS1666" s="57"/>
      <c r="AT1666" s="57"/>
      <c r="AU1666" s="57"/>
      <c r="AV1666" s="57"/>
      <c r="AW1666" s="57"/>
      <c r="AX1666" s="57"/>
      <c r="AY1666" s="57"/>
      <c r="AZ1666" s="57"/>
      <c r="BA1666" s="57"/>
      <c r="BB1666" s="57"/>
      <c r="BC1666" s="57"/>
      <c r="BD1666" s="57"/>
      <c r="BE1666" s="57"/>
      <c r="BF1666" s="57"/>
    </row>
    <row r="1667" spans="1:58" s="52" customFormat="1" x14ac:dyDescent="0.25">
      <c r="A1667" s="53"/>
      <c r="B1667" s="60"/>
      <c r="C1667" s="57">
        <f t="shared" si="124"/>
        <v>0</v>
      </c>
      <c r="D1667" s="56"/>
      <c r="E1667" s="57">
        <f>[1]DETAY!$A$2</f>
        <v>0</v>
      </c>
      <c r="F1667" s="90">
        <f t="shared" si="125"/>
        <v>0</v>
      </c>
      <c r="G1667" s="92">
        <f t="shared" si="126"/>
        <v>0</v>
      </c>
      <c r="H1667" s="62" t="e">
        <f t="shared" si="127"/>
        <v>#DIV/0!</v>
      </c>
      <c r="I1667" s="57"/>
      <c r="J1667" s="57"/>
      <c r="K1667" s="57"/>
      <c r="L1667" s="57"/>
      <c r="M1667" s="58"/>
      <c r="N1667" s="57"/>
      <c r="O1667" s="57"/>
      <c r="P1667" s="57"/>
      <c r="Q1667" s="57"/>
      <c r="R1667" s="57"/>
      <c r="S1667" s="61"/>
      <c r="T1667" s="57"/>
      <c r="U1667" s="57"/>
      <c r="V1667" s="57"/>
      <c r="W1667" s="57"/>
      <c r="X1667" s="57"/>
      <c r="Y1667" s="57"/>
      <c r="Z1667" s="57"/>
      <c r="AA1667" s="57"/>
      <c r="AB1667" s="57"/>
      <c r="AC1667" s="57"/>
      <c r="AD1667" s="57"/>
      <c r="AE1667" s="57"/>
      <c r="AF1667" s="57"/>
      <c r="AG1667" s="57"/>
      <c r="AH1667" s="57"/>
      <c r="AI1667" s="57"/>
      <c r="AJ1667" s="57"/>
      <c r="AK1667" s="57"/>
      <c r="AL1667" s="57"/>
      <c r="AM1667" s="57"/>
      <c r="AN1667" s="57"/>
      <c r="AO1667" s="57"/>
      <c r="AP1667" s="57"/>
      <c r="AQ1667" s="57"/>
      <c r="AR1667" s="57"/>
      <c r="AS1667" s="57"/>
      <c r="AT1667" s="57"/>
      <c r="AU1667" s="57"/>
      <c r="AV1667" s="57"/>
      <c r="AW1667" s="57"/>
      <c r="AX1667" s="57"/>
      <c r="AY1667" s="57"/>
      <c r="AZ1667" s="57"/>
      <c r="BA1667" s="57"/>
      <c r="BB1667" s="57"/>
      <c r="BC1667" s="57"/>
      <c r="BD1667" s="57"/>
      <c r="BE1667" s="57"/>
      <c r="BF1667" s="57"/>
    </row>
    <row r="1668" spans="1:58" s="52" customFormat="1" x14ac:dyDescent="0.25">
      <c r="A1668" s="53"/>
      <c r="B1668" s="60"/>
      <c r="C1668" s="57">
        <f t="shared" si="124"/>
        <v>0</v>
      </c>
      <c r="D1668" s="56"/>
      <c r="E1668" s="57">
        <f>[1]DETAY!$A$2</f>
        <v>0</v>
      </c>
      <c r="F1668" s="90">
        <f t="shared" si="125"/>
        <v>0</v>
      </c>
      <c r="G1668" s="92">
        <f t="shared" si="126"/>
        <v>0</v>
      </c>
      <c r="H1668" s="62" t="e">
        <f t="shared" si="127"/>
        <v>#DIV/0!</v>
      </c>
      <c r="I1668" s="57"/>
      <c r="J1668" s="57"/>
      <c r="K1668" s="57"/>
      <c r="L1668" s="57"/>
      <c r="M1668" s="58"/>
      <c r="N1668" s="57"/>
      <c r="O1668" s="57"/>
      <c r="P1668" s="57"/>
      <c r="Q1668" s="57"/>
      <c r="R1668" s="57"/>
      <c r="S1668" s="61"/>
      <c r="T1668" s="57"/>
      <c r="U1668" s="57"/>
      <c r="V1668" s="57"/>
      <c r="W1668" s="57"/>
      <c r="X1668" s="57"/>
      <c r="Y1668" s="57"/>
      <c r="Z1668" s="57"/>
      <c r="AA1668" s="57"/>
      <c r="AB1668" s="57"/>
      <c r="AC1668" s="57"/>
      <c r="AD1668" s="57"/>
      <c r="AE1668" s="57"/>
      <c r="AF1668" s="57"/>
      <c r="AG1668" s="57"/>
      <c r="AH1668" s="57"/>
      <c r="AI1668" s="57"/>
      <c r="AJ1668" s="57"/>
      <c r="AK1668" s="57"/>
      <c r="AL1668" s="57"/>
      <c r="AM1668" s="57"/>
      <c r="AN1668" s="57"/>
      <c r="AO1668" s="57"/>
      <c r="AP1668" s="57"/>
      <c r="AQ1668" s="57"/>
      <c r="AR1668" s="57"/>
      <c r="AS1668" s="57"/>
      <c r="AT1668" s="57"/>
      <c r="AU1668" s="57"/>
      <c r="AV1668" s="57"/>
      <c r="AW1668" s="57"/>
      <c r="AX1668" s="57"/>
      <c r="AY1668" s="57"/>
      <c r="AZ1668" s="57"/>
      <c r="BA1668" s="57"/>
      <c r="BB1668" s="57"/>
      <c r="BC1668" s="57"/>
      <c r="BD1668" s="57"/>
      <c r="BE1668" s="57"/>
      <c r="BF1668" s="57"/>
    </row>
    <row r="1669" spans="1:58" s="52" customFormat="1" x14ac:dyDescent="0.25">
      <c r="A1669" s="53"/>
      <c r="B1669" s="60"/>
      <c r="C1669" s="57">
        <f t="shared" si="124"/>
        <v>0</v>
      </c>
      <c r="D1669" s="56"/>
      <c r="E1669" s="57">
        <f>[1]DETAY!$A$2</f>
        <v>0</v>
      </c>
      <c r="F1669" s="90">
        <f t="shared" si="125"/>
        <v>0</v>
      </c>
      <c r="G1669" s="92">
        <f t="shared" si="126"/>
        <v>0</v>
      </c>
      <c r="H1669" s="62" t="e">
        <f t="shared" si="127"/>
        <v>#DIV/0!</v>
      </c>
      <c r="I1669" s="57"/>
      <c r="J1669" s="57"/>
      <c r="K1669" s="57"/>
      <c r="L1669" s="57"/>
      <c r="M1669" s="58"/>
      <c r="N1669" s="57"/>
      <c r="O1669" s="57"/>
      <c r="P1669" s="57"/>
      <c r="Q1669" s="57"/>
      <c r="R1669" s="57"/>
      <c r="S1669" s="61"/>
      <c r="T1669" s="57"/>
      <c r="U1669" s="57"/>
      <c r="V1669" s="57"/>
      <c r="W1669" s="57"/>
      <c r="X1669" s="57"/>
      <c r="Y1669" s="57"/>
      <c r="Z1669" s="57"/>
      <c r="AA1669" s="57"/>
      <c r="AB1669" s="57"/>
      <c r="AC1669" s="57"/>
      <c r="AD1669" s="57"/>
      <c r="AE1669" s="57"/>
      <c r="AF1669" s="57"/>
      <c r="AG1669" s="57"/>
      <c r="AH1669" s="57"/>
      <c r="AI1669" s="57"/>
      <c r="AJ1669" s="57"/>
      <c r="AK1669" s="57"/>
      <c r="AL1669" s="57"/>
      <c r="AM1669" s="57"/>
      <c r="AN1669" s="57"/>
      <c r="AO1669" s="57"/>
      <c r="AP1669" s="57"/>
      <c r="AQ1669" s="57"/>
      <c r="AR1669" s="57"/>
      <c r="AS1669" s="57"/>
      <c r="AT1669" s="57"/>
      <c r="AU1669" s="57"/>
      <c r="AV1669" s="57"/>
      <c r="AW1669" s="57"/>
      <c r="AX1669" s="57"/>
      <c r="AY1669" s="57"/>
      <c r="AZ1669" s="57"/>
      <c r="BA1669" s="57"/>
      <c r="BB1669" s="57"/>
      <c r="BC1669" s="57"/>
      <c r="BD1669" s="57"/>
      <c r="BE1669" s="57"/>
      <c r="BF1669" s="57"/>
    </row>
    <row r="1670" spans="1:58" s="52" customFormat="1" x14ac:dyDescent="0.25">
      <c r="A1670" s="53"/>
      <c r="B1670" s="60"/>
      <c r="C1670" s="57">
        <f t="shared" si="124"/>
        <v>0</v>
      </c>
      <c r="D1670" s="56"/>
      <c r="E1670" s="57">
        <f>[1]DETAY!$A$2</f>
        <v>0</v>
      </c>
      <c r="F1670" s="90">
        <f t="shared" si="125"/>
        <v>0</v>
      </c>
      <c r="G1670" s="92">
        <f t="shared" si="126"/>
        <v>0</v>
      </c>
      <c r="H1670" s="62" t="e">
        <f t="shared" si="127"/>
        <v>#DIV/0!</v>
      </c>
      <c r="I1670" s="57"/>
      <c r="J1670" s="57"/>
      <c r="K1670" s="57"/>
      <c r="L1670" s="57"/>
      <c r="M1670" s="58"/>
      <c r="N1670" s="57"/>
      <c r="O1670" s="57"/>
      <c r="P1670" s="57"/>
      <c r="Q1670" s="57"/>
      <c r="R1670" s="57"/>
      <c r="S1670" s="61"/>
      <c r="T1670" s="57"/>
      <c r="U1670" s="57"/>
      <c r="V1670" s="57"/>
      <c r="W1670" s="57"/>
      <c r="X1670" s="57"/>
      <c r="Y1670" s="57"/>
      <c r="Z1670" s="57"/>
      <c r="AA1670" s="57"/>
      <c r="AB1670" s="57"/>
      <c r="AC1670" s="57"/>
      <c r="AD1670" s="57"/>
      <c r="AE1670" s="57"/>
      <c r="AF1670" s="57"/>
      <c r="AG1670" s="57"/>
      <c r="AH1670" s="57"/>
      <c r="AI1670" s="57"/>
      <c r="AJ1670" s="57"/>
      <c r="AK1670" s="57"/>
      <c r="AL1670" s="57"/>
      <c r="AM1670" s="57"/>
      <c r="AN1670" s="57"/>
      <c r="AO1670" s="57"/>
      <c r="AP1670" s="57"/>
      <c r="AQ1670" s="57"/>
      <c r="AR1670" s="57"/>
      <c r="AS1670" s="57"/>
      <c r="AT1670" s="57"/>
      <c r="AU1670" s="57"/>
      <c r="AV1670" s="57"/>
      <c r="AW1670" s="57"/>
      <c r="AX1670" s="57"/>
      <c r="AY1670" s="57"/>
      <c r="AZ1670" s="57"/>
      <c r="BA1670" s="57"/>
      <c r="BB1670" s="57"/>
      <c r="BC1670" s="57"/>
      <c r="BD1670" s="57"/>
      <c r="BE1670" s="57"/>
      <c r="BF1670" s="57"/>
    </row>
    <row r="1671" spans="1:58" s="52" customFormat="1" x14ac:dyDescent="0.25">
      <c r="A1671" s="53"/>
      <c r="B1671" s="60"/>
      <c r="C1671" s="57">
        <f t="shared" si="124"/>
        <v>0</v>
      </c>
      <c r="D1671" s="56"/>
      <c r="E1671" s="57">
        <f>[1]DETAY!$A$2</f>
        <v>0</v>
      </c>
      <c r="F1671" s="90">
        <f t="shared" si="125"/>
        <v>0</v>
      </c>
      <c r="G1671" s="92">
        <f t="shared" si="126"/>
        <v>0</v>
      </c>
      <c r="H1671" s="62" t="e">
        <f t="shared" si="127"/>
        <v>#DIV/0!</v>
      </c>
      <c r="I1671" s="57"/>
      <c r="J1671" s="57"/>
      <c r="K1671" s="57"/>
      <c r="L1671" s="57"/>
      <c r="M1671" s="58"/>
      <c r="N1671" s="57"/>
      <c r="O1671" s="57"/>
      <c r="P1671" s="57"/>
      <c r="Q1671" s="57"/>
      <c r="R1671" s="57"/>
      <c r="S1671" s="61"/>
      <c r="T1671" s="57"/>
      <c r="U1671" s="57"/>
      <c r="V1671" s="57"/>
      <c r="W1671" s="57"/>
      <c r="X1671" s="57"/>
      <c r="Y1671" s="57"/>
      <c r="Z1671" s="57"/>
      <c r="AA1671" s="57"/>
      <c r="AB1671" s="57"/>
      <c r="AC1671" s="57"/>
      <c r="AD1671" s="57"/>
      <c r="AE1671" s="57"/>
      <c r="AF1671" s="57"/>
      <c r="AG1671" s="57"/>
      <c r="AH1671" s="57"/>
      <c r="AI1671" s="57"/>
      <c r="AJ1671" s="57"/>
      <c r="AK1671" s="57"/>
      <c r="AL1671" s="57"/>
      <c r="AM1671" s="57"/>
      <c r="AN1671" s="57"/>
      <c r="AO1671" s="57"/>
      <c r="AP1671" s="57"/>
      <c r="AQ1671" s="57"/>
      <c r="AR1671" s="57"/>
      <c r="AS1671" s="57"/>
      <c r="AT1671" s="57"/>
      <c r="AU1671" s="57"/>
      <c r="AV1671" s="57"/>
      <c r="AW1671" s="57"/>
      <c r="AX1671" s="57"/>
      <c r="AY1671" s="57"/>
      <c r="AZ1671" s="57"/>
      <c r="BA1671" s="57"/>
      <c r="BB1671" s="57"/>
      <c r="BC1671" s="57"/>
      <c r="BD1671" s="57"/>
      <c r="BE1671" s="57"/>
      <c r="BF1671" s="57"/>
    </row>
    <row r="1672" spans="1:58" s="52" customFormat="1" x14ac:dyDescent="0.25">
      <c r="A1672" s="53"/>
      <c r="B1672" s="60"/>
      <c r="C1672" s="57">
        <f t="shared" ref="C1672:C1735" si="128">WEEKNUM(B1672)</f>
        <v>0</v>
      </c>
      <c r="D1672" s="56"/>
      <c r="E1672" s="57">
        <f>[1]DETAY!$A$2</f>
        <v>0</v>
      </c>
      <c r="F1672" s="90">
        <f t="shared" ref="F1672:F1735" si="129">D1672-G1672</f>
        <v>0</v>
      </c>
      <c r="G1672" s="92">
        <f t="shared" ref="G1672:G1735" si="130">SUBTOTAL(9,I1672:BD1672)</f>
        <v>0</v>
      </c>
      <c r="H1672" s="62" t="e">
        <f t="shared" ref="H1672:H1735" si="131">F1672/D1672</f>
        <v>#DIV/0!</v>
      </c>
      <c r="I1672" s="57"/>
      <c r="J1672" s="57"/>
      <c r="K1672" s="57"/>
      <c r="L1672" s="57"/>
      <c r="M1672" s="58"/>
      <c r="N1672" s="57"/>
      <c r="O1672" s="57"/>
      <c r="P1672" s="57"/>
      <c r="Q1672" s="57"/>
      <c r="R1672" s="57"/>
      <c r="S1672" s="61"/>
      <c r="T1672" s="57"/>
      <c r="U1672" s="57"/>
      <c r="V1672" s="57"/>
      <c r="W1672" s="57"/>
      <c r="X1672" s="57"/>
      <c r="Y1672" s="57"/>
      <c r="Z1672" s="57"/>
      <c r="AA1672" s="57"/>
      <c r="AB1672" s="57"/>
      <c r="AC1672" s="57"/>
      <c r="AD1672" s="57"/>
      <c r="AE1672" s="57"/>
      <c r="AF1672" s="57"/>
      <c r="AG1672" s="57"/>
      <c r="AH1672" s="57"/>
      <c r="AI1672" s="57"/>
      <c r="AJ1672" s="57"/>
      <c r="AK1672" s="57"/>
      <c r="AL1672" s="57"/>
      <c r="AM1672" s="57"/>
      <c r="AN1672" s="57"/>
      <c r="AO1672" s="57"/>
      <c r="AP1672" s="57"/>
      <c r="AQ1672" s="57"/>
      <c r="AR1672" s="57"/>
      <c r="AS1672" s="57"/>
      <c r="AT1672" s="57"/>
      <c r="AU1672" s="57"/>
      <c r="AV1672" s="57"/>
      <c r="AW1672" s="57"/>
      <c r="AX1672" s="57"/>
      <c r="AY1672" s="57"/>
      <c r="AZ1672" s="57"/>
      <c r="BA1672" s="57"/>
      <c r="BB1672" s="57"/>
      <c r="BC1672" s="57"/>
      <c r="BD1672" s="57"/>
      <c r="BE1672" s="57"/>
      <c r="BF1672" s="57"/>
    </row>
    <row r="1673" spans="1:58" s="52" customFormat="1" x14ac:dyDescent="0.25">
      <c r="A1673" s="53"/>
      <c r="B1673" s="60"/>
      <c r="C1673" s="57">
        <f t="shared" si="128"/>
        <v>0</v>
      </c>
      <c r="D1673" s="56"/>
      <c r="E1673" s="57">
        <f>[1]DETAY!$A$2</f>
        <v>0</v>
      </c>
      <c r="F1673" s="90">
        <f t="shared" si="129"/>
        <v>0</v>
      </c>
      <c r="G1673" s="92">
        <f t="shared" si="130"/>
        <v>0</v>
      </c>
      <c r="H1673" s="62" t="e">
        <f t="shared" si="131"/>
        <v>#DIV/0!</v>
      </c>
      <c r="I1673" s="57"/>
      <c r="J1673" s="57"/>
      <c r="K1673" s="57"/>
      <c r="L1673" s="57"/>
      <c r="M1673" s="58"/>
      <c r="N1673" s="57"/>
      <c r="O1673" s="57"/>
      <c r="P1673" s="57"/>
      <c r="Q1673" s="57"/>
      <c r="R1673" s="57"/>
      <c r="S1673" s="61"/>
      <c r="T1673" s="57"/>
      <c r="U1673" s="57"/>
      <c r="V1673" s="57"/>
      <c r="W1673" s="57"/>
      <c r="X1673" s="57"/>
      <c r="Y1673" s="57"/>
      <c r="Z1673" s="57"/>
      <c r="AA1673" s="57"/>
      <c r="AB1673" s="57"/>
      <c r="AC1673" s="57"/>
      <c r="AD1673" s="57"/>
      <c r="AE1673" s="57"/>
      <c r="AF1673" s="57"/>
      <c r="AG1673" s="57"/>
      <c r="AH1673" s="57"/>
      <c r="AI1673" s="57"/>
      <c r="AJ1673" s="57"/>
      <c r="AK1673" s="57"/>
      <c r="AL1673" s="57"/>
      <c r="AM1673" s="57"/>
      <c r="AN1673" s="57"/>
      <c r="AO1673" s="57"/>
      <c r="AP1673" s="57"/>
      <c r="AQ1673" s="57"/>
      <c r="AR1673" s="57"/>
      <c r="AS1673" s="57"/>
      <c r="AT1673" s="57"/>
      <c r="AU1673" s="57"/>
      <c r="AV1673" s="57"/>
      <c r="AW1673" s="57"/>
      <c r="AX1673" s="57"/>
      <c r="AY1673" s="57"/>
      <c r="AZ1673" s="57"/>
      <c r="BA1673" s="57"/>
      <c r="BB1673" s="57"/>
      <c r="BC1673" s="57"/>
      <c r="BD1673" s="57"/>
      <c r="BE1673" s="57"/>
      <c r="BF1673" s="57"/>
    </row>
    <row r="1674" spans="1:58" s="52" customFormat="1" x14ac:dyDescent="0.25">
      <c r="A1674" s="53"/>
      <c r="B1674" s="60"/>
      <c r="C1674" s="57">
        <f t="shared" si="128"/>
        <v>0</v>
      </c>
      <c r="D1674" s="56"/>
      <c r="E1674" s="57">
        <f>[1]DETAY!$A$2</f>
        <v>0</v>
      </c>
      <c r="F1674" s="90">
        <f t="shared" si="129"/>
        <v>0</v>
      </c>
      <c r="G1674" s="92">
        <f t="shared" si="130"/>
        <v>0</v>
      </c>
      <c r="H1674" s="62" t="e">
        <f t="shared" si="131"/>
        <v>#DIV/0!</v>
      </c>
      <c r="I1674" s="57"/>
      <c r="J1674" s="57"/>
      <c r="K1674" s="57"/>
      <c r="L1674" s="57"/>
      <c r="M1674" s="58"/>
      <c r="N1674" s="57"/>
      <c r="O1674" s="57"/>
      <c r="P1674" s="57"/>
      <c r="Q1674" s="57"/>
      <c r="R1674" s="57"/>
      <c r="S1674" s="61"/>
      <c r="T1674" s="57"/>
      <c r="U1674" s="57"/>
      <c r="V1674" s="57"/>
      <c r="W1674" s="57"/>
      <c r="X1674" s="57"/>
      <c r="Y1674" s="57"/>
      <c r="Z1674" s="57"/>
      <c r="AA1674" s="57"/>
      <c r="AB1674" s="57"/>
      <c r="AC1674" s="57"/>
      <c r="AD1674" s="57"/>
      <c r="AE1674" s="57"/>
      <c r="AF1674" s="57"/>
      <c r="AG1674" s="57"/>
      <c r="AH1674" s="57"/>
      <c r="AI1674" s="57"/>
      <c r="AJ1674" s="57"/>
      <c r="AK1674" s="57"/>
      <c r="AL1674" s="57"/>
      <c r="AM1674" s="57"/>
      <c r="AN1674" s="57"/>
      <c r="AO1674" s="57"/>
      <c r="AP1674" s="57"/>
      <c r="AQ1674" s="57"/>
      <c r="AR1674" s="57"/>
      <c r="AS1674" s="57"/>
      <c r="AT1674" s="57"/>
      <c r="AU1674" s="57"/>
      <c r="AV1674" s="57"/>
      <c r="AW1674" s="57"/>
      <c r="AX1674" s="57"/>
      <c r="AY1674" s="57"/>
      <c r="AZ1674" s="57"/>
      <c r="BA1674" s="57"/>
      <c r="BB1674" s="57"/>
      <c r="BC1674" s="57"/>
      <c r="BD1674" s="57"/>
      <c r="BE1674" s="57"/>
      <c r="BF1674" s="57"/>
    </row>
    <row r="1675" spans="1:58" s="52" customFormat="1" x14ac:dyDescent="0.25">
      <c r="A1675" s="53"/>
      <c r="B1675" s="60"/>
      <c r="C1675" s="57">
        <f t="shared" si="128"/>
        <v>0</v>
      </c>
      <c r="D1675" s="56"/>
      <c r="E1675" s="57">
        <f>[1]DETAY!$A$2</f>
        <v>0</v>
      </c>
      <c r="F1675" s="90">
        <f t="shared" si="129"/>
        <v>0</v>
      </c>
      <c r="G1675" s="92">
        <f t="shared" si="130"/>
        <v>0</v>
      </c>
      <c r="H1675" s="62" t="e">
        <f t="shared" si="131"/>
        <v>#DIV/0!</v>
      </c>
      <c r="I1675" s="57"/>
      <c r="J1675" s="57"/>
      <c r="K1675" s="57"/>
      <c r="L1675" s="57"/>
      <c r="M1675" s="58"/>
      <c r="N1675" s="57"/>
      <c r="O1675" s="57"/>
      <c r="P1675" s="57"/>
      <c r="Q1675" s="57"/>
      <c r="R1675" s="57"/>
      <c r="S1675" s="61"/>
      <c r="T1675" s="57"/>
      <c r="U1675" s="57"/>
      <c r="V1675" s="57"/>
      <c r="W1675" s="57"/>
      <c r="X1675" s="57"/>
      <c r="Y1675" s="57"/>
      <c r="Z1675" s="57"/>
      <c r="AA1675" s="57"/>
      <c r="AB1675" s="57"/>
      <c r="AC1675" s="57"/>
      <c r="AD1675" s="57"/>
      <c r="AE1675" s="57"/>
      <c r="AF1675" s="57"/>
      <c r="AG1675" s="57"/>
      <c r="AH1675" s="57"/>
      <c r="AI1675" s="57"/>
      <c r="AJ1675" s="57"/>
      <c r="AK1675" s="57"/>
      <c r="AL1675" s="57"/>
      <c r="AM1675" s="57"/>
      <c r="AN1675" s="57"/>
      <c r="AO1675" s="57"/>
      <c r="AP1675" s="57"/>
      <c r="AQ1675" s="57"/>
      <c r="AR1675" s="57"/>
      <c r="AS1675" s="57"/>
      <c r="AT1675" s="57"/>
      <c r="AU1675" s="57"/>
      <c r="AV1675" s="57"/>
      <c r="AW1675" s="57"/>
      <c r="AX1675" s="57"/>
      <c r="AY1675" s="57"/>
      <c r="AZ1675" s="57"/>
      <c r="BA1675" s="57"/>
      <c r="BB1675" s="57"/>
      <c r="BC1675" s="57"/>
      <c r="BD1675" s="57"/>
      <c r="BE1675" s="57"/>
      <c r="BF1675" s="57"/>
    </row>
    <row r="1676" spans="1:58" s="52" customFormat="1" x14ac:dyDescent="0.25">
      <c r="A1676" s="53"/>
      <c r="B1676" s="60"/>
      <c r="C1676" s="57">
        <f t="shared" si="128"/>
        <v>0</v>
      </c>
      <c r="D1676" s="56"/>
      <c r="E1676" s="57">
        <f>[1]DETAY!$A$2</f>
        <v>0</v>
      </c>
      <c r="F1676" s="90">
        <f t="shared" si="129"/>
        <v>0</v>
      </c>
      <c r="G1676" s="92">
        <f t="shared" si="130"/>
        <v>0</v>
      </c>
      <c r="H1676" s="62" t="e">
        <f t="shared" si="131"/>
        <v>#DIV/0!</v>
      </c>
      <c r="I1676" s="57"/>
      <c r="J1676" s="57"/>
      <c r="K1676" s="57"/>
      <c r="L1676" s="57"/>
      <c r="M1676" s="58"/>
      <c r="N1676" s="57"/>
      <c r="O1676" s="57"/>
      <c r="P1676" s="57"/>
      <c r="Q1676" s="57"/>
      <c r="R1676" s="57"/>
      <c r="S1676" s="61"/>
      <c r="T1676" s="57"/>
      <c r="U1676" s="57"/>
      <c r="V1676" s="57"/>
      <c r="W1676" s="57"/>
      <c r="X1676" s="57"/>
      <c r="Y1676" s="57"/>
      <c r="Z1676" s="57"/>
      <c r="AA1676" s="57"/>
      <c r="AB1676" s="57"/>
      <c r="AC1676" s="57"/>
      <c r="AD1676" s="57"/>
      <c r="AE1676" s="57"/>
      <c r="AF1676" s="57"/>
      <c r="AG1676" s="57"/>
      <c r="AH1676" s="57"/>
      <c r="AI1676" s="57"/>
      <c r="AJ1676" s="57"/>
      <c r="AK1676" s="57"/>
      <c r="AL1676" s="57"/>
      <c r="AM1676" s="57"/>
      <c r="AN1676" s="57"/>
      <c r="AO1676" s="57"/>
      <c r="AP1676" s="57"/>
      <c r="AQ1676" s="57"/>
      <c r="AR1676" s="57"/>
      <c r="AS1676" s="57"/>
      <c r="AT1676" s="57"/>
      <c r="AU1676" s="57"/>
      <c r="AV1676" s="57"/>
      <c r="AW1676" s="57"/>
      <c r="AX1676" s="57"/>
      <c r="AY1676" s="57"/>
      <c r="AZ1676" s="57"/>
      <c r="BA1676" s="57"/>
      <c r="BB1676" s="57"/>
      <c r="BC1676" s="57"/>
      <c r="BD1676" s="57"/>
      <c r="BE1676" s="57"/>
      <c r="BF1676" s="57"/>
    </row>
    <row r="1677" spans="1:58" s="52" customFormat="1" x14ac:dyDescent="0.25">
      <c r="A1677" s="53"/>
      <c r="B1677" s="60"/>
      <c r="C1677" s="57">
        <f t="shared" si="128"/>
        <v>0</v>
      </c>
      <c r="D1677" s="56"/>
      <c r="E1677" s="57">
        <f>[1]DETAY!$A$2</f>
        <v>0</v>
      </c>
      <c r="F1677" s="90">
        <f t="shared" si="129"/>
        <v>0</v>
      </c>
      <c r="G1677" s="92">
        <f t="shared" si="130"/>
        <v>0</v>
      </c>
      <c r="H1677" s="62" t="e">
        <f t="shared" si="131"/>
        <v>#DIV/0!</v>
      </c>
      <c r="I1677" s="57"/>
      <c r="J1677" s="57"/>
      <c r="K1677" s="57"/>
      <c r="L1677" s="57"/>
      <c r="M1677" s="58"/>
      <c r="N1677" s="57"/>
      <c r="O1677" s="57"/>
      <c r="P1677" s="57"/>
      <c r="Q1677" s="57"/>
      <c r="R1677" s="57"/>
      <c r="S1677" s="61"/>
      <c r="T1677" s="57"/>
      <c r="U1677" s="57"/>
      <c r="V1677" s="57"/>
      <c r="W1677" s="57"/>
      <c r="X1677" s="57"/>
      <c r="Y1677" s="57"/>
      <c r="Z1677" s="57"/>
      <c r="AA1677" s="57"/>
      <c r="AB1677" s="57"/>
      <c r="AC1677" s="57"/>
      <c r="AD1677" s="57"/>
      <c r="AE1677" s="57"/>
      <c r="AF1677" s="57"/>
      <c r="AG1677" s="57"/>
      <c r="AH1677" s="57"/>
      <c r="AI1677" s="57"/>
      <c r="AJ1677" s="57"/>
      <c r="AK1677" s="57"/>
      <c r="AL1677" s="57"/>
      <c r="AM1677" s="57"/>
      <c r="AN1677" s="57"/>
      <c r="AO1677" s="57"/>
      <c r="AP1677" s="57"/>
      <c r="AQ1677" s="57"/>
      <c r="AR1677" s="57"/>
      <c r="AS1677" s="57"/>
      <c r="AT1677" s="57"/>
      <c r="AU1677" s="57"/>
      <c r="AV1677" s="57"/>
      <c r="AW1677" s="57"/>
      <c r="AX1677" s="57"/>
      <c r="AY1677" s="57"/>
      <c r="AZ1677" s="57"/>
      <c r="BA1677" s="57"/>
      <c r="BB1677" s="57"/>
      <c r="BC1677" s="57"/>
      <c r="BD1677" s="57"/>
      <c r="BE1677" s="57"/>
      <c r="BF1677" s="57"/>
    </row>
    <row r="1678" spans="1:58" s="52" customFormat="1" x14ac:dyDescent="0.25">
      <c r="A1678" s="53"/>
      <c r="B1678" s="60"/>
      <c r="C1678" s="57">
        <f t="shared" si="128"/>
        <v>0</v>
      </c>
      <c r="D1678" s="56"/>
      <c r="E1678" s="57">
        <f>[1]DETAY!$A$2</f>
        <v>0</v>
      </c>
      <c r="F1678" s="90">
        <f t="shared" si="129"/>
        <v>0</v>
      </c>
      <c r="G1678" s="92">
        <f t="shared" si="130"/>
        <v>0</v>
      </c>
      <c r="H1678" s="62" t="e">
        <f t="shared" si="131"/>
        <v>#DIV/0!</v>
      </c>
      <c r="I1678" s="57"/>
      <c r="J1678" s="57"/>
      <c r="K1678" s="57"/>
      <c r="L1678" s="57"/>
      <c r="M1678" s="58"/>
      <c r="N1678" s="57"/>
      <c r="O1678" s="57"/>
      <c r="P1678" s="57"/>
      <c r="Q1678" s="57"/>
      <c r="R1678" s="57"/>
      <c r="S1678" s="61"/>
      <c r="T1678" s="57"/>
      <c r="U1678" s="57"/>
      <c r="V1678" s="57"/>
      <c r="W1678" s="57"/>
      <c r="X1678" s="57"/>
      <c r="Y1678" s="57"/>
      <c r="Z1678" s="57"/>
      <c r="AA1678" s="57"/>
      <c r="AB1678" s="57"/>
      <c r="AC1678" s="57"/>
      <c r="AD1678" s="57"/>
      <c r="AE1678" s="57"/>
      <c r="AF1678" s="57"/>
      <c r="AG1678" s="57"/>
      <c r="AH1678" s="57"/>
      <c r="AI1678" s="57"/>
      <c r="AJ1678" s="57"/>
      <c r="AK1678" s="57"/>
      <c r="AL1678" s="57"/>
      <c r="AM1678" s="57"/>
      <c r="AN1678" s="57"/>
      <c r="AO1678" s="57"/>
      <c r="AP1678" s="57"/>
      <c r="AQ1678" s="57"/>
      <c r="AR1678" s="57"/>
      <c r="AS1678" s="57"/>
      <c r="AT1678" s="57"/>
      <c r="AU1678" s="57"/>
      <c r="AV1678" s="57"/>
      <c r="AW1678" s="57"/>
      <c r="AX1678" s="57"/>
      <c r="AY1678" s="57"/>
      <c r="AZ1678" s="57"/>
      <c r="BA1678" s="57"/>
      <c r="BB1678" s="57"/>
      <c r="BC1678" s="57"/>
      <c r="BD1678" s="57"/>
      <c r="BE1678" s="57"/>
      <c r="BF1678" s="57"/>
    </row>
    <row r="1679" spans="1:58" s="52" customFormat="1" x14ac:dyDescent="0.25">
      <c r="A1679" s="53"/>
      <c r="B1679" s="60"/>
      <c r="C1679" s="57">
        <f t="shared" si="128"/>
        <v>0</v>
      </c>
      <c r="D1679" s="56"/>
      <c r="E1679" s="57">
        <f>[1]DETAY!$A$2</f>
        <v>0</v>
      </c>
      <c r="F1679" s="90">
        <f t="shared" si="129"/>
        <v>0</v>
      </c>
      <c r="G1679" s="92">
        <f t="shared" si="130"/>
        <v>0</v>
      </c>
      <c r="H1679" s="62" t="e">
        <f t="shared" si="131"/>
        <v>#DIV/0!</v>
      </c>
      <c r="I1679" s="57"/>
      <c r="J1679" s="57"/>
      <c r="K1679" s="57"/>
      <c r="L1679" s="57"/>
      <c r="M1679" s="58"/>
      <c r="N1679" s="57"/>
      <c r="O1679" s="57"/>
      <c r="P1679" s="57"/>
      <c r="Q1679" s="57"/>
      <c r="R1679" s="57"/>
      <c r="S1679" s="61"/>
      <c r="T1679" s="57"/>
      <c r="U1679" s="57"/>
      <c r="V1679" s="57"/>
      <c r="W1679" s="57"/>
      <c r="X1679" s="57"/>
      <c r="Y1679" s="57"/>
      <c r="Z1679" s="57"/>
      <c r="AA1679" s="57"/>
      <c r="AB1679" s="57"/>
      <c r="AC1679" s="57"/>
      <c r="AD1679" s="57"/>
      <c r="AE1679" s="57"/>
      <c r="AF1679" s="57"/>
      <c r="AG1679" s="57"/>
      <c r="AH1679" s="57"/>
      <c r="AI1679" s="57"/>
      <c r="AJ1679" s="57"/>
      <c r="AK1679" s="57"/>
      <c r="AL1679" s="57"/>
      <c r="AM1679" s="57"/>
      <c r="AN1679" s="57"/>
      <c r="AO1679" s="57"/>
      <c r="AP1679" s="57"/>
      <c r="AQ1679" s="57"/>
      <c r="AR1679" s="57"/>
      <c r="AS1679" s="57"/>
      <c r="AT1679" s="57"/>
      <c r="AU1679" s="57"/>
      <c r="AV1679" s="57"/>
      <c r="AW1679" s="57"/>
      <c r="AX1679" s="57"/>
      <c r="AY1679" s="57"/>
      <c r="AZ1679" s="57"/>
      <c r="BA1679" s="57"/>
      <c r="BB1679" s="57"/>
      <c r="BC1679" s="57"/>
      <c r="BD1679" s="57"/>
      <c r="BE1679" s="57"/>
      <c r="BF1679" s="57"/>
    </row>
    <row r="1680" spans="1:58" s="52" customFormat="1" x14ac:dyDescent="0.25">
      <c r="A1680" s="53"/>
      <c r="B1680" s="60"/>
      <c r="C1680" s="57">
        <f t="shared" si="128"/>
        <v>0</v>
      </c>
      <c r="D1680" s="56"/>
      <c r="E1680" s="57">
        <f>[1]DETAY!$A$2</f>
        <v>0</v>
      </c>
      <c r="F1680" s="90">
        <f t="shared" si="129"/>
        <v>0</v>
      </c>
      <c r="G1680" s="92">
        <f t="shared" si="130"/>
        <v>0</v>
      </c>
      <c r="H1680" s="62" t="e">
        <f t="shared" si="131"/>
        <v>#DIV/0!</v>
      </c>
      <c r="I1680" s="57"/>
      <c r="J1680" s="57"/>
      <c r="K1680" s="57"/>
      <c r="L1680" s="57"/>
      <c r="M1680" s="58"/>
      <c r="N1680" s="57"/>
      <c r="O1680" s="57"/>
      <c r="P1680" s="57"/>
      <c r="Q1680" s="57"/>
      <c r="R1680" s="57"/>
      <c r="S1680" s="61"/>
      <c r="T1680" s="57"/>
      <c r="U1680" s="57"/>
      <c r="V1680" s="57"/>
      <c r="W1680" s="57"/>
      <c r="X1680" s="57"/>
      <c r="Y1680" s="57"/>
      <c r="Z1680" s="57"/>
      <c r="AA1680" s="57"/>
      <c r="AB1680" s="57"/>
      <c r="AC1680" s="57"/>
      <c r="AD1680" s="57"/>
      <c r="AE1680" s="57"/>
      <c r="AF1680" s="57"/>
      <c r="AG1680" s="57"/>
      <c r="AH1680" s="57"/>
      <c r="AI1680" s="57"/>
      <c r="AJ1680" s="57"/>
      <c r="AK1680" s="57"/>
      <c r="AL1680" s="57"/>
      <c r="AM1680" s="57"/>
      <c r="AN1680" s="57"/>
      <c r="AO1680" s="57"/>
      <c r="AP1680" s="57"/>
      <c r="AQ1680" s="57"/>
      <c r="AR1680" s="57"/>
      <c r="AS1680" s="57"/>
      <c r="AT1680" s="57"/>
      <c r="AU1680" s="57"/>
      <c r="AV1680" s="57"/>
      <c r="AW1680" s="57"/>
      <c r="AX1680" s="57"/>
      <c r="AY1680" s="57"/>
      <c r="AZ1680" s="57"/>
      <c r="BA1680" s="57"/>
      <c r="BB1680" s="57"/>
      <c r="BC1680" s="57"/>
      <c r="BD1680" s="57"/>
      <c r="BE1680" s="57"/>
      <c r="BF1680" s="57"/>
    </row>
    <row r="1681" spans="1:58" s="52" customFormat="1" x14ac:dyDescent="0.25">
      <c r="A1681" s="53"/>
      <c r="B1681" s="60"/>
      <c r="C1681" s="57">
        <f t="shared" si="128"/>
        <v>0</v>
      </c>
      <c r="D1681" s="56"/>
      <c r="E1681" s="57">
        <f>[1]DETAY!$A$2</f>
        <v>0</v>
      </c>
      <c r="F1681" s="90">
        <f t="shared" si="129"/>
        <v>0</v>
      </c>
      <c r="G1681" s="92">
        <f t="shared" si="130"/>
        <v>0</v>
      </c>
      <c r="H1681" s="62" t="e">
        <f t="shared" si="131"/>
        <v>#DIV/0!</v>
      </c>
      <c r="I1681" s="57"/>
      <c r="J1681" s="57"/>
      <c r="K1681" s="57"/>
      <c r="L1681" s="57"/>
      <c r="M1681" s="58"/>
      <c r="N1681" s="57"/>
      <c r="O1681" s="57"/>
      <c r="P1681" s="57"/>
      <c r="Q1681" s="57"/>
      <c r="R1681" s="57"/>
      <c r="S1681" s="61"/>
      <c r="T1681" s="57"/>
      <c r="U1681" s="57"/>
      <c r="V1681" s="57"/>
      <c r="W1681" s="57"/>
      <c r="X1681" s="57"/>
      <c r="Y1681" s="57"/>
      <c r="Z1681" s="57"/>
      <c r="AA1681" s="57"/>
      <c r="AB1681" s="57"/>
      <c r="AC1681" s="57"/>
      <c r="AD1681" s="57"/>
      <c r="AE1681" s="57"/>
      <c r="AF1681" s="57"/>
      <c r="AG1681" s="57"/>
      <c r="AH1681" s="57"/>
      <c r="AI1681" s="57"/>
      <c r="AJ1681" s="57"/>
      <c r="AK1681" s="57"/>
      <c r="AL1681" s="57"/>
      <c r="AM1681" s="57"/>
      <c r="AN1681" s="57"/>
      <c r="AO1681" s="57"/>
      <c r="AP1681" s="57"/>
      <c r="AQ1681" s="57"/>
      <c r="AR1681" s="57"/>
      <c r="AS1681" s="57"/>
      <c r="AT1681" s="57"/>
      <c r="AU1681" s="57"/>
      <c r="AV1681" s="57"/>
      <c r="AW1681" s="57"/>
      <c r="AX1681" s="57"/>
      <c r="AY1681" s="57"/>
      <c r="AZ1681" s="57"/>
      <c r="BA1681" s="57"/>
      <c r="BB1681" s="57"/>
      <c r="BC1681" s="57"/>
      <c r="BD1681" s="57"/>
      <c r="BE1681" s="57"/>
      <c r="BF1681" s="57"/>
    </row>
    <row r="1682" spans="1:58" s="52" customFormat="1" x14ac:dyDescent="0.25">
      <c r="A1682" s="53"/>
      <c r="B1682" s="60"/>
      <c r="C1682" s="57">
        <f t="shared" si="128"/>
        <v>0</v>
      </c>
      <c r="D1682" s="56"/>
      <c r="E1682" s="57">
        <f>[1]DETAY!$A$2</f>
        <v>0</v>
      </c>
      <c r="F1682" s="90">
        <f t="shared" si="129"/>
        <v>0</v>
      </c>
      <c r="G1682" s="92">
        <f t="shared" si="130"/>
        <v>0</v>
      </c>
      <c r="H1682" s="62" t="e">
        <f t="shared" si="131"/>
        <v>#DIV/0!</v>
      </c>
      <c r="I1682" s="57"/>
      <c r="J1682" s="57"/>
      <c r="K1682" s="57"/>
      <c r="L1682" s="57"/>
      <c r="M1682" s="58"/>
      <c r="N1682" s="57"/>
      <c r="O1682" s="57"/>
      <c r="P1682" s="57"/>
      <c r="Q1682" s="57"/>
      <c r="R1682" s="57"/>
      <c r="S1682" s="61"/>
      <c r="T1682" s="57"/>
      <c r="U1682" s="57"/>
      <c r="V1682" s="57"/>
      <c r="W1682" s="57"/>
      <c r="X1682" s="57"/>
      <c r="Y1682" s="57"/>
      <c r="Z1682" s="57"/>
      <c r="AA1682" s="57"/>
      <c r="AB1682" s="57"/>
      <c r="AC1682" s="57"/>
      <c r="AD1682" s="57"/>
      <c r="AE1682" s="57"/>
      <c r="AF1682" s="57"/>
      <c r="AG1682" s="57"/>
      <c r="AH1682" s="57"/>
      <c r="AI1682" s="57"/>
      <c r="AJ1682" s="57"/>
      <c r="AK1682" s="57"/>
      <c r="AL1682" s="57"/>
      <c r="AM1682" s="57"/>
      <c r="AN1682" s="57"/>
      <c r="AO1682" s="57"/>
      <c r="AP1682" s="57"/>
      <c r="AQ1682" s="57"/>
      <c r="AR1682" s="57"/>
      <c r="AS1682" s="57"/>
      <c r="AT1682" s="57"/>
      <c r="AU1682" s="57"/>
      <c r="AV1682" s="57"/>
      <c r="AW1682" s="57"/>
      <c r="AX1682" s="57"/>
      <c r="AY1682" s="57"/>
      <c r="AZ1682" s="57"/>
      <c r="BA1682" s="57"/>
      <c r="BB1682" s="57"/>
      <c r="BC1682" s="57"/>
      <c r="BD1682" s="57"/>
      <c r="BE1682" s="57"/>
      <c r="BF1682" s="57"/>
    </row>
    <row r="1683" spans="1:58" s="52" customFormat="1" x14ac:dyDescent="0.25">
      <c r="A1683" s="53"/>
      <c r="B1683" s="60"/>
      <c r="C1683" s="57">
        <f t="shared" si="128"/>
        <v>0</v>
      </c>
      <c r="D1683" s="56"/>
      <c r="E1683" s="57">
        <f>[1]DETAY!$A$2</f>
        <v>0</v>
      </c>
      <c r="F1683" s="90">
        <f t="shared" si="129"/>
        <v>0</v>
      </c>
      <c r="G1683" s="92">
        <f t="shared" si="130"/>
        <v>0</v>
      </c>
      <c r="H1683" s="62" t="e">
        <f t="shared" si="131"/>
        <v>#DIV/0!</v>
      </c>
      <c r="I1683" s="57"/>
      <c r="J1683" s="57"/>
      <c r="K1683" s="57"/>
      <c r="L1683" s="57"/>
      <c r="M1683" s="58"/>
      <c r="N1683" s="57"/>
      <c r="O1683" s="57"/>
      <c r="P1683" s="57"/>
      <c r="Q1683" s="57"/>
      <c r="R1683" s="57"/>
      <c r="S1683" s="61"/>
      <c r="T1683" s="57"/>
      <c r="U1683" s="57"/>
      <c r="V1683" s="57"/>
      <c r="W1683" s="57"/>
      <c r="X1683" s="57"/>
      <c r="Y1683" s="57"/>
      <c r="Z1683" s="57"/>
      <c r="AA1683" s="57"/>
      <c r="AB1683" s="57"/>
      <c r="AC1683" s="57"/>
      <c r="AD1683" s="57"/>
      <c r="AE1683" s="57"/>
      <c r="AF1683" s="57"/>
      <c r="AG1683" s="57"/>
      <c r="AH1683" s="57"/>
      <c r="AI1683" s="57"/>
      <c r="AJ1683" s="57"/>
      <c r="AK1683" s="57"/>
      <c r="AL1683" s="57"/>
      <c r="AM1683" s="57"/>
      <c r="AN1683" s="57"/>
      <c r="AO1683" s="57"/>
      <c r="AP1683" s="57"/>
      <c r="AQ1683" s="57"/>
      <c r="AR1683" s="57"/>
      <c r="AS1683" s="57"/>
      <c r="AT1683" s="57"/>
      <c r="AU1683" s="57"/>
      <c r="AV1683" s="57"/>
      <c r="AW1683" s="57"/>
      <c r="AX1683" s="57"/>
      <c r="AY1683" s="57"/>
      <c r="AZ1683" s="57"/>
      <c r="BA1683" s="57"/>
      <c r="BB1683" s="57"/>
      <c r="BC1683" s="57"/>
      <c r="BD1683" s="57"/>
      <c r="BE1683" s="57"/>
      <c r="BF1683" s="57"/>
    </row>
    <row r="1684" spans="1:58" s="52" customFormat="1" x14ac:dyDescent="0.25">
      <c r="A1684" s="53"/>
      <c r="B1684" s="60"/>
      <c r="C1684" s="57">
        <f t="shared" si="128"/>
        <v>0</v>
      </c>
      <c r="D1684" s="56"/>
      <c r="E1684" s="57">
        <f>[1]DETAY!$A$2</f>
        <v>0</v>
      </c>
      <c r="F1684" s="90">
        <f t="shared" si="129"/>
        <v>0</v>
      </c>
      <c r="G1684" s="92">
        <f t="shared" si="130"/>
        <v>0</v>
      </c>
      <c r="H1684" s="62" t="e">
        <f t="shared" si="131"/>
        <v>#DIV/0!</v>
      </c>
      <c r="I1684" s="57"/>
      <c r="J1684" s="57"/>
      <c r="K1684" s="57"/>
      <c r="L1684" s="57"/>
      <c r="M1684" s="58"/>
      <c r="N1684" s="57"/>
      <c r="O1684" s="57"/>
      <c r="P1684" s="57"/>
      <c r="Q1684" s="57"/>
      <c r="R1684" s="57"/>
      <c r="S1684" s="61"/>
      <c r="T1684" s="57"/>
      <c r="U1684" s="57"/>
      <c r="V1684" s="57"/>
      <c r="W1684" s="57"/>
      <c r="X1684" s="57"/>
      <c r="Y1684" s="57"/>
      <c r="Z1684" s="57"/>
      <c r="AA1684" s="57"/>
      <c r="AB1684" s="57"/>
      <c r="AC1684" s="57"/>
      <c r="AD1684" s="57"/>
      <c r="AE1684" s="57"/>
      <c r="AF1684" s="57"/>
      <c r="AG1684" s="57"/>
      <c r="AH1684" s="57"/>
      <c r="AI1684" s="57"/>
      <c r="AJ1684" s="57"/>
      <c r="AK1684" s="57"/>
      <c r="AL1684" s="57"/>
      <c r="AM1684" s="57"/>
      <c r="AN1684" s="57"/>
      <c r="AO1684" s="57"/>
      <c r="AP1684" s="57"/>
      <c r="AQ1684" s="57"/>
      <c r="AR1684" s="57"/>
      <c r="AS1684" s="57"/>
      <c r="AT1684" s="57"/>
      <c r="AU1684" s="57"/>
      <c r="AV1684" s="57"/>
      <c r="AW1684" s="57"/>
      <c r="AX1684" s="57"/>
      <c r="AY1684" s="57"/>
      <c r="AZ1684" s="57"/>
      <c r="BA1684" s="57"/>
      <c r="BB1684" s="57"/>
      <c r="BC1684" s="57"/>
      <c r="BD1684" s="57"/>
      <c r="BE1684" s="57"/>
      <c r="BF1684" s="57"/>
    </row>
    <row r="1685" spans="1:58" s="52" customFormat="1" x14ac:dyDescent="0.25">
      <c r="A1685" s="53"/>
      <c r="B1685" s="60"/>
      <c r="C1685" s="57">
        <f t="shared" si="128"/>
        <v>0</v>
      </c>
      <c r="D1685" s="56"/>
      <c r="E1685" s="57">
        <f>[1]DETAY!$A$2</f>
        <v>0</v>
      </c>
      <c r="F1685" s="90">
        <f t="shared" si="129"/>
        <v>0</v>
      </c>
      <c r="G1685" s="92">
        <f t="shared" si="130"/>
        <v>0</v>
      </c>
      <c r="H1685" s="62" t="e">
        <f t="shared" si="131"/>
        <v>#DIV/0!</v>
      </c>
      <c r="I1685" s="57"/>
      <c r="J1685" s="57"/>
      <c r="K1685" s="57"/>
      <c r="L1685" s="57"/>
      <c r="M1685" s="58"/>
      <c r="N1685" s="57"/>
      <c r="O1685" s="57"/>
      <c r="P1685" s="57"/>
      <c r="Q1685" s="57"/>
      <c r="R1685" s="57"/>
      <c r="S1685" s="61"/>
      <c r="T1685" s="57"/>
      <c r="U1685" s="57"/>
      <c r="V1685" s="57"/>
      <c r="W1685" s="57"/>
      <c r="X1685" s="57"/>
      <c r="Y1685" s="57"/>
      <c r="Z1685" s="57"/>
      <c r="AA1685" s="57"/>
      <c r="AB1685" s="57"/>
      <c r="AC1685" s="57"/>
      <c r="AD1685" s="57"/>
      <c r="AE1685" s="57"/>
      <c r="AF1685" s="57"/>
      <c r="AG1685" s="57"/>
      <c r="AH1685" s="57"/>
      <c r="AI1685" s="57"/>
      <c r="AJ1685" s="57"/>
      <c r="AK1685" s="57"/>
      <c r="AL1685" s="57"/>
      <c r="AM1685" s="57"/>
      <c r="AN1685" s="57"/>
      <c r="AO1685" s="57"/>
      <c r="AP1685" s="57"/>
      <c r="AQ1685" s="57"/>
      <c r="AR1685" s="57"/>
      <c r="AS1685" s="57"/>
      <c r="AT1685" s="57"/>
      <c r="AU1685" s="57"/>
      <c r="AV1685" s="57"/>
      <c r="AW1685" s="57"/>
      <c r="AX1685" s="57"/>
      <c r="AY1685" s="57"/>
      <c r="AZ1685" s="57"/>
      <c r="BA1685" s="57"/>
      <c r="BB1685" s="57"/>
      <c r="BC1685" s="57"/>
      <c r="BD1685" s="57"/>
      <c r="BE1685" s="57"/>
      <c r="BF1685" s="57"/>
    </row>
    <row r="1686" spans="1:58" s="52" customFormat="1" x14ac:dyDescent="0.25">
      <c r="A1686" s="53"/>
      <c r="B1686" s="60"/>
      <c r="C1686" s="57">
        <f t="shared" si="128"/>
        <v>0</v>
      </c>
      <c r="D1686" s="56"/>
      <c r="E1686" s="57">
        <f>[1]DETAY!$A$2</f>
        <v>0</v>
      </c>
      <c r="F1686" s="90">
        <f t="shared" si="129"/>
        <v>0</v>
      </c>
      <c r="G1686" s="92">
        <f t="shared" si="130"/>
        <v>0</v>
      </c>
      <c r="H1686" s="62" t="e">
        <f t="shared" si="131"/>
        <v>#DIV/0!</v>
      </c>
      <c r="I1686" s="57"/>
      <c r="J1686" s="57"/>
      <c r="K1686" s="57"/>
      <c r="L1686" s="57"/>
      <c r="M1686" s="58"/>
      <c r="N1686" s="57"/>
      <c r="O1686" s="57"/>
      <c r="P1686" s="57"/>
      <c r="Q1686" s="57"/>
      <c r="R1686" s="57"/>
      <c r="S1686" s="61"/>
      <c r="T1686" s="57"/>
      <c r="U1686" s="57"/>
      <c r="V1686" s="57"/>
      <c r="W1686" s="57"/>
      <c r="X1686" s="57"/>
      <c r="Y1686" s="57"/>
      <c r="Z1686" s="57"/>
      <c r="AA1686" s="57"/>
      <c r="AB1686" s="57"/>
      <c r="AC1686" s="57"/>
      <c r="AD1686" s="57"/>
      <c r="AE1686" s="57"/>
      <c r="AF1686" s="57"/>
      <c r="AG1686" s="57"/>
      <c r="AH1686" s="57"/>
      <c r="AI1686" s="57"/>
      <c r="AJ1686" s="57"/>
      <c r="AK1686" s="57"/>
      <c r="AL1686" s="57"/>
      <c r="AM1686" s="57"/>
      <c r="AN1686" s="57"/>
      <c r="AO1686" s="57"/>
      <c r="AP1686" s="57"/>
      <c r="AQ1686" s="57"/>
      <c r="AR1686" s="57"/>
      <c r="AS1686" s="57"/>
      <c r="AT1686" s="57"/>
      <c r="AU1686" s="57"/>
      <c r="AV1686" s="57"/>
      <c r="AW1686" s="57"/>
      <c r="AX1686" s="57"/>
      <c r="AY1686" s="57"/>
      <c r="AZ1686" s="57"/>
      <c r="BA1686" s="57"/>
      <c r="BB1686" s="57"/>
      <c r="BC1686" s="57"/>
      <c r="BD1686" s="57"/>
      <c r="BE1686" s="57"/>
      <c r="BF1686" s="57"/>
    </row>
    <row r="1687" spans="1:58" s="52" customFormat="1" x14ac:dyDescent="0.25">
      <c r="A1687" s="53"/>
      <c r="B1687" s="60"/>
      <c r="C1687" s="57">
        <f t="shared" si="128"/>
        <v>0</v>
      </c>
      <c r="D1687" s="56"/>
      <c r="E1687" s="57">
        <f>[1]DETAY!$A$2</f>
        <v>0</v>
      </c>
      <c r="F1687" s="90">
        <f t="shared" si="129"/>
        <v>0</v>
      </c>
      <c r="G1687" s="92">
        <f t="shared" si="130"/>
        <v>0</v>
      </c>
      <c r="H1687" s="62" t="e">
        <f t="shared" si="131"/>
        <v>#DIV/0!</v>
      </c>
      <c r="I1687" s="57"/>
      <c r="J1687" s="57"/>
      <c r="K1687" s="57"/>
      <c r="L1687" s="57"/>
      <c r="M1687" s="58"/>
      <c r="N1687" s="57"/>
      <c r="O1687" s="57"/>
      <c r="P1687" s="57"/>
      <c r="Q1687" s="57"/>
      <c r="R1687" s="57"/>
      <c r="S1687" s="61"/>
      <c r="T1687" s="57"/>
      <c r="U1687" s="57"/>
      <c r="V1687" s="57"/>
      <c r="W1687" s="57"/>
      <c r="X1687" s="57"/>
      <c r="Y1687" s="57"/>
      <c r="Z1687" s="57"/>
      <c r="AA1687" s="57"/>
      <c r="AB1687" s="57"/>
      <c r="AC1687" s="57"/>
      <c r="AD1687" s="57"/>
      <c r="AE1687" s="57"/>
      <c r="AF1687" s="57"/>
      <c r="AG1687" s="57"/>
      <c r="AH1687" s="57"/>
      <c r="AI1687" s="57"/>
      <c r="AJ1687" s="57"/>
      <c r="AK1687" s="57"/>
      <c r="AL1687" s="57"/>
      <c r="AM1687" s="57"/>
      <c r="AN1687" s="57"/>
      <c r="AO1687" s="57"/>
      <c r="AP1687" s="57"/>
      <c r="AQ1687" s="57"/>
      <c r="AR1687" s="57"/>
      <c r="AS1687" s="57"/>
      <c r="AT1687" s="57"/>
      <c r="AU1687" s="57"/>
      <c r="AV1687" s="57"/>
      <c r="AW1687" s="57"/>
      <c r="AX1687" s="57"/>
      <c r="AY1687" s="57"/>
      <c r="AZ1687" s="57"/>
      <c r="BA1687" s="57"/>
      <c r="BB1687" s="57"/>
      <c r="BC1687" s="57"/>
      <c r="BD1687" s="57"/>
      <c r="BE1687" s="57"/>
      <c r="BF1687" s="57"/>
    </row>
    <row r="1688" spans="1:58" s="52" customFormat="1" x14ac:dyDescent="0.25">
      <c r="A1688" s="53"/>
      <c r="B1688" s="60"/>
      <c r="C1688" s="57">
        <f t="shared" si="128"/>
        <v>0</v>
      </c>
      <c r="D1688" s="56"/>
      <c r="E1688" s="57">
        <f>[1]DETAY!$A$2</f>
        <v>0</v>
      </c>
      <c r="F1688" s="90">
        <f t="shared" si="129"/>
        <v>0</v>
      </c>
      <c r="G1688" s="92">
        <f t="shared" si="130"/>
        <v>0</v>
      </c>
      <c r="H1688" s="62" t="e">
        <f t="shared" si="131"/>
        <v>#DIV/0!</v>
      </c>
      <c r="I1688" s="57"/>
      <c r="J1688" s="57"/>
      <c r="K1688" s="57"/>
      <c r="L1688" s="57"/>
      <c r="M1688" s="58"/>
      <c r="N1688" s="57"/>
      <c r="O1688" s="57"/>
      <c r="P1688" s="57"/>
      <c r="Q1688" s="57"/>
      <c r="R1688" s="57"/>
      <c r="S1688" s="61"/>
      <c r="T1688" s="57"/>
      <c r="U1688" s="57"/>
      <c r="V1688" s="57"/>
      <c r="W1688" s="57"/>
      <c r="X1688" s="57"/>
      <c r="Y1688" s="57"/>
      <c r="Z1688" s="57"/>
      <c r="AA1688" s="57"/>
      <c r="AB1688" s="57"/>
      <c r="AC1688" s="57"/>
      <c r="AD1688" s="57"/>
      <c r="AE1688" s="57"/>
      <c r="AF1688" s="57"/>
      <c r="AG1688" s="57"/>
      <c r="AH1688" s="57"/>
      <c r="AI1688" s="57"/>
      <c r="AJ1688" s="57"/>
      <c r="AK1688" s="57"/>
      <c r="AL1688" s="57"/>
      <c r="AM1688" s="57"/>
      <c r="AN1688" s="57"/>
      <c r="AO1688" s="57"/>
      <c r="AP1688" s="57"/>
      <c r="AQ1688" s="57"/>
      <c r="AR1688" s="57"/>
      <c r="AS1688" s="57"/>
      <c r="AT1688" s="57"/>
      <c r="AU1688" s="57"/>
      <c r="AV1688" s="57"/>
      <c r="AW1688" s="57"/>
      <c r="AX1688" s="57"/>
      <c r="AY1688" s="57"/>
      <c r="AZ1688" s="57"/>
      <c r="BA1688" s="57"/>
      <c r="BB1688" s="57"/>
      <c r="BC1688" s="57"/>
      <c r="BD1688" s="57"/>
      <c r="BE1688" s="57"/>
      <c r="BF1688" s="57"/>
    </row>
    <row r="1689" spans="1:58" s="52" customFormat="1" x14ac:dyDescent="0.25">
      <c r="A1689" s="53"/>
      <c r="B1689" s="60"/>
      <c r="C1689" s="57">
        <f t="shared" si="128"/>
        <v>0</v>
      </c>
      <c r="D1689" s="56"/>
      <c r="E1689" s="57">
        <f>[1]DETAY!$A$2</f>
        <v>0</v>
      </c>
      <c r="F1689" s="90">
        <f t="shared" si="129"/>
        <v>0</v>
      </c>
      <c r="G1689" s="92">
        <f t="shared" si="130"/>
        <v>0</v>
      </c>
      <c r="H1689" s="62" t="e">
        <f t="shared" si="131"/>
        <v>#DIV/0!</v>
      </c>
      <c r="I1689" s="57"/>
      <c r="J1689" s="57"/>
      <c r="K1689" s="57"/>
      <c r="L1689" s="57"/>
      <c r="M1689" s="58"/>
      <c r="N1689" s="57"/>
      <c r="O1689" s="57"/>
      <c r="P1689" s="57"/>
      <c r="Q1689" s="57"/>
      <c r="R1689" s="57"/>
      <c r="S1689" s="61"/>
      <c r="T1689" s="57"/>
      <c r="U1689" s="57"/>
      <c r="V1689" s="57"/>
      <c r="W1689" s="57"/>
      <c r="X1689" s="57"/>
      <c r="Y1689" s="57"/>
      <c r="Z1689" s="57"/>
      <c r="AA1689" s="57"/>
      <c r="AB1689" s="57"/>
      <c r="AC1689" s="57"/>
      <c r="AD1689" s="57"/>
      <c r="AE1689" s="57"/>
      <c r="AF1689" s="57"/>
      <c r="AG1689" s="57"/>
      <c r="AH1689" s="57"/>
      <c r="AI1689" s="57"/>
      <c r="AJ1689" s="57"/>
      <c r="AK1689" s="57"/>
      <c r="AL1689" s="57"/>
      <c r="AM1689" s="57"/>
      <c r="AN1689" s="57"/>
      <c r="AO1689" s="57"/>
      <c r="AP1689" s="57"/>
      <c r="AQ1689" s="57"/>
      <c r="AR1689" s="57"/>
      <c r="AS1689" s="57"/>
      <c r="AT1689" s="57"/>
      <c r="AU1689" s="57"/>
      <c r="AV1689" s="57"/>
      <c r="AW1689" s="57"/>
      <c r="AX1689" s="57"/>
      <c r="AY1689" s="57"/>
      <c r="AZ1689" s="57"/>
      <c r="BA1689" s="57"/>
      <c r="BB1689" s="57"/>
      <c r="BC1689" s="57"/>
      <c r="BD1689" s="57"/>
      <c r="BE1689" s="57"/>
      <c r="BF1689" s="57"/>
    </row>
    <row r="1690" spans="1:58" s="52" customFormat="1" x14ac:dyDescent="0.25">
      <c r="A1690" s="53"/>
      <c r="B1690" s="60"/>
      <c r="C1690" s="57">
        <f t="shared" si="128"/>
        <v>0</v>
      </c>
      <c r="D1690" s="56"/>
      <c r="E1690" s="57">
        <f>[1]DETAY!$A$2</f>
        <v>0</v>
      </c>
      <c r="F1690" s="90">
        <f t="shared" si="129"/>
        <v>0</v>
      </c>
      <c r="G1690" s="92">
        <f t="shared" si="130"/>
        <v>0</v>
      </c>
      <c r="H1690" s="62" t="e">
        <f t="shared" si="131"/>
        <v>#DIV/0!</v>
      </c>
      <c r="I1690" s="57"/>
      <c r="J1690" s="57"/>
      <c r="K1690" s="57"/>
      <c r="L1690" s="57"/>
      <c r="M1690" s="58"/>
      <c r="N1690" s="57"/>
      <c r="O1690" s="57"/>
      <c r="P1690" s="57"/>
      <c r="Q1690" s="57"/>
      <c r="R1690" s="57"/>
      <c r="S1690" s="61"/>
      <c r="T1690" s="57"/>
      <c r="U1690" s="57"/>
      <c r="V1690" s="57"/>
      <c r="W1690" s="57"/>
      <c r="X1690" s="57"/>
      <c r="Y1690" s="57"/>
      <c r="Z1690" s="57"/>
      <c r="AA1690" s="57"/>
      <c r="AB1690" s="57"/>
      <c r="AC1690" s="57"/>
      <c r="AD1690" s="57"/>
      <c r="AE1690" s="57"/>
      <c r="AF1690" s="57"/>
      <c r="AG1690" s="57"/>
      <c r="AH1690" s="57"/>
      <c r="AI1690" s="57"/>
      <c r="AJ1690" s="57"/>
      <c r="AK1690" s="57"/>
      <c r="AL1690" s="57"/>
      <c r="AM1690" s="57"/>
      <c r="AN1690" s="57"/>
      <c r="AO1690" s="57"/>
      <c r="AP1690" s="57"/>
      <c r="AQ1690" s="57"/>
      <c r="AR1690" s="57"/>
      <c r="AS1690" s="57"/>
      <c r="AT1690" s="57"/>
      <c r="AU1690" s="57"/>
      <c r="AV1690" s="57"/>
      <c r="AW1690" s="57"/>
      <c r="AX1690" s="57"/>
      <c r="AY1690" s="57"/>
      <c r="AZ1690" s="57"/>
      <c r="BA1690" s="57"/>
      <c r="BB1690" s="57"/>
      <c r="BC1690" s="57"/>
      <c r="BD1690" s="57"/>
      <c r="BE1690" s="57"/>
      <c r="BF1690" s="57"/>
    </row>
    <row r="1691" spans="1:58" s="52" customFormat="1" x14ac:dyDescent="0.25">
      <c r="A1691" s="53"/>
      <c r="B1691" s="60"/>
      <c r="C1691" s="57">
        <f t="shared" si="128"/>
        <v>0</v>
      </c>
      <c r="D1691" s="56"/>
      <c r="E1691" s="57">
        <f>[1]DETAY!$A$2</f>
        <v>0</v>
      </c>
      <c r="F1691" s="90">
        <f t="shared" si="129"/>
        <v>0</v>
      </c>
      <c r="G1691" s="92">
        <f t="shared" si="130"/>
        <v>0</v>
      </c>
      <c r="H1691" s="62" t="e">
        <f t="shared" si="131"/>
        <v>#DIV/0!</v>
      </c>
      <c r="I1691" s="57"/>
      <c r="J1691" s="57"/>
      <c r="K1691" s="57"/>
      <c r="L1691" s="57"/>
      <c r="M1691" s="58"/>
      <c r="N1691" s="57"/>
      <c r="O1691" s="57"/>
      <c r="P1691" s="57"/>
      <c r="Q1691" s="57"/>
      <c r="R1691" s="57"/>
      <c r="S1691" s="61"/>
      <c r="T1691" s="57"/>
      <c r="U1691" s="57"/>
      <c r="V1691" s="57"/>
      <c r="W1691" s="57"/>
      <c r="X1691" s="57"/>
      <c r="Y1691" s="57"/>
      <c r="Z1691" s="57"/>
      <c r="AA1691" s="57"/>
      <c r="AB1691" s="57"/>
      <c r="AC1691" s="57"/>
      <c r="AD1691" s="57"/>
      <c r="AE1691" s="57"/>
      <c r="AF1691" s="57"/>
      <c r="AG1691" s="57"/>
      <c r="AH1691" s="57"/>
      <c r="AI1691" s="57"/>
      <c r="AJ1691" s="57"/>
      <c r="AK1691" s="57"/>
      <c r="AL1691" s="57"/>
      <c r="AM1691" s="57"/>
      <c r="AN1691" s="57"/>
      <c r="AO1691" s="57"/>
      <c r="AP1691" s="57"/>
      <c r="AQ1691" s="57"/>
      <c r="AR1691" s="57"/>
      <c r="AS1691" s="57"/>
      <c r="AT1691" s="57"/>
      <c r="AU1691" s="57"/>
      <c r="AV1691" s="57"/>
      <c r="AW1691" s="57"/>
      <c r="AX1691" s="57"/>
      <c r="AY1691" s="57"/>
      <c r="AZ1691" s="57"/>
      <c r="BA1691" s="57"/>
      <c r="BB1691" s="57"/>
      <c r="BC1691" s="57"/>
      <c r="BD1691" s="57"/>
      <c r="BE1691" s="57"/>
      <c r="BF1691" s="57"/>
    </row>
    <row r="1692" spans="1:58" s="52" customFormat="1" x14ac:dyDescent="0.25">
      <c r="A1692" s="53"/>
      <c r="B1692" s="60"/>
      <c r="C1692" s="57">
        <f t="shared" si="128"/>
        <v>0</v>
      </c>
      <c r="D1692" s="56"/>
      <c r="E1692" s="57">
        <f>[1]DETAY!$A$2</f>
        <v>0</v>
      </c>
      <c r="F1692" s="90">
        <f t="shared" si="129"/>
        <v>0</v>
      </c>
      <c r="G1692" s="92">
        <f t="shared" si="130"/>
        <v>0</v>
      </c>
      <c r="H1692" s="62" t="e">
        <f t="shared" si="131"/>
        <v>#DIV/0!</v>
      </c>
      <c r="I1692" s="57"/>
      <c r="J1692" s="57"/>
      <c r="K1692" s="57"/>
      <c r="L1692" s="57"/>
      <c r="M1692" s="58"/>
      <c r="N1692" s="57"/>
      <c r="O1692" s="57"/>
      <c r="P1692" s="57"/>
      <c r="Q1692" s="57"/>
      <c r="R1692" s="57"/>
      <c r="S1692" s="61"/>
      <c r="T1692" s="57"/>
      <c r="U1692" s="57"/>
      <c r="V1692" s="57"/>
      <c r="W1692" s="57"/>
      <c r="X1692" s="57"/>
      <c r="Y1692" s="57"/>
      <c r="Z1692" s="57"/>
      <c r="AA1692" s="57"/>
      <c r="AB1692" s="57"/>
      <c r="AC1692" s="57"/>
      <c r="AD1692" s="57"/>
      <c r="AE1692" s="57"/>
      <c r="AF1692" s="57"/>
      <c r="AG1692" s="57"/>
      <c r="AH1692" s="57"/>
      <c r="AI1692" s="57"/>
      <c r="AJ1692" s="57"/>
      <c r="AK1692" s="57"/>
      <c r="AL1692" s="57"/>
      <c r="AM1692" s="57"/>
      <c r="AN1692" s="57"/>
      <c r="AO1692" s="57"/>
      <c r="AP1692" s="57"/>
      <c r="AQ1692" s="57"/>
      <c r="AR1692" s="57"/>
      <c r="AS1692" s="57"/>
      <c r="AT1692" s="57"/>
      <c r="AU1692" s="57"/>
      <c r="AV1692" s="57"/>
      <c r="AW1692" s="57"/>
      <c r="AX1692" s="57"/>
      <c r="AY1692" s="57"/>
      <c r="AZ1692" s="57"/>
      <c r="BA1692" s="57"/>
      <c r="BB1692" s="57"/>
      <c r="BC1692" s="57"/>
      <c r="BD1692" s="57"/>
      <c r="BE1692" s="57"/>
      <c r="BF1692" s="57"/>
    </row>
    <row r="1693" spans="1:58" s="52" customFormat="1" x14ac:dyDescent="0.25">
      <c r="A1693" s="53"/>
      <c r="B1693" s="60"/>
      <c r="C1693" s="57">
        <f t="shared" si="128"/>
        <v>0</v>
      </c>
      <c r="D1693" s="56"/>
      <c r="E1693" s="57">
        <f>[1]DETAY!$A$2</f>
        <v>0</v>
      </c>
      <c r="F1693" s="90">
        <f t="shared" si="129"/>
        <v>0</v>
      </c>
      <c r="G1693" s="92">
        <f t="shared" si="130"/>
        <v>0</v>
      </c>
      <c r="H1693" s="62" t="e">
        <f t="shared" si="131"/>
        <v>#DIV/0!</v>
      </c>
      <c r="I1693" s="57"/>
      <c r="J1693" s="57"/>
      <c r="K1693" s="57"/>
      <c r="L1693" s="57"/>
      <c r="M1693" s="58"/>
      <c r="N1693" s="57"/>
      <c r="O1693" s="57"/>
      <c r="P1693" s="57"/>
      <c r="Q1693" s="57"/>
      <c r="R1693" s="57"/>
      <c r="S1693" s="61"/>
      <c r="T1693" s="57"/>
      <c r="U1693" s="57"/>
      <c r="V1693" s="57"/>
      <c r="W1693" s="57"/>
      <c r="X1693" s="57"/>
      <c r="Y1693" s="57"/>
      <c r="Z1693" s="57"/>
      <c r="AA1693" s="57"/>
      <c r="AB1693" s="57"/>
      <c r="AC1693" s="57"/>
      <c r="AD1693" s="57"/>
      <c r="AE1693" s="57"/>
      <c r="AF1693" s="57"/>
      <c r="AG1693" s="57"/>
      <c r="AH1693" s="57"/>
      <c r="AI1693" s="57"/>
      <c r="AJ1693" s="57"/>
      <c r="AK1693" s="57"/>
      <c r="AL1693" s="57"/>
      <c r="AM1693" s="57"/>
      <c r="AN1693" s="57"/>
      <c r="AO1693" s="57"/>
      <c r="AP1693" s="57"/>
      <c r="AQ1693" s="57"/>
      <c r="AR1693" s="57"/>
      <c r="AS1693" s="57"/>
      <c r="AT1693" s="57"/>
      <c r="AU1693" s="57"/>
      <c r="AV1693" s="57"/>
      <c r="AW1693" s="57"/>
      <c r="AX1693" s="57"/>
      <c r="AY1693" s="57"/>
      <c r="AZ1693" s="57"/>
      <c r="BA1693" s="57"/>
      <c r="BB1693" s="57"/>
      <c r="BC1693" s="57"/>
      <c r="BD1693" s="57"/>
      <c r="BE1693" s="57"/>
      <c r="BF1693" s="57"/>
    </row>
    <row r="1694" spans="1:58" s="52" customFormat="1" x14ac:dyDescent="0.25">
      <c r="A1694" s="53"/>
      <c r="B1694" s="60"/>
      <c r="C1694" s="57">
        <f t="shared" si="128"/>
        <v>0</v>
      </c>
      <c r="D1694" s="56"/>
      <c r="E1694" s="57">
        <f>[1]DETAY!$A$2</f>
        <v>0</v>
      </c>
      <c r="F1694" s="90">
        <f t="shared" si="129"/>
        <v>0</v>
      </c>
      <c r="G1694" s="92">
        <f t="shared" si="130"/>
        <v>0</v>
      </c>
      <c r="H1694" s="62" t="e">
        <f t="shared" si="131"/>
        <v>#DIV/0!</v>
      </c>
      <c r="I1694" s="57"/>
      <c r="J1694" s="57"/>
      <c r="K1694" s="57"/>
      <c r="L1694" s="57"/>
      <c r="M1694" s="58"/>
      <c r="N1694" s="57"/>
      <c r="O1694" s="57"/>
      <c r="P1694" s="57"/>
      <c r="Q1694" s="57"/>
      <c r="R1694" s="57"/>
      <c r="S1694" s="61"/>
      <c r="T1694" s="57"/>
      <c r="U1694" s="57"/>
      <c r="V1694" s="57"/>
      <c r="W1694" s="57"/>
      <c r="X1694" s="57"/>
      <c r="Y1694" s="57"/>
      <c r="Z1694" s="57"/>
      <c r="AA1694" s="57"/>
      <c r="AB1694" s="57"/>
      <c r="AC1694" s="57"/>
      <c r="AD1694" s="57"/>
      <c r="AE1694" s="57"/>
      <c r="AF1694" s="57"/>
      <c r="AG1694" s="57"/>
      <c r="AH1694" s="57"/>
      <c r="AI1694" s="57"/>
      <c r="AJ1694" s="57"/>
      <c r="AK1694" s="57"/>
      <c r="AL1694" s="57"/>
      <c r="AM1694" s="57"/>
      <c r="AN1694" s="57"/>
      <c r="AO1694" s="57"/>
      <c r="AP1694" s="57"/>
      <c r="AQ1694" s="57"/>
      <c r="AR1694" s="57"/>
      <c r="AS1694" s="57"/>
      <c r="AT1694" s="57"/>
      <c r="AU1694" s="57"/>
      <c r="AV1694" s="57"/>
      <c r="AW1694" s="57"/>
      <c r="AX1694" s="57"/>
      <c r="AY1694" s="57"/>
      <c r="AZ1694" s="57"/>
      <c r="BA1694" s="57"/>
      <c r="BB1694" s="57"/>
      <c r="BC1694" s="57"/>
      <c r="BD1694" s="57"/>
      <c r="BE1694" s="57"/>
      <c r="BF1694" s="57"/>
    </row>
    <row r="1695" spans="1:58" s="52" customFormat="1" x14ac:dyDescent="0.25">
      <c r="A1695" s="53"/>
      <c r="B1695" s="60"/>
      <c r="C1695" s="57">
        <f t="shared" si="128"/>
        <v>0</v>
      </c>
      <c r="D1695" s="56"/>
      <c r="E1695" s="57">
        <f>[1]DETAY!$A$2</f>
        <v>0</v>
      </c>
      <c r="F1695" s="90">
        <f t="shared" si="129"/>
        <v>0</v>
      </c>
      <c r="G1695" s="92">
        <f t="shared" si="130"/>
        <v>0</v>
      </c>
      <c r="H1695" s="62" t="e">
        <f t="shared" si="131"/>
        <v>#DIV/0!</v>
      </c>
      <c r="I1695" s="57"/>
      <c r="J1695" s="57"/>
      <c r="K1695" s="57"/>
      <c r="L1695" s="57"/>
      <c r="M1695" s="58"/>
      <c r="N1695" s="57"/>
      <c r="O1695" s="57"/>
      <c r="P1695" s="57"/>
      <c r="Q1695" s="57"/>
      <c r="R1695" s="57"/>
      <c r="S1695" s="61"/>
      <c r="T1695" s="57"/>
      <c r="U1695" s="57"/>
      <c r="V1695" s="57"/>
      <c r="W1695" s="57"/>
      <c r="X1695" s="57"/>
      <c r="Y1695" s="57"/>
      <c r="Z1695" s="57"/>
      <c r="AA1695" s="57"/>
      <c r="AB1695" s="57"/>
      <c r="AC1695" s="57"/>
      <c r="AD1695" s="57"/>
      <c r="AE1695" s="57"/>
      <c r="AF1695" s="57"/>
      <c r="AG1695" s="57"/>
      <c r="AH1695" s="57"/>
      <c r="AI1695" s="57"/>
      <c r="AJ1695" s="57"/>
      <c r="AK1695" s="57"/>
      <c r="AL1695" s="57"/>
      <c r="AM1695" s="57"/>
      <c r="AN1695" s="57"/>
      <c r="AO1695" s="57"/>
      <c r="AP1695" s="57"/>
      <c r="AQ1695" s="57"/>
      <c r="AR1695" s="57"/>
      <c r="AS1695" s="57"/>
      <c r="AT1695" s="57"/>
      <c r="AU1695" s="57"/>
      <c r="AV1695" s="57"/>
      <c r="AW1695" s="57"/>
      <c r="AX1695" s="57"/>
      <c r="AY1695" s="57"/>
      <c r="AZ1695" s="57"/>
      <c r="BA1695" s="57"/>
      <c r="BB1695" s="57"/>
      <c r="BC1695" s="57"/>
      <c r="BD1695" s="57"/>
      <c r="BE1695" s="57"/>
      <c r="BF1695" s="57"/>
    </row>
    <row r="1696" spans="1:58" s="52" customFormat="1" x14ac:dyDescent="0.25">
      <c r="A1696" s="53"/>
      <c r="B1696" s="60"/>
      <c r="C1696" s="57">
        <f t="shared" si="128"/>
        <v>0</v>
      </c>
      <c r="D1696" s="56"/>
      <c r="E1696" s="57">
        <f>[1]DETAY!$A$2</f>
        <v>0</v>
      </c>
      <c r="F1696" s="90">
        <f t="shared" si="129"/>
        <v>0</v>
      </c>
      <c r="G1696" s="92">
        <f t="shared" si="130"/>
        <v>0</v>
      </c>
      <c r="H1696" s="62" t="e">
        <f t="shared" si="131"/>
        <v>#DIV/0!</v>
      </c>
      <c r="I1696" s="57"/>
      <c r="J1696" s="57"/>
      <c r="K1696" s="57"/>
      <c r="L1696" s="57"/>
      <c r="M1696" s="58"/>
      <c r="N1696" s="57"/>
      <c r="O1696" s="57"/>
      <c r="P1696" s="57"/>
      <c r="Q1696" s="57"/>
      <c r="R1696" s="57"/>
      <c r="S1696" s="61"/>
      <c r="T1696" s="57"/>
      <c r="U1696" s="57"/>
      <c r="V1696" s="57"/>
      <c r="W1696" s="57"/>
      <c r="X1696" s="57"/>
      <c r="Y1696" s="57"/>
      <c r="Z1696" s="57"/>
      <c r="AA1696" s="57"/>
      <c r="AB1696" s="57"/>
      <c r="AC1696" s="57"/>
      <c r="AD1696" s="57"/>
      <c r="AE1696" s="57"/>
      <c r="AF1696" s="57"/>
      <c r="AG1696" s="57"/>
      <c r="AH1696" s="57"/>
      <c r="AI1696" s="57"/>
      <c r="AJ1696" s="57"/>
      <c r="AK1696" s="57"/>
      <c r="AL1696" s="57"/>
      <c r="AM1696" s="57"/>
      <c r="AN1696" s="57"/>
      <c r="AO1696" s="57"/>
      <c r="AP1696" s="57"/>
      <c r="AQ1696" s="57"/>
      <c r="AR1696" s="57"/>
      <c r="AS1696" s="57"/>
      <c r="AT1696" s="57"/>
      <c r="AU1696" s="57"/>
      <c r="AV1696" s="57"/>
      <c r="AW1696" s="57"/>
      <c r="AX1696" s="57"/>
      <c r="AY1696" s="57"/>
      <c r="AZ1696" s="57"/>
      <c r="BA1696" s="57"/>
      <c r="BB1696" s="57"/>
      <c r="BC1696" s="57"/>
      <c r="BD1696" s="57"/>
      <c r="BE1696" s="57"/>
      <c r="BF1696" s="57"/>
    </row>
    <row r="1697" spans="1:58" s="52" customFormat="1" x14ac:dyDescent="0.25">
      <c r="A1697" s="53"/>
      <c r="B1697" s="60"/>
      <c r="C1697" s="57">
        <f t="shared" si="128"/>
        <v>0</v>
      </c>
      <c r="D1697" s="56"/>
      <c r="E1697" s="57">
        <f>[1]DETAY!$A$2</f>
        <v>0</v>
      </c>
      <c r="F1697" s="90">
        <f t="shared" si="129"/>
        <v>0</v>
      </c>
      <c r="G1697" s="92">
        <f t="shared" si="130"/>
        <v>0</v>
      </c>
      <c r="H1697" s="62" t="e">
        <f t="shared" si="131"/>
        <v>#DIV/0!</v>
      </c>
      <c r="I1697" s="57"/>
      <c r="J1697" s="57"/>
      <c r="K1697" s="57"/>
      <c r="L1697" s="57"/>
      <c r="M1697" s="58"/>
      <c r="N1697" s="57"/>
      <c r="O1697" s="57"/>
      <c r="P1697" s="57"/>
      <c r="Q1697" s="57"/>
      <c r="R1697" s="57"/>
      <c r="S1697" s="61"/>
      <c r="T1697" s="57"/>
      <c r="U1697" s="57"/>
      <c r="V1697" s="57"/>
      <c r="W1697" s="57"/>
      <c r="X1697" s="57"/>
      <c r="Y1697" s="57"/>
      <c r="Z1697" s="57"/>
      <c r="AA1697" s="57"/>
      <c r="AB1697" s="57"/>
      <c r="AC1697" s="57"/>
      <c r="AD1697" s="57"/>
      <c r="AE1697" s="57"/>
      <c r="AF1697" s="57"/>
      <c r="AG1697" s="57"/>
      <c r="AH1697" s="57"/>
      <c r="AI1697" s="57"/>
      <c r="AJ1697" s="57"/>
      <c r="AK1697" s="57"/>
      <c r="AL1697" s="57"/>
      <c r="AM1697" s="57"/>
      <c r="AN1697" s="57"/>
      <c r="AO1697" s="57"/>
      <c r="AP1697" s="57"/>
      <c r="AQ1697" s="57"/>
      <c r="AR1697" s="57"/>
      <c r="AS1697" s="57"/>
      <c r="AT1697" s="57"/>
      <c r="AU1697" s="57"/>
      <c r="AV1697" s="57"/>
      <c r="AW1697" s="57"/>
      <c r="AX1697" s="57"/>
      <c r="AY1697" s="57"/>
      <c r="AZ1697" s="57"/>
      <c r="BA1697" s="57"/>
      <c r="BB1697" s="57"/>
      <c r="BC1697" s="57"/>
      <c r="BD1697" s="57"/>
      <c r="BE1697" s="57"/>
      <c r="BF1697" s="57"/>
    </row>
    <row r="1698" spans="1:58" s="52" customFormat="1" x14ac:dyDescent="0.25">
      <c r="A1698" s="53"/>
      <c r="B1698" s="60"/>
      <c r="C1698" s="57">
        <f t="shared" si="128"/>
        <v>0</v>
      </c>
      <c r="D1698" s="56"/>
      <c r="E1698" s="57">
        <f>[1]DETAY!$A$2</f>
        <v>0</v>
      </c>
      <c r="F1698" s="90">
        <f t="shared" si="129"/>
        <v>0</v>
      </c>
      <c r="G1698" s="92">
        <f t="shared" si="130"/>
        <v>0</v>
      </c>
      <c r="H1698" s="62" t="e">
        <f t="shared" si="131"/>
        <v>#DIV/0!</v>
      </c>
      <c r="I1698" s="57"/>
      <c r="J1698" s="57"/>
      <c r="K1698" s="57"/>
      <c r="L1698" s="57"/>
      <c r="M1698" s="58"/>
      <c r="N1698" s="57"/>
      <c r="O1698" s="57"/>
      <c r="P1698" s="57"/>
      <c r="Q1698" s="57"/>
      <c r="R1698" s="57"/>
      <c r="S1698" s="61"/>
      <c r="T1698" s="57"/>
      <c r="U1698" s="57"/>
      <c r="V1698" s="57"/>
      <c r="W1698" s="57"/>
      <c r="X1698" s="57"/>
      <c r="Y1698" s="57"/>
      <c r="Z1698" s="57"/>
      <c r="AA1698" s="57"/>
      <c r="AB1698" s="57"/>
      <c r="AC1698" s="57"/>
      <c r="AD1698" s="57"/>
      <c r="AE1698" s="57"/>
      <c r="AF1698" s="57"/>
      <c r="AG1698" s="57"/>
      <c r="AH1698" s="57"/>
      <c r="AI1698" s="57"/>
      <c r="AJ1698" s="57"/>
      <c r="AK1698" s="57"/>
      <c r="AL1698" s="57"/>
      <c r="AM1698" s="57"/>
      <c r="AN1698" s="57"/>
      <c r="AO1698" s="57"/>
      <c r="AP1698" s="57"/>
      <c r="AQ1698" s="57"/>
      <c r="AR1698" s="57"/>
      <c r="AS1698" s="57"/>
      <c r="AT1698" s="57"/>
      <c r="AU1698" s="57"/>
      <c r="AV1698" s="57"/>
      <c r="AW1698" s="57"/>
      <c r="AX1698" s="57"/>
      <c r="AY1698" s="57"/>
      <c r="AZ1698" s="57"/>
      <c r="BA1698" s="57"/>
      <c r="BB1698" s="57"/>
      <c r="BC1698" s="57"/>
      <c r="BD1698" s="57"/>
      <c r="BE1698" s="57"/>
      <c r="BF1698" s="57"/>
    </row>
    <row r="1699" spans="1:58" s="52" customFormat="1" x14ac:dyDescent="0.25">
      <c r="A1699" s="53"/>
      <c r="B1699" s="60"/>
      <c r="C1699" s="57">
        <f t="shared" si="128"/>
        <v>0</v>
      </c>
      <c r="D1699" s="56"/>
      <c r="E1699" s="57">
        <f>[1]DETAY!$A$2</f>
        <v>0</v>
      </c>
      <c r="F1699" s="90">
        <f t="shared" si="129"/>
        <v>0</v>
      </c>
      <c r="G1699" s="92">
        <f t="shared" si="130"/>
        <v>0</v>
      </c>
      <c r="H1699" s="62" t="e">
        <f t="shared" si="131"/>
        <v>#DIV/0!</v>
      </c>
      <c r="I1699" s="57"/>
      <c r="J1699" s="57"/>
      <c r="K1699" s="57"/>
      <c r="L1699" s="57"/>
      <c r="M1699" s="58"/>
      <c r="N1699" s="57"/>
      <c r="O1699" s="57"/>
      <c r="P1699" s="57"/>
      <c r="Q1699" s="57"/>
      <c r="R1699" s="57"/>
      <c r="S1699" s="61"/>
      <c r="T1699" s="57"/>
      <c r="U1699" s="57"/>
      <c r="V1699" s="57"/>
      <c r="W1699" s="57"/>
      <c r="X1699" s="57"/>
      <c r="Y1699" s="57"/>
      <c r="Z1699" s="57"/>
      <c r="AA1699" s="57"/>
      <c r="AB1699" s="57"/>
      <c r="AC1699" s="57"/>
      <c r="AD1699" s="57"/>
      <c r="AE1699" s="57"/>
      <c r="AF1699" s="57"/>
      <c r="AG1699" s="57"/>
      <c r="AH1699" s="57"/>
      <c r="AI1699" s="57"/>
      <c r="AJ1699" s="57"/>
      <c r="AK1699" s="57"/>
      <c r="AL1699" s="57"/>
      <c r="AM1699" s="57"/>
      <c r="AN1699" s="57"/>
      <c r="AO1699" s="57"/>
      <c r="AP1699" s="57"/>
      <c r="AQ1699" s="57"/>
      <c r="AR1699" s="57"/>
      <c r="AS1699" s="57"/>
      <c r="AT1699" s="57"/>
      <c r="AU1699" s="57"/>
      <c r="AV1699" s="57"/>
      <c r="AW1699" s="57"/>
      <c r="AX1699" s="57"/>
      <c r="AY1699" s="57"/>
      <c r="AZ1699" s="57"/>
      <c r="BA1699" s="57"/>
      <c r="BB1699" s="57"/>
      <c r="BC1699" s="57"/>
      <c r="BD1699" s="57"/>
      <c r="BE1699" s="57"/>
      <c r="BF1699" s="57"/>
    </row>
    <row r="1700" spans="1:58" s="52" customFormat="1" x14ac:dyDescent="0.25">
      <c r="A1700" s="53"/>
      <c r="B1700" s="60"/>
      <c r="C1700" s="57">
        <f t="shared" si="128"/>
        <v>0</v>
      </c>
      <c r="D1700" s="56"/>
      <c r="E1700" s="57">
        <f>[1]DETAY!$A$2</f>
        <v>0</v>
      </c>
      <c r="F1700" s="90">
        <f t="shared" si="129"/>
        <v>0</v>
      </c>
      <c r="G1700" s="92">
        <f t="shared" si="130"/>
        <v>0</v>
      </c>
      <c r="H1700" s="62" t="e">
        <f t="shared" si="131"/>
        <v>#DIV/0!</v>
      </c>
      <c r="I1700" s="57"/>
      <c r="J1700" s="57"/>
      <c r="K1700" s="57"/>
      <c r="L1700" s="57"/>
      <c r="M1700" s="58"/>
      <c r="N1700" s="57"/>
      <c r="O1700" s="57"/>
      <c r="P1700" s="57"/>
      <c r="Q1700" s="57"/>
      <c r="R1700" s="57"/>
      <c r="S1700" s="61"/>
      <c r="T1700" s="57"/>
      <c r="U1700" s="57"/>
      <c r="V1700" s="57"/>
      <c r="W1700" s="57"/>
      <c r="X1700" s="57"/>
      <c r="Y1700" s="57"/>
      <c r="Z1700" s="57"/>
      <c r="AA1700" s="57"/>
      <c r="AB1700" s="57"/>
      <c r="AC1700" s="57"/>
      <c r="AD1700" s="57"/>
      <c r="AE1700" s="57"/>
      <c r="AF1700" s="57"/>
      <c r="AG1700" s="57"/>
      <c r="AH1700" s="57"/>
      <c r="AI1700" s="57"/>
      <c r="AJ1700" s="57"/>
      <c r="AK1700" s="57"/>
      <c r="AL1700" s="57"/>
      <c r="AM1700" s="57"/>
      <c r="AN1700" s="57"/>
      <c r="AO1700" s="57"/>
      <c r="AP1700" s="57"/>
      <c r="AQ1700" s="57"/>
      <c r="AR1700" s="57"/>
      <c r="AS1700" s="57"/>
      <c r="AT1700" s="57"/>
      <c r="AU1700" s="57"/>
      <c r="AV1700" s="57"/>
      <c r="AW1700" s="57"/>
      <c r="AX1700" s="57"/>
      <c r="AY1700" s="57"/>
      <c r="AZ1700" s="57"/>
      <c r="BA1700" s="57"/>
      <c r="BB1700" s="57"/>
      <c r="BC1700" s="57"/>
      <c r="BD1700" s="57"/>
      <c r="BE1700" s="57"/>
      <c r="BF1700" s="57"/>
    </row>
    <row r="1701" spans="1:58" s="52" customFormat="1" x14ac:dyDescent="0.25">
      <c r="A1701" s="53"/>
      <c r="B1701" s="60"/>
      <c r="C1701" s="57">
        <f t="shared" si="128"/>
        <v>0</v>
      </c>
      <c r="D1701" s="56"/>
      <c r="E1701" s="57">
        <f>[1]DETAY!$A$2</f>
        <v>0</v>
      </c>
      <c r="F1701" s="90">
        <f t="shared" si="129"/>
        <v>0</v>
      </c>
      <c r="G1701" s="92">
        <f t="shared" si="130"/>
        <v>0</v>
      </c>
      <c r="H1701" s="62" t="e">
        <f t="shared" si="131"/>
        <v>#DIV/0!</v>
      </c>
      <c r="I1701" s="57"/>
      <c r="J1701" s="57"/>
      <c r="K1701" s="57"/>
      <c r="L1701" s="57"/>
      <c r="M1701" s="58"/>
      <c r="N1701" s="57"/>
      <c r="O1701" s="57"/>
      <c r="P1701" s="57"/>
      <c r="Q1701" s="57"/>
      <c r="R1701" s="57"/>
      <c r="S1701" s="61"/>
      <c r="T1701" s="57"/>
      <c r="U1701" s="57"/>
      <c r="V1701" s="57"/>
      <c r="W1701" s="57"/>
      <c r="X1701" s="57"/>
      <c r="Y1701" s="57"/>
      <c r="Z1701" s="57"/>
      <c r="AA1701" s="57"/>
      <c r="AB1701" s="57"/>
      <c r="AC1701" s="57"/>
      <c r="AD1701" s="57"/>
      <c r="AE1701" s="57"/>
      <c r="AF1701" s="57"/>
      <c r="AG1701" s="57"/>
      <c r="AH1701" s="57"/>
      <c r="AI1701" s="57"/>
      <c r="AJ1701" s="57"/>
      <c r="AK1701" s="57"/>
      <c r="AL1701" s="57"/>
      <c r="AM1701" s="57"/>
      <c r="AN1701" s="57"/>
      <c r="AO1701" s="57"/>
      <c r="AP1701" s="57"/>
      <c r="AQ1701" s="57"/>
      <c r="AR1701" s="57"/>
      <c r="AS1701" s="57"/>
      <c r="AT1701" s="57"/>
      <c r="AU1701" s="57"/>
      <c r="AV1701" s="57"/>
      <c r="AW1701" s="57"/>
      <c r="AX1701" s="57"/>
      <c r="AY1701" s="57"/>
      <c r="AZ1701" s="57"/>
      <c r="BA1701" s="57"/>
      <c r="BB1701" s="57"/>
      <c r="BC1701" s="57"/>
      <c r="BD1701" s="57"/>
      <c r="BE1701" s="57"/>
      <c r="BF1701" s="57"/>
    </row>
    <row r="1702" spans="1:58" s="52" customFormat="1" x14ac:dyDescent="0.25">
      <c r="A1702" s="53"/>
      <c r="B1702" s="60"/>
      <c r="C1702" s="57">
        <f t="shared" si="128"/>
        <v>0</v>
      </c>
      <c r="D1702" s="56"/>
      <c r="E1702" s="57">
        <f>[1]DETAY!$A$2</f>
        <v>0</v>
      </c>
      <c r="F1702" s="90">
        <f t="shared" si="129"/>
        <v>0</v>
      </c>
      <c r="G1702" s="92">
        <f t="shared" si="130"/>
        <v>0</v>
      </c>
      <c r="H1702" s="62" t="e">
        <f t="shared" si="131"/>
        <v>#DIV/0!</v>
      </c>
      <c r="I1702" s="57"/>
      <c r="J1702" s="57"/>
      <c r="K1702" s="57"/>
      <c r="L1702" s="57"/>
      <c r="M1702" s="58"/>
      <c r="N1702" s="57"/>
      <c r="O1702" s="57"/>
      <c r="P1702" s="57"/>
      <c r="Q1702" s="57"/>
      <c r="R1702" s="57"/>
      <c r="S1702" s="61"/>
      <c r="T1702" s="57"/>
      <c r="U1702" s="57"/>
      <c r="V1702" s="57"/>
      <c r="W1702" s="57"/>
      <c r="X1702" s="57"/>
      <c r="Y1702" s="57"/>
      <c r="Z1702" s="57"/>
      <c r="AA1702" s="57"/>
      <c r="AB1702" s="57"/>
      <c r="AC1702" s="57"/>
      <c r="AD1702" s="57"/>
      <c r="AE1702" s="57"/>
      <c r="AF1702" s="57"/>
      <c r="AG1702" s="57"/>
      <c r="AH1702" s="57"/>
      <c r="AI1702" s="57"/>
      <c r="AJ1702" s="57"/>
      <c r="AK1702" s="57"/>
      <c r="AL1702" s="57"/>
      <c r="AM1702" s="57"/>
      <c r="AN1702" s="57"/>
      <c r="AO1702" s="57"/>
      <c r="AP1702" s="57"/>
      <c r="AQ1702" s="57"/>
      <c r="AR1702" s="57"/>
      <c r="AS1702" s="57"/>
      <c r="AT1702" s="57"/>
      <c r="AU1702" s="57"/>
      <c r="AV1702" s="57"/>
      <c r="AW1702" s="57"/>
      <c r="AX1702" s="57"/>
      <c r="AY1702" s="57"/>
      <c r="AZ1702" s="57"/>
      <c r="BA1702" s="57"/>
      <c r="BB1702" s="57"/>
      <c r="BC1702" s="57"/>
      <c r="BD1702" s="57"/>
      <c r="BE1702" s="57"/>
      <c r="BF1702" s="57"/>
    </row>
    <row r="1703" spans="1:58" s="52" customFormat="1" x14ac:dyDescent="0.25">
      <c r="A1703" s="53"/>
      <c r="B1703" s="60"/>
      <c r="C1703" s="57">
        <f t="shared" si="128"/>
        <v>0</v>
      </c>
      <c r="D1703" s="56"/>
      <c r="E1703" s="57">
        <f>[1]DETAY!$A$2</f>
        <v>0</v>
      </c>
      <c r="F1703" s="90">
        <f t="shared" si="129"/>
        <v>0</v>
      </c>
      <c r="G1703" s="92">
        <f t="shared" si="130"/>
        <v>0</v>
      </c>
      <c r="H1703" s="62" t="e">
        <f t="shared" si="131"/>
        <v>#DIV/0!</v>
      </c>
      <c r="I1703" s="57"/>
      <c r="J1703" s="57"/>
      <c r="K1703" s="57"/>
      <c r="L1703" s="57"/>
      <c r="M1703" s="58"/>
      <c r="N1703" s="57"/>
      <c r="O1703" s="57"/>
      <c r="P1703" s="57"/>
      <c r="Q1703" s="57"/>
      <c r="R1703" s="57"/>
      <c r="S1703" s="61"/>
      <c r="T1703" s="57"/>
      <c r="U1703" s="57"/>
      <c r="V1703" s="57"/>
      <c r="W1703" s="57"/>
      <c r="X1703" s="57"/>
      <c r="Y1703" s="57"/>
      <c r="Z1703" s="57"/>
      <c r="AA1703" s="57"/>
      <c r="AB1703" s="57"/>
      <c r="AC1703" s="57"/>
      <c r="AD1703" s="57"/>
      <c r="AE1703" s="57"/>
      <c r="AF1703" s="57"/>
      <c r="AG1703" s="57"/>
      <c r="AH1703" s="57"/>
      <c r="AI1703" s="57"/>
      <c r="AJ1703" s="57"/>
      <c r="AK1703" s="57"/>
      <c r="AL1703" s="57"/>
      <c r="AM1703" s="57"/>
      <c r="AN1703" s="57"/>
      <c r="AO1703" s="57"/>
      <c r="AP1703" s="57"/>
      <c r="AQ1703" s="57"/>
      <c r="AR1703" s="57"/>
      <c r="AS1703" s="57"/>
      <c r="AT1703" s="57"/>
      <c r="AU1703" s="57"/>
      <c r="AV1703" s="57"/>
      <c r="AW1703" s="57"/>
      <c r="AX1703" s="57"/>
      <c r="AY1703" s="57"/>
      <c r="AZ1703" s="57"/>
      <c r="BA1703" s="57"/>
      <c r="BB1703" s="57"/>
      <c r="BC1703" s="57"/>
      <c r="BD1703" s="57"/>
      <c r="BE1703" s="57"/>
      <c r="BF1703" s="57"/>
    </row>
    <row r="1704" spans="1:58" s="52" customFormat="1" x14ac:dyDescent="0.25">
      <c r="A1704" s="53"/>
      <c r="B1704" s="60"/>
      <c r="C1704" s="57">
        <f t="shared" si="128"/>
        <v>0</v>
      </c>
      <c r="D1704" s="56"/>
      <c r="E1704" s="57">
        <f>[1]DETAY!$A$2</f>
        <v>0</v>
      </c>
      <c r="F1704" s="90">
        <f t="shared" si="129"/>
        <v>0</v>
      </c>
      <c r="G1704" s="92">
        <f t="shared" si="130"/>
        <v>0</v>
      </c>
      <c r="H1704" s="62" t="e">
        <f t="shared" si="131"/>
        <v>#DIV/0!</v>
      </c>
      <c r="I1704" s="57"/>
      <c r="J1704" s="57"/>
      <c r="K1704" s="57"/>
      <c r="L1704" s="57"/>
      <c r="M1704" s="58"/>
      <c r="N1704" s="57"/>
      <c r="O1704" s="57"/>
      <c r="P1704" s="57"/>
      <c r="Q1704" s="57"/>
      <c r="R1704" s="57"/>
      <c r="S1704" s="61"/>
      <c r="T1704" s="57"/>
      <c r="U1704" s="57"/>
      <c r="V1704" s="57"/>
      <c r="W1704" s="57"/>
      <c r="X1704" s="57"/>
      <c r="Y1704" s="57"/>
      <c r="Z1704" s="57"/>
      <c r="AA1704" s="57"/>
      <c r="AB1704" s="57"/>
      <c r="AC1704" s="57"/>
      <c r="AD1704" s="57"/>
      <c r="AE1704" s="57"/>
      <c r="AF1704" s="57"/>
      <c r="AG1704" s="57"/>
      <c r="AH1704" s="57"/>
      <c r="AI1704" s="57"/>
      <c r="AJ1704" s="57"/>
      <c r="AK1704" s="57"/>
      <c r="AL1704" s="57"/>
      <c r="AM1704" s="57"/>
      <c r="AN1704" s="57"/>
      <c r="AO1704" s="57"/>
      <c r="AP1704" s="57"/>
      <c r="AQ1704" s="57"/>
      <c r="AR1704" s="57"/>
      <c r="AS1704" s="57"/>
      <c r="AT1704" s="57"/>
      <c r="AU1704" s="57"/>
      <c r="AV1704" s="57"/>
      <c r="AW1704" s="57"/>
      <c r="AX1704" s="57"/>
      <c r="AY1704" s="57"/>
      <c r="AZ1704" s="57"/>
      <c r="BA1704" s="57"/>
      <c r="BB1704" s="57"/>
      <c r="BC1704" s="57"/>
      <c r="BD1704" s="57"/>
      <c r="BE1704" s="57"/>
      <c r="BF1704" s="57"/>
    </row>
    <row r="1705" spans="1:58" s="52" customFormat="1" x14ac:dyDescent="0.25">
      <c r="A1705" s="53"/>
      <c r="B1705" s="60"/>
      <c r="C1705" s="57">
        <f t="shared" si="128"/>
        <v>0</v>
      </c>
      <c r="D1705" s="56"/>
      <c r="E1705" s="57">
        <f>[1]DETAY!$A$2</f>
        <v>0</v>
      </c>
      <c r="F1705" s="90">
        <f t="shared" si="129"/>
        <v>0</v>
      </c>
      <c r="G1705" s="92">
        <f t="shared" si="130"/>
        <v>0</v>
      </c>
      <c r="H1705" s="62" t="e">
        <f t="shared" si="131"/>
        <v>#DIV/0!</v>
      </c>
      <c r="I1705" s="57"/>
      <c r="J1705" s="57"/>
      <c r="K1705" s="57"/>
      <c r="L1705" s="57"/>
      <c r="M1705" s="58"/>
      <c r="N1705" s="57"/>
      <c r="O1705" s="57"/>
      <c r="P1705" s="57"/>
      <c r="Q1705" s="57"/>
      <c r="R1705" s="57"/>
      <c r="S1705" s="61"/>
      <c r="T1705" s="57"/>
      <c r="U1705" s="57"/>
      <c r="V1705" s="57"/>
      <c r="W1705" s="57"/>
      <c r="X1705" s="57"/>
      <c r="Y1705" s="57"/>
      <c r="Z1705" s="57"/>
      <c r="AA1705" s="57"/>
      <c r="AB1705" s="57"/>
      <c r="AC1705" s="57"/>
      <c r="AD1705" s="57"/>
      <c r="AE1705" s="57"/>
      <c r="AF1705" s="57"/>
      <c r="AG1705" s="57"/>
      <c r="AH1705" s="57"/>
      <c r="AI1705" s="57"/>
      <c r="AJ1705" s="57"/>
      <c r="AK1705" s="57"/>
      <c r="AL1705" s="57"/>
      <c r="AM1705" s="57"/>
      <c r="AN1705" s="57"/>
      <c r="AO1705" s="57"/>
      <c r="AP1705" s="57"/>
      <c r="AQ1705" s="57"/>
      <c r="AR1705" s="57"/>
      <c r="AS1705" s="57"/>
      <c r="AT1705" s="57"/>
      <c r="AU1705" s="57"/>
      <c r="AV1705" s="57"/>
      <c r="AW1705" s="57"/>
      <c r="AX1705" s="57"/>
      <c r="AY1705" s="57"/>
      <c r="AZ1705" s="57"/>
      <c r="BA1705" s="57"/>
      <c r="BB1705" s="57"/>
      <c r="BC1705" s="57"/>
      <c r="BD1705" s="57"/>
      <c r="BE1705" s="57"/>
      <c r="BF1705" s="57"/>
    </row>
    <row r="1706" spans="1:58" s="52" customFormat="1" x14ac:dyDescent="0.25">
      <c r="A1706" s="53"/>
      <c r="B1706" s="60"/>
      <c r="C1706" s="57">
        <f t="shared" si="128"/>
        <v>0</v>
      </c>
      <c r="D1706" s="56"/>
      <c r="E1706" s="57">
        <f>[1]DETAY!$A$2</f>
        <v>0</v>
      </c>
      <c r="F1706" s="90">
        <f t="shared" si="129"/>
        <v>0</v>
      </c>
      <c r="G1706" s="92">
        <f t="shared" si="130"/>
        <v>0</v>
      </c>
      <c r="H1706" s="62" t="e">
        <f t="shared" si="131"/>
        <v>#DIV/0!</v>
      </c>
      <c r="I1706" s="57"/>
      <c r="J1706" s="57"/>
      <c r="K1706" s="57"/>
      <c r="L1706" s="57"/>
      <c r="M1706" s="58"/>
      <c r="N1706" s="57"/>
      <c r="O1706" s="57"/>
      <c r="P1706" s="57"/>
      <c r="Q1706" s="57"/>
      <c r="R1706" s="57"/>
      <c r="S1706" s="61"/>
      <c r="T1706" s="57"/>
      <c r="U1706" s="57"/>
      <c r="V1706" s="57"/>
      <c r="W1706" s="57"/>
      <c r="X1706" s="57"/>
      <c r="Y1706" s="57"/>
      <c r="Z1706" s="57"/>
      <c r="AA1706" s="57"/>
      <c r="AB1706" s="57"/>
      <c r="AC1706" s="57"/>
      <c r="AD1706" s="57"/>
      <c r="AE1706" s="57"/>
      <c r="AF1706" s="57"/>
      <c r="AG1706" s="57"/>
      <c r="AH1706" s="57"/>
      <c r="AI1706" s="57"/>
      <c r="AJ1706" s="57"/>
      <c r="AK1706" s="57"/>
      <c r="AL1706" s="57"/>
      <c r="AM1706" s="57"/>
      <c r="AN1706" s="57"/>
      <c r="AO1706" s="57"/>
      <c r="AP1706" s="57"/>
      <c r="AQ1706" s="57"/>
      <c r="AR1706" s="57"/>
      <c r="AS1706" s="57"/>
      <c r="AT1706" s="57"/>
      <c r="AU1706" s="57"/>
      <c r="AV1706" s="57"/>
      <c r="AW1706" s="57"/>
      <c r="AX1706" s="57"/>
      <c r="AY1706" s="57"/>
      <c r="AZ1706" s="57"/>
      <c r="BA1706" s="57"/>
      <c r="BB1706" s="57"/>
      <c r="BC1706" s="57"/>
      <c r="BD1706" s="57"/>
      <c r="BE1706" s="57"/>
      <c r="BF1706" s="57"/>
    </row>
    <row r="1707" spans="1:58" s="52" customFormat="1" x14ac:dyDescent="0.25">
      <c r="A1707" s="53"/>
      <c r="B1707" s="60"/>
      <c r="C1707" s="57">
        <f t="shared" si="128"/>
        <v>0</v>
      </c>
      <c r="D1707" s="56"/>
      <c r="E1707" s="57">
        <f>[1]DETAY!$A$2</f>
        <v>0</v>
      </c>
      <c r="F1707" s="90">
        <f t="shared" si="129"/>
        <v>0</v>
      </c>
      <c r="G1707" s="92">
        <f t="shared" si="130"/>
        <v>0</v>
      </c>
      <c r="H1707" s="62" t="e">
        <f t="shared" si="131"/>
        <v>#DIV/0!</v>
      </c>
      <c r="I1707" s="57"/>
      <c r="J1707" s="57"/>
      <c r="K1707" s="57"/>
      <c r="L1707" s="57"/>
      <c r="M1707" s="58"/>
      <c r="N1707" s="57"/>
      <c r="O1707" s="57"/>
      <c r="P1707" s="57"/>
      <c r="Q1707" s="57"/>
      <c r="R1707" s="57"/>
      <c r="S1707" s="61"/>
      <c r="T1707" s="57"/>
      <c r="U1707" s="57"/>
      <c r="V1707" s="57"/>
      <c r="W1707" s="57"/>
      <c r="X1707" s="57"/>
      <c r="Y1707" s="57"/>
      <c r="Z1707" s="57"/>
      <c r="AA1707" s="57"/>
      <c r="AB1707" s="57"/>
      <c r="AC1707" s="57"/>
      <c r="AD1707" s="57"/>
      <c r="AE1707" s="57"/>
      <c r="AF1707" s="57"/>
      <c r="AG1707" s="57"/>
      <c r="AH1707" s="57"/>
      <c r="AI1707" s="57"/>
      <c r="AJ1707" s="57"/>
      <c r="AK1707" s="57"/>
      <c r="AL1707" s="57"/>
      <c r="AM1707" s="57"/>
      <c r="AN1707" s="57"/>
      <c r="AO1707" s="57"/>
      <c r="AP1707" s="57"/>
      <c r="AQ1707" s="57"/>
      <c r="AR1707" s="57"/>
      <c r="AS1707" s="57"/>
      <c r="AT1707" s="57"/>
      <c r="AU1707" s="57"/>
      <c r="AV1707" s="57"/>
      <c r="AW1707" s="57"/>
      <c r="AX1707" s="57"/>
      <c r="AY1707" s="57"/>
      <c r="AZ1707" s="57"/>
      <c r="BA1707" s="57"/>
      <c r="BB1707" s="57"/>
      <c r="BC1707" s="57"/>
      <c r="BD1707" s="57"/>
      <c r="BE1707" s="57"/>
      <c r="BF1707" s="57"/>
    </row>
    <row r="1708" spans="1:58" s="52" customFormat="1" x14ac:dyDescent="0.25">
      <c r="A1708" s="53"/>
      <c r="B1708" s="60"/>
      <c r="C1708" s="57">
        <f t="shared" si="128"/>
        <v>0</v>
      </c>
      <c r="D1708" s="56"/>
      <c r="E1708" s="57">
        <f>[1]DETAY!$A$2</f>
        <v>0</v>
      </c>
      <c r="F1708" s="90">
        <f t="shared" si="129"/>
        <v>0</v>
      </c>
      <c r="G1708" s="92">
        <f t="shared" si="130"/>
        <v>0</v>
      </c>
      <c r="H1708" s="62" t="e">
        <f t="shared" si="131"/>
        <v>#DIV/0!</v>
      </c>
      <c r="I1708" s="57"/>
      <c r="J1708" s="57"/>
      <c r="K1708" s="57"/>
      <c r="L1708" s="57"/>
      <c r="M1708" s="58"/>
      <c r="N1708" s="57"/>
      <c r="O1708" s="57"/>
      <c r="P1708" s="57"/>
      <c r="Q1708" s="57"/>
      <c r="R1708" s="57"/>
      <c r="S1708" s="61"/>
      <c r="T1708" s="57"/>
      <c r="U1708" s="57"/>
      <c r="V1708" s="57"/>
      <c r="W1708" s="57"/>
      <c r="X1708" s="57"/>
      <c r="Y1708" s="57"/>
      <c r="Z1708" s="57"/>
      <c r="AA1708" s="57"/>
      <c r="AB1708" s="57"/>
      <c r="AC1708" s="57"/>
      <c r="AD1708" s="57"/>
      <c r="AE1708" s="57"/>
      <c r="AF1708" s="57"/>
      <c r="AG1708" s="57"/>
      <c r="AH1708" s="57"/>
      <c r="AI1708" s="57"/>
      <c r="AJ1708" s="57"/>
      <c r="AK1708" s="57"/>
      <c r="AL1708" s="57"/>
      <c r="AM1708" s="57"/>
      <c r="AN1708" s="57"/>
      <c r="AO1708" s="57"/>
      <c r="AP1708" s="57"/>
      <c r="AQ1708" s="57"/>
      <c r="AR1708" s="57"/>
      <c r="AS1708" s="57"/>
      <c r="AT1708" s="57"/>
      <c r="AU1708" s="57"/>
      <c r="AV1708" s="57"/>
      <c r="AW1708" s="57"/>
      <c r="AX1708" s="57"/>
      <c r="AY1708" s="57"/>
      <c r="AZ1708" s="57"/>
      <c r="BA1708" s="57"/>
      <c r="BB1708" s="57"/>
      <c r="BC1708" s="57"/>
      <c r="BD1708" s="57"/>
      <c r="BE1708" s="57"/>
      <c r="BF1708" s="57"/>
    </row>
    <row r="1709" spans="1:58" s="52" customFormat="1" x14ac:dyDescent="0.25">
      <c r="A1709" s="53"/>
      <c r="B1709" s="60"/>
      <c r="C1709" s="57">
        <f t="shared" si="128"/>
        <v>0</v>
      </c>
      <c r="D1709" s="56"/>
      <c r="E1709" s="57">
        <f>[1]DETAY!$A$2</f>
        <v>0</v>
      </c>
      <c r="F1709" s="90">
        <f t="shared" si="129"/>
        <v>0</v>
      </c>
      <c r="G1709" s="92">
        <f t="shared" si="130"/>
        <v>0</v>
      </c>
      <c r="H1709" s="62" t="e">
        <f t="shared" si="131"/>
        <v>#DIV/0!</v>
      </c>
      <c r="I1709" s="57"/>
      <c r="J1709" s="57"/>
      <c r="K1709" s="57"/>
      <c r="L1709" s="57"/>
      <c r="M1709" s="58"/>
      <c r="N1709" s="57"/>
      <c r="O1709" s="57"/>
      <c r="P1709" s="57"/>
      <c r="Q1709" s="57"/>
      <c r="R1709" s="57"/>
      <c r="S1709" s="61"/>
      <c r="T1709" s="57"/>
      <c r="U1709" s="57"/>
      <c r="V1709" s="57"/>
      <c r="W1709" s="57"/>
      <c r="X1709" s="57"/>
      <c r="Y1709" s="57"/>
      <c r="Z1709" s="57"/>
      <c r="AA1709" s="57"/>
      <c r="AB1709" s="57"/>
      <c r="AC1709" s="57"/>
      <c r="AD1709" s="57"/>
      <c r="AE1709" s="57"/>
      <c r="AF1709" s="57"/>
      <c r="AG1709" s="57"/>
      <c r="AH1709" s="57"/>
      <c r="AI1709" s="57"/>
      <c r="AJ1709" s="57"/>
      <c r="AK1709" s="57"/>
      <c r="AL1709" s="57"/>
      <c r="AM1709" s="57"/>
      <c r="AN1709" s="57"/>
      <c r="AO1709" s="57"/>
      <c r="AP1709" s="57"/>
      <c r="AQ1709" s="57"/>
      <c r="AR1709" s="57"/>
      <c r="AS1709" s="57"/>
      <c r="AT1709" s="57"/>
      <c r="AU1709" s="57"/>
      <c r="AV1709" s="57"/>
      <c r="AW1709" s="57"/>
      <c r="AX1709" s="57"/>
      <c r="AY1709" s="57"/>
      <c r="AZ1709" s="57"/>
      <c r="BA1709" s="57"/>
      <c r="BB1709" s="57"/>
      <c r="BC1709" s="57"/>
      <c r="BD1709" s="57"/>
      <c r="BE1709" s="57"/>
      <c r="BF1709" s="57"/>
    </row>
    <row r="1710" spans="1:58" s="52" customFormat="1" x14ac:dyDescent="0.25">
      <c r="A1710" s="53"/>
      <c r="B1710" s="60"/>
      <c r="C1710" s="57">
        <f t="shared" si="128"/>
        <v>0</v>
      </c>
      <c r="D1710" s="56"/>
      <c r="E1710" s="57">
        <f>[1]DETAY!$A$2</f>
        <v>0</v>
      </c>
      <c r="F1710" s="90">
        <f t="shared" si="129"/>
        <v>0</v>
      </c>
      <c r="G1710" s="92">
        <f t="shared" si="130"/>
        <v>0</v>
      </c>
      <c r="H1710" s="62" t="e">
        <f t="shared" si="131"/>
        <v>#DIV/0!</v>
      </c>
      <c r="I1710" s="57"/>
      <c r="J1710" s="57"/>
      <c r="K1710" s="57"/>
      <c r="L1710" s="57"/>
      <c r="M1710" s="58"/>
      <c r="N1710" s="57"/>
      <c r="O1710" s="57"/>
      <c r="P1710" s="57"/>
      <c r="Q1710" s="57"/>
      <c r="R1710" s="57"/>
      <c r="S1710" s="61"/>
      <c r="T1710" s="57"/>
      <c r="U1710" s="57"/>
      <c r="V1710" s="57"/>
      <c r="W1710" s="57"/>
      <c r="X1710" s="57"/>
      <c r="Y1710" s="57"/>
      <c r="Z1710" s="57"/>
      <c r="AA1710" s="57"/>
      <c r="AB1710" s="57"/>
      <c r="AC1710" s="57"/>
      <c r="AD1710" s="57"/>
      <c r="AE1710" s="57"/>
      <c r="AF1710" s="57"/>
      <c r="AG1710" s="57"/>
      <c r="AH1710" s="57"/>
      <c r="AI1710" s="57"/>
      <c r="AJ1710" s="57"/>
      <c r="AK1710" s="57"/>
      <c r="AL1710" s="57"/>
      <c r="AM1710" s="57"/>
      <c r="AN1710" s="57"/>
      <c r="AO1710" s="57"/>
      <c r="AP1710" s="57"/>
      <c r="AQ1710" s="57"/>
      <c r="AR1710" s="57"/>
      <c r="AS1710" s="57"/>
      <c r="AT1710" s="57"/>
      <c r="AU1710" s="57"/>
      <c r="AV1710" s="57"/>
      <c r="AW1710" s="57"/>
      <c r="AX1710" s="57"/>
      <c r="AY1710" s="57"/>
      <c r="AZ1710" s="57"/>
      <c r="BA1710" s="57"/>
      <c r="BB1710" s="57"/>
      <c r="BC1710" s="57"/>
      <c r="BD1710" s="57"/>
      <c r="BE1710" s="57"/>
      <c r="BF1710" s="57"/>
    </row>
    <row r="1711" spans="1:58" s="52" customFormat="1" x14ac:dyDescent="0.25">
      <c r="A1711" s="53"/>
      <c r="B1711" s="60"/>
      <c r="C1711" s="57">
        <f t="shared" si="128"/>
        <v>0</v>
      </c>
      <c r="D1711" s="56"/>
      <c r="E1711" s="57">
        <f>[1]DETAY!$A$2</f>
        <v>0</v>
      </c>
      <c r="F1711" s="90">
        <f t="shared" si="129"/>
        <v>0</v>
      </c>
      <c r="G1711" s="92">
        <f t="shared" si="130"/>
        <v>0</v>
      </c>
      <c r="H1711" s="62" t="e">
        <f t="shared" si="131"/>
        <v>#DIV/0!</v>
      </c>
      <c r="I1711" s="57"/>
      <c r="J1711" s="57"/>
      <c r="K1711" s="57"/>
      <c r="L1711" s="57"/>
      <c r="M1711" s="58"/>
      <c r="N1711" s="57"/>
      <c r="O1711" s="57"/>
      <c r="P1711" s="57"/>
      <c r="Q1711" s="57"/>
      <c r="R1711" s="57"/>
      <c r="S1711" s="61"/>
      <c r="T1711" s="57"/>
      <c r="U1711" s="57"/>
      <c r="V1711" s="57"/>
      <c r="W1711" s="57"/>
      <c r="X1711" s="57"/>
      <c r="Y1711" s="57"/>
      <c r="Z1711" s="57"/>
      <c r="AA1711" s="57"/>
      <c r="AB1711" s="57"/>
      <c r="AC1711" s="57"/>
      <c r="AD1711" s="57"/>
      <c r="AE1711" s="57"/>
      <c r="AF1711" s="57"/>
      <c r="AG1711" s="57"/>
      <c r="AH1711" s="57"/>
      <c r="AI1711" s="57"/>
      <c r="AJ1711" s="57"/>
      <c r="AK1711" s="57"/>
      <c r="AL1711" s="57"/>
      <c r="AM1711" s="57"/>
      <c r="AN1711" s="57"/>
      <c r="AO1711" s="57"/>
      <c r="AP1711" s="57"/>
      <c r="AQ1711" s="57"/>
      <c r="AR1711" s="57"/>
      <c r="AS1711" s="57"/>
      <c r="AT1711" s="57"/>
      <c r="AU1711" s="57"/>
      <c r="AV1711" s="57"/>
      <c r="AW1711" s="57"/>
      <c r="AX1711" s="57"/>
      <c r="AY1711" s="57"/>
      <c r="AZ1711" s="57"/>
      <c r="BA1711" s="57"/>
      <c r="BB1711" s="57"/>
      <c r="BC1711" s="57"/>
      <c r="BD1711" s="57"/>
      <c r="BE1711" s="57"/>
      <c r="BF1711" s="57"/>
    </row>
    <row r="1712" spans="1:58" s="52" customFormat="1" x14ac:dyDescent="0.25">
      <c r="A1712" s="53"/>
      <c r="B1712" s="60"/>
      <c r="C1712" s="57">
        <f t="shared" si="128"/>
        <v>0</v>
      </c>
      <c r="D1712" s="56"/>
      <c r="E1712" s="57">
        <f>[1]DETAY!$A$2</f>
        <v>0</v>
      </c>
      <c r="F1712" s="90">
        <f t="shared" si="129"/>
        <v>0</v>
      </c>
      <c r="G1712" s="92">
        <f t="shared" si="130"/>
        <v>0</v>
      </c>
      <c r="H1712" s="62" t="e">
        <f t="shared" si="131"/>
        <v>#DIV/0!</v>
      </c>
      <c r="I1712" s="57"/>
      <c r="J1712" s="57"/>
      <c r="K1712" s="57"/>
      <c r="L1712" s="57"/>
      <c r="M1712" s="58"/>
      <c r="N1712" s="57"/>
      <c r="O1712" s="57"/>
      <c r="P1712" s="57"/>
      <c r="Q1712" s="57"/>
      <c r="R1712" s="57"/>
      <c r="S1712" s="61"/>
      <c r="T1712" s="57"/>
      <c r="U1712" s="57"/>
      <c r="V1712" s="57"/>
      <c r="W1712" s="57"/>
      <c r="X1712" s="57"/>
      <c r="Y1712" s="57"/>
      <c r="Z1712" s="57"/>
      <c r="AA1712" s="57"/>
      <c r="AB1712" s="57"/>
      <c r="AC1712" s="57"/>
      <c r="AD1712" s="57"/>
      <c r="AE1712" s="57"/>
      <c r="AF1712" s="57"/>
      <c r="AG1712" s="57"/>
      <c r="AH1712" s="57"/>
      <c r="AI1712" s="57"/>
      <c r="AJ1712" s="57"/>
      <c r="AK1712" s="57"/>
      <c r="AL1712" s="57"/>
      <c r="AM1712" s="57"/>
      <c r="AN1712" s="57"/>
      <c r="AO1712" s="57"/>
      <c r="AP1712" s="57"/>
      <c r="AQ1712" s="57"/>
      <c r="AR1712" s="57"/>
      <c r="AS1712" s="57"/>
      <c r="AT1712" s="57"/>
      <c r="AU1712" s="57"/>
      <c r="AV1712" s="57"/>
      <c r="AW1712" s="57"/>
      <c r="AX1712" s="57"/>
      <c r="AY1712" s="57"/>
      <c r="AZ1712" s="57"/>
      <c r="BA1712" s="57"/>
      <c r="BB1712" s="57"/>
      <c r="BC1712" s="57"/>
      <c r="BD1712" s="57"/>
      <c r="BE1712" s="57"/>
      <c r="BF1712" s="57"/>
    </row>
    <row r="1713" spans="1:58" s="52" customFormat="1" x14ac:dyDescent="0.25">
      <c r="A1713" s="53"/>
      <c r="B1713" s="60"/>
      <c r="C1713" s="57">
        <f t="shared" si="128"/>
        <v>0</v>
      </c>
      <c r="D1713" s="56"/>
      <c r="E1713" s="57">
        <f>[1]DETAY!$A$2</f>
        <v>0</v>
      </c>
      <c r="F1713" s="90">
        <f t="shared" si="129"/>
        <v>0</v>
      </c>
      <c r="G1713" s="92">
        <f t="shared" si="130"/>
        <v>0</v>
      </c>
      <c r="H1713" s="62" t="e">
        <f t="shared" si="131"/>
        <v>#DIV/0!</v>
      </c>
      <c r="I1713" s="57"/>
      <c r="J1713" s="57"/>
      <c r="K1713" s="57"/>
      <c r="L1713" s="57"/>
      <c r="M1713" s="58"/>
      <c r="N1713" s="57"/>
      <c r="O1713" s="57"/>
      <c r="P1713" s="57"/>
      <c r="Q1713" s="57"/>
      <c r="R1713" s="57"/>
      <c r="S1713" s="61"/>
      <c r="T1713" s="57"/>
      <c r="U1713" s="57"/>
      <c r="V1713" s="57"/>
      <c r="W1713" s="57"/>
      <c r="X1713" s="57"/>
      <c r="Y1713" s="57"/>
      <c r="Z1713" s="57"/>
      <c r="AA1713" s="57"/>
      <c r="AB1713" s="57"/>
      <c r="AC1713" s="57"/>
      <c r="AD1713" s="57"/>
      <c r="AE1713" s="57"/>
      <c r="AF1713" s="57"/>
      <c r="AG1713" s="57"/>
      <c r="AH1713" s="57"/>
      <c r="AI1713" s="57"/>
      <c r="AJ1713" s="57"/>
      <c r="AK1713" s="57"/>
      <c r="AL1713" s="57"/>
      <c r="AM1713" s="57"/>
      <c r="AN1713" s="57"/>
      <c r="AO1713" s="57"/>
      <c r="AP1713" s="57"/>
      <c r="AQ1713" s="57"/>
      <c r="AR1713" s="57"/>
      <c r="AS1713" s="57"/>
      <c r="AT1713" s="57"/>
      <c r="AU1713" s="57"/>
      <c r="AV1713" s="57"/>
      <c r="AW1713" s="57"/>
      <c r="AX1713" s="57"/>
      <c r="AY1713" s="57"/>
      <c r="AZ1713" s="57"/>
      <c r="BA1713" s="57"/>
      <c r="BB1713" s="57"/>
      <c r="BC1713" s="57"/>
      <c r="BD1713" s="57"/>
      <c r="BE1713" s="57"/>
      <c r="BF1713" s="57"/>
    </row>
    <row r="1714" spans="1:58" s="52" customFormat="1" x14ac:dyDescent="0.25">
      <c r="A1714" s="53"/>
      <c r="B1714" s="60"/>
      <c r="C1714" s="57">
        <f t="shared" si="128"/>
        <v>0</v>
      </c>
      <c r="D1714" s="56"/>
      <c r="E1714" s="57">
        <f>[1]DETAY!$A$2</f>
        <v>0</v>
      </c>
      <c r="F1714" s="90">
        <f t="shared" si="129"/>
        <v>0</v>
      </c>
      <c r="G1714" s="92">
        <f t="shared" si="130"/>
        <v>0</v>
      </c>
      <c r="H1714" s="62" t="e">
        <f t="shared" si="131"/>
        <v>#DIV/0!</v>
      </c>
      <c r="I1714" s="57"/>
      <c r="J1714" s="57"/>
      <c r="K1714" s="57"/>
      <c r="L1714" s="57"/>
      <c r="M1714" s="58"/>
      <c r="N1714" s="57"/>
      <c r="O1714" s="57"/>
      <c r="P1714" s="57"/>
      <c r="Q1714" s="57"/>
      <c r="R1714" s="57"/>
      <c r="S1714" s="61"/>
      <c r="T1714" s="57"/>
      <c r="U1714" s="57"/>
      <c r="V1714" s="57"/>
      <c r="W1714" s="57"/>
      <c r="X1714" s="57"/>
      <c r="Y1714" s="57"/>
      <c r="Z1714" s="57"/>
      <c r="AA1714" s="57"/>
      <c r="AB1714" s="57"/>
      <c r="AC1714" s="57"/>
      <c r="AD1714" s="57"/>
      <c r="AE1714" s="57"/>
      <c r="AF1714" s="57"/>
      <c r="AG1714" s="57"/>
      <c r="AH1714" s="57"/>
      <c r="AI1714" s="57"/>
      <c r="AJ1714" s="57"/>
      <c r="AK1714" s="57"/>
      <c r="AL1714" s="57"/>
      <c r="AM1714" s="57"/>
      <c r="AN1714" s="57"/>
      <c r="AO1714" s="57"/>
      <c r="AP1714" s="57"/>
      <c r="AQ1714" s="57"/>
      <c r="AR1714" s="57"/>
      <c r="AS1714" s="57"/>
      <c r="AT1714" s="57"/>
      <c r="AU1714" s="57"/>
      <c r="AV1714" s="57"/>
      <c r="AW1714" s="57"/>
      <c r="AX1714" s="57"/>
      <c r="AY1714" s="57"/>
      <c r="AZ1714" s="57"/>
      <c r="BA1714" s="57"/>
      <c r="BB1714" s="57"/>
      <c r="BC1714" s="57"/>
      <c r="BD1714" s="57"/>
      <c r="BE1714" s="57"/>
      <c r="BF1714" s="57"/>
    </row>
    <row r="1715" spans="1:58" s="52" customFormat="1" x14ac:dyDescent="0.25">
      <c r="A1715" s="53"/>
      <c r="B1715" s="60"/>
      <c r="C1715" s="57">
        <f t="shared" si="128"/>
        <v>0</v>
      </c>
      <c r="D1715" s="56"/>
      <c r="E1715" s="57">
        <f>[1]DETAY!$A$2</f>
        <v>0</v>
      </c>
      <c r="F1715" s="90">
        <f t="shared" si="129"/>
        <v>0</v>
      </c>
      <c r="G1715" s="92">
        <f t="shared" si="130"/>
        <v>0</v>
      </c>
      <c r="H1715" s="62" t="e">
        <f t="shared" si="131"/>
        <v>#DIV/0!</v>
      </c>
      <c r="I1715" s="57"/>
      <c r="J1715" s="57"/>
      <c r="K1715" s="57"/>
      <c r="L1715" s="57"/>
      <c r="M1715" s="58"/>
      <c r="N1715" s="57"/>
      <c r="O1715" s="57"/>
      <c r="P1715" s="57"/>
      <c r="Q1715" s="57"/>
      <c r="R1715" s="57"/>
      <c r="S1715" s="61"/>
      <c r="T1715" s="57"/>
      <c r="U1715" s="57"/>
      <c r="V1715" s="57"/>
      <c r="W1715" s="57"/>
      <c r="X1715" s="57"/>
      <c r="Y1715" s="57"/>
      <c r="Z1715" s="57"/>
      <c r="AA1715" s="57"/>
      <c r="AB1715" s="57"/>
      <c r="AC1715" s="57"/>
      <c r="AD1715" s="57"/>
      <c r="AE1715" s="57"/>
      <c r="AF1715" s="57"/>
      <c r="AG1715" s="57"/>
      <c r="AH1715" s="57"/>
      <c r="AI1715" s="57"/>
      <c r="AJ1715" s="57"/>
      <c r="AK1715" s="57"/>
      <c r="AL1715" s="57"/>
      <c r="AM1715" s="57"/>
      <c r="AN1715" s="57"/>
      <c r="AO1715" s="57"/>
      <c r="AP1715" s="57"/>
      <c r="AQ1715" s="57"/>
      <c r="AR1715" s="57"/>
      <c r="AS1715" s="57"/>
      <c r="AT1715" s="57"/>
      <c r="AU1715" s="57"/>
      <c r="AV1715" s="57"/>
      <c r="AW1715" s="57"/>
      <c r="AX1715" s="57"/>
      <c r="AY1715" s="57"/>
      <c r="AZ1715" s="57"/>
      <c r="BA1715" s="57"/>
      <c r="BB1715" s="57"/>
      <c r="BC1715" s="57"/>
      <c r="BD1715" s="57"/>
      <c r="BE1715" s="57"/>
      <c r="BF1715" s="57"/>
    </row>
    <row r="1716" spans="1:58" s="52" customFormat="1" x14ac:dyDescent="0.25">
      <c r="A1716" s="53"/>
      <c r="B1716" s="60"/>
      <c r="C1716" s="57">
        <f t="shared" si="128"/>
        <v>0</v>
      </c>
      <c r="D1716" s="56"/>
      <c r="E1716" s="57">
        <f>[1]DETAY!$A$2</f>
        <v>0</v>
      </c>
      <c r="F1716" s="90">
        <f t="shared" si="129"/>
        <v>0</v>
      </c>
      <c r="G1716" s="92">
        <f t="shared" si="130"/>
        <v>0</v>
      </c>
      <c r="H1716" s="62" t="e">
        <f t="shared" si="131"/>
        <v>#DIV/0!</v>
      </c>
      <c r="I1716" s="57"/>
      <c r="J1716" s="57"/>
      <c r="K1716" s="57"/>
      <c r="L1716" s="57"/>
      <c r="M1716" s="58"/>
      <c r="N1716" s="57"/>
      <c r="O1716" s="57"/>
      <c r="P1716" s="57"/>
      <c r="Q1716" s="57"/>
      <c r="R1716" s="57"/>
      <c r="S1716" s="61"/>
      <c r="T1716" s="57"/>
      <c r="U1716" s="57"/>
      <c r="V1716" s="57"/>
      <c r="W1716" s="57"/>
      <c r="X1716" s="57"/>
      <c r="Y1716" s="57"/>
      <c r="Z1716" s="57"/>
      <c r="AA1716" s="57"/>
      <c r="AB1716" s="57"/>
      <c r="AC1716" s="57"/>
      <c r="AD1716" s="57"/>
      <c r="AE1716" s="57"/>
      <c r="AF1716" s="57"/>
      <c r="AG1716" s="57"/>
      <c r="AH1716" s="57"/>
      <c r="AI1716" s="57"/>
      <c r="AJ1716" s="57"/>
      <c r="AK1716" s="57"/>
      <c r="AL1716" s="57"/>
      <c r="AM1716" s="57"/>
      <c r="AN1716" s="57"/>
      <c r="AO1716" s="57"/>
      <c r="AP1716" s="57"/>
      <c r="AQ1716" s="57"/>
      <c r="AR1716" s="57"/>
      <c r="AS1716" s="57"/>
      <c r="AT1716" s="57"/>
      <c r="AU1716" s="57"/>
      <c r="AV1716" s="57"/>
      <c r="AW1716" s="57"/>
      <c r="AX1716" s="57"/>
      <c r="AY1716" s="57"/>
      <c r="AZ1716" s="57"/>
      <c r="BA1716" s="57"/>
      <c r="BB1716" s="57"/>
      <c r="BC1716" s="57"/>
      <c r="BD1716" s="57"/>
      <c r="BE1716" s="57"/>
      <c r="BF1716" s="57"/>
    </row>
    <row r="1717" spans="1:58" s="52" customFormat="1" x14ac:dyDescent="0.25">
      <c r="A1717" s="53"/>
      <c r="B1717" s="60"/>
      <c r="C1717" s="57">
        <f t="shared" si="128"/>
        <v>0</v>
      </c>
      <c r="D1717" s="56"/>
      <c r="E1717" s="57">
        <f>[1]DETAY!$A$2</f>
        <v>0</v>
      </c>
      <c r="F1717" s="90">
        <f t="shared" si="129"/>
        <v>0</v>
      </c>
      <c r="G1717" s="92">
        <f t="shared" si="130"/>
        <v>0</v>
      </c>
      <c r="H1717" s="62" t="e">
        <f t="shared" si="131"/>
        <v>#DIV/0!</v>
      </c>
      <c r="I1717" s="57"/>
      <c r="J1717" s="57"/>
      <c r="K1717" s="57"/>
      <c r="L1717" s="57"/>
      <c r="M1717" s="58"/>
      <c r="N1717" s="57"/>
      <c r="O1717" s="57"/>
      <c r="P1717" s="57"/>
      <c r="Q1717" s="57"/>
      <c r="R1717" s="57"/>
      <c r="S1717" s="61"/>
      <c r="T1717" s="57"/>
      <c r="U1717" s="57"/>
      <c r="V1717" s="57"/>
      <c r="W1717" s="57"/>
      <c r="X1717" s="57"/>
      <c r="Y1717" s="57"/>
      <c r="Z1717" s="57"/>
      <c r="AA1717" s="57"/>
      <c r="AB1717" s="57"/>
      <c r="AC1717" s="57"/>
      <c r="AD1717" s="57"/>
      <c r="AE1717" s="57"/>
      <c r="AF1717" s="57"/>
      <c r="AG1717" s="57"/>
      <c r="AH1717" s="57"/>
      <c r="AI1717" s="57"/>
      <c r="AJ1717" s="57"/>
      <c r="AK1717" s="57"/>
      <c r="AL1717" s="57"/>
      <c r="AM1717" s="57"/>
      <c r="AN1717" s="57"/>
      <c r="AO1717" s="57"/>
      <c r="AP1717" s="57"/>
      <c r="AQ1717" s="57"/>
      <c r="AR1717" s="57"/>
      <c r="AS1717" s="57"/>
      <c r="AT1717" s="57"/>
      <c r="AU1717" s="57"/>
      <c r="AV1717" s="57"/>
      <c r="AW1717" s="57"/>
      <c r="AX1717" s="57"/>
      <c r="AY1717" s="57"/>
      <c r="AZ1717" s="57"/>
      <c r="BA1717" s="57"/>
      <c r="BB1717" s="57"/>
      <c r="BC1717" s="57"/>
      <c r="BD1717" s="57"/>
      <c r="BE1717" s="57"/>
      <c r="BF1717" s="57"/>
    </row>
    <row r="1718" spans="1:58" s="52" customFormat="1" x14ac:dyDescent="0.25">
      <c r="A1718" s="53"/>
      <c r="B1718" s="60"/>
      <c r="C1718" s="57">
        <f t="shared" si="128"/>
        <v>0</v>
      </c>
      <c r="D1718" s="56"/>
      <c r="E1718" s="57">
        <f>[1]DETAY!$A$2</f>
        <v>0</v>
      </c>
      <c r="F1718" s="90">
        <f t="shared" si="129"/>
        <v>0</v>
      </c>
      <c r="G1718" s="92">
        <f t="shared" si="130"/>
        <v>0</v>
      </c>
      <c r="H1718" s="62" t="e">
        <f t="shared" si="131"/>
        <v>#DIV/0!</v>
      </c>
      <c r="I1718" s="57"/>
      <c r="J1718" s="57"/>
      <c r="K1718" s="57"/>
      <c r="L1718" s="57"/>
      <c r="M1718" s="58"/>
      <c r="N1718" s="57"/>
      <c r="O1718" s="57"/>
      <c r="P1718" s="57"/>
      <c r="Q1718" s="57"/>
      <c r="R1718" s="57"/>
      <c r="S1718" s="61"/>
      <c r="T1718" s="57"/>
      <c r="U1718" s="57"/>
      <c r="V1718" s="57"/>
      <c r="W1718" s="57"/>
      <c r="X1718" s="57"/>
      <c r="Y1718" s="57"/>
      <c r="Z1718" s="57"/>
      <c r="AA1718" s="57"/>
      <c r="AB1718" s="57"/>
      <c r="AC1718" s="57"/>
      <c r="AD1718" s="57"/>
      <c r="AE1718" s="57"/>
      <c r="AF1718" s="57"/>
      <c r="AG1718" s="57"/>
      <c r="AH1718" s="57"/>
      <c r="AI1718" s="57"/>
      <c r="AJ1718" s="57"/>
      <c r="AK1718" s="57"/>
      <c r="AL1718" s="57"/>
      <c r="AM1718" s="57"/>
      <c r="AN1718" s="57"/>
      <c r="AO1718" s="57"/>
      <c r="AP1718" s="57"/>
      <c r="AQ1718" s="57"/>
      <c r="AR1718" s="57"/>
      <c r="AS1718" s="57"/>
      <c r="AT1718" s="57"/>
      <c r="AU1718" s="57"/>
      <c r="AV1718" s="57"/>
      <c r="AW1718" s="57"/>
      <c r="AX1718" s="57"/>
      <c r="AY1718" s="57"/>
      <c r="AZ1718" s="57"/>
      <c r="BA1718" s="57"/>
      <c r="BB1718" s="57"/>
      <c r="BC1718" s="57"/>
      <c r="BD1718" s="57"/>
      <c r="BE1718" s="57"/>
      <c r="BF1718" s="57"/>
    </row>
    <row r="1719" spans="1:58" s="52" customFormat="1" x14ac:dyDescent="0.25">
      <c r="A1719" s="53"/>
      <c r="B1719" s="60"/>
      <c r="C1719" s="57">
        <f t="shared" si="128"/>
        <v>0</v>
      </c>
      <c r="D1719" s="56"/>
      <c r="E1719" s="57">
        <f>[1]DETAY!$A$2</f>
        <v>0</v>
      </c>
      <c r="F1719" s="90">
        <f t="shared" si="129"/>
        <v>0</v>
      </c>
      <c r="G1719" s="92">
        <f t="shared" si="130"/>
        <v>0</v>
      </c>
      <c r="H1719" s="62" t="e">
        <f t="shared" si="131"/>
        <v>#DIV/0!</v>
      </c>
      <c r="I1719" s="57"/>
      <c r="J1719" s="57"/>
      <c r="K1719" s="57"/>
      <c r="L1719" s="57"/>
      <c r="M1719" s="58"/>
      <c r="N1719" s="57"/>
      <c r="O1719" s="57"/>
      <c r="P1719" s="57"/>
      <c r="Q1719" s="57"/>
      <c r="R1719" s="57"/>
      <c r="S1719" s="61"/>
      <c r="T1719" s="57"/>
      <c r="U1719" s="57"/>
      <c r="V1719" s="57"/>
      <c r="W1719" s="57"/>
      <c r="X1719" s="57"/>
      <c r="Y1719" s="57"/>
      <c r="Z1719" s="57"/>
      <c r="AA1719" s="57"/>
      <c r="AB1719" s="57"/>
      <c r="AC1719" s="57"/>
      <c r="AD1719" s="57"/>
      <c r="AE1719" s="57"/>
      <c r="AF1719" s="57"/>
      <c r="AG1719" s="57"/>
      <c r="AH1719" s="57"/>
      <c r="AI1719" s="57"/>
      <c r="AJ1719" s="57"/>
      <c r="AK1719" s="57"/>
      <c r="AL1719" s="57"/>
      <c r="AM1719" s="57"/>
      <c r="AN1719" s="57"/>
      <c r="AO1719" s="57"/>
      <c r="AP1719" s="57"/>
      <c r="AQ1719" s="57"/>
      <c r="AR1719" s="57"/>
      <c r="AS1719" s="57"/>
      <c r="AT1719" s="57"/>
      <c r="AU1719" s="57"/>
      <c r="AV1719" s="57"/>
      <c r="AW1719" s="57"/>
      <c r="AX1719" s="57"/>
      <c r="AY1719" s="57"/>
      <c r="AZ1719" s="57"/>
      <c r="BA1719" s="57"/>
      <c r="BB1719" s="57"/>
      <c r="BC1719" s="57"/>
      <c r="BD1719" s="57"/>
      <c r="BE1719" s="57"/>
      <c r="BF1719" s="57"/>
    </row>
    <row r="1720" spans="1:58" s="52" customFormat="1" x14ac:dyDescent="0.25">
      <c r="A1720" s="53"/>
      <c r="B1720" s="60"/>
      <c r="C1720" s="57">
        <f t="shared" si="128"/>
        <v>0</v>
      </c>
      <c r="D1720" s="56"/>
      <c r="E1720" s="57">
        <f>[1]DETAY!$A$2</f>
        <v>0</v>
      </c>
      <c r="F1720" s="90">
        <f t="shared" si="129"/>
        <v>0</v>
      </c>
      <c r="G1720" s="92">
        <f t="shared" si="130"/>
        <v>0</v>
      </c>
      <c r="H1720" s="62" t="e">
        <f t="shared" si="131"/>
        <v>#DIV/0!</v>
      </c>
      <c r="I1720" s="57"/>
      <c r="J1720" s="57"/>
      <c r="K1720" s="57"/>
      <c r="L1720" s="57"/>
      <c r="M1720" s="58"/>
      <c r="N1720" s="57"/>
      <c r="O1720" s="57"/>
      <c r="P1720" s="57"/>
      <c r="Q1720" s="57"/>
      <c r="R1720" s="57"/>
      <c r="S1720" s="61"/>
      <c r="T1720" s="57"/>
      <c r="U1720" s="57"/>
      <c r="V1720" s="57"/>
      <c r="W1720" s="57"/>
      <c r="X1720" s="57"/>
      <c r="Y1720" s="57"/>
      <c r="Z1720" s="57"/>
      <c r="AA1720" s="57"/>
      <c r="AB1720" s="57"/>
      <c r="AC1720" s="57"/>
      <c r="AD1720" s="57"/>
      <c r="AE1720" s="57"/>
      <c r="AF1720" s="57"/>
      <c r="AG1720" s="57"/>
      <c r="AH1720" s="57"/>
      <c r="AI1720" s="57"/>
      <c r="AJ1720" s="57"/>
      <c r="AK1720" s="57"/>
      <c r="AL1720" s="57"/>
      <c r="AM1720" s="57"/>
      <c r="AN1720" s="57"/>
      <c r="AO1720" s="57"/>
      <c r="AP1720" s="57"/>
      <c r="AQ1720" s="57"/>
      <c r="AR1720" s="57"/>
      <c r="AS1720" s="57"/>
      <c r="AT1720" s="57"/>
      <c r="AU1720" s="57"/>
      <c r="AV1720" s="57"/>
      <c r="AW1720" s="57"/>
      <c r="AX1720" s="57"/>
      <c r="AY1720" s="57"/>
      <c r="AZ1720" s="57"/>
      <c r="BA1720" s="57"/>
      <c r="BB1720" s="57"/>
      <c r="BC1720" s="57"/>
      <c r="BD1720" s="57"/>
      <c r="BE1720" s="57"/>
      <c r="BF1720" s="57"/>
    </row>
    <row r="1721" spans="1:58" s="52" customFormat="1" x14ac:dyDescent="0.25">
      <c r="A1721" s="53"/>
      <c r="B1721" s="60"/>
      <c r="C1721" s="57">
        <f t="shared" si="128"/>
        <v>0</v>
      </c>
      <c r="D1721" s="56"/>
      <c r="E1721" s="57">
        <f>[1]DETAY!$A$2</f>
        <v>0</v>
      </c>
      <c r="F1721" s="90">
        <f t="shared" si="129"/>
        <v>0</v>
      </c>
      <c r="G1721" s="92">
        <f t="shared" si="130"/>
        <v>0</v>
      </c>
      <c r="H1721" s="62" t="e">
        <f t="shared" si="131"/>
        <v>#DIV/0!</v>
      </c>
      <c r="I1721" s="57"/>
      <c r="J1721" s="57"/>
      <c r="K1721" s="57"/>
      <c r="L1721" s="57"/>
      <c r="M1721" s="58"/>
      <c r="N1721" s="57"/>
      <c r="O1721" s="57"/>
      <c r="P1721" s="57"/>
      <c r="Q1721" s="57"/>
      <c r="R1721" s="57"/>
      <c r="S1721" s="61"/>
      <c r="T1721" s="57"/>
      <c r="U1721" s="57"/>
      <c r="V1721" s="57"/>
      <c r="W1721" s="57"/>
      <c r="X1721" s="57"/>
      <c r="Y1721" s="57"/>
      <c r="Z1721" s="57"/>
      <c r="AA1721" s="57"/>
      <c r="AB1721" s="57"/>
      <c r="AC1721" s="57"/>
      <c r="AD1721" s="57"/>
      <c r="AE1721" s="57"/>
      <c r="AF1721" s="57"/>
      <c r="AG1721" s="57"/>
      <c r="AH1721" s="57"/>
      <c r="AI1721" s="57"/>
      <c r="AJ1721" s="57"/>
      <c r="AK1721" s="57"/>
      <c r="AL1721" s="57"/>
      <c r="AM1721" s="57"/>
      <c r="AN1721" s="57"/>
      <c r="AO1721" s="57"/>
      <c r="AP1721" s="57"/>
      <c r="AQ1721" s="57"/>
      <c r="AR1721" s="57"/>
      <c r="AS1721" s="57"/>
      <c r="AT1721" s="57"/>
      <c r="AU1721" s="57"/>
      <c r="AV1721" s="57"/>
      <c r="AW1721" s="57"/>
      <c r="AX1721" s="57"/>
      <c r="AY1721" s="57"/>
      <c r="AZ1721" s="57"/>
      <c r="BA1721" s="57"/>
      <c r="BB1721" s="57"/>
      <c r="BC1721" s="57"/>
      <c r="BD1721" s="57"/>
      <c r="BE1721" s="57"/>
      <c r="BF1721" s="57"/>
    </row>
    <row r="1722" spans="1:58" s="52" customFormat="1" x14ac:dyDescent="0.25">
      <c r="A1722" s="53"/>
      <c r="B1722" s="60"/>
      <c r="C1722" s="57">
        <f t="shared" si="128"/>
        <v>0</v>
      </c>
      <c r="D1722" s="56"/>
      <c r="E1722" s="57">
        <f>[1]DETAY!$A$2</f>
        <v>0</v>
      </c>
      <c r="F1722" s="90">
        <f t="shared" si="129"/>
        <v>0</v>
      </c>
      <c r="G1722" s="92">
        <f t="shared" si="130"/>
        <v>0</v>
      </c>
      <c r="H1722" s="62" t="e">
        <f t="shared" si="131"/>
        <v>#DIV/0!</v>
      </c>
      <c r="I1722" s="57"/>
      <c r="J1722" s="57"/>
      <c r="K1722" s="57"/>
      <c r="L1722" s="57"/>
      <c r="M1722" s="58"/>
      <c r="N1722" s="57"/>
      <c r="O1722" s="57"/>
      <c r="P1722" s="57"/>
      <c r="Q1722" s="57"/>
      <c r="R1722" s="57"/>
      <c r="S1722" s="61"/>
      <c r="T1722" s="57"/>
      <c r="U1722" s="57"/>
      <c r="V1722" s="57"/>
      <c r="W1722" s="57"/>
      <c r="X1722" s="57"/>
      <c r="Y1722" s="57"/>
      <c r="Z1722" s="57"/>
      <c r="AA1722" s="57"/>
      <c r="AB1722" s="57"/>
      <c r="AC1722" s="57"/>
      <c r="AD1722" s="57"/>
      <c r="AE1722" s="57"/>
      <c r="AF1722" s="57"/>
      <c r="AG1722" s="57"/>
      <c r="AH1722" s="57"/>
      <c r="AI1722" s="57"/>
      <c r="AJ1722" s="57"/>
      <c r="AK1722" s="57"/>
      <c r="AL1722" s="57"/>
      <c r="AM1722" s="57"/>
      <c r="AN1722" s="57"/>
      <c r="AO1722" s="57"/>
      <c r="AP1722" s="57"/>
      <c r="AQ1722" s="57"/>
      <c r="AR1722" s="57"/>
      <c r="AS1722" s="57"/>
      <c r="AT1722" s="57"/>
      <c r="AU1722" s="57"/>
      <c r="AV1722" s="57"/>
      <c r="AW1722" s="57"/>
      <c r="AX1722" s="57"/>
      <c r="AY1722" s="57"/>
      <c r="AZ1722" s="57"/>
      <c r="BA1722" s="57"/>
      <c r="BB1722" s="57"/>
      <c r="BC1722" s="57"/>
      <c r="BD1722" s="57"/>
      <c r="BE1722" s="57"/>
      <c r="BF1722" s="57"/>
    </row>
    <row r="1723" spans="1:58" s="52" customFormat="1" x14ac:dyDescent="0.25">
      <c r="A1723" s="53"/>
      <c r="B1723" s="60"/>
      <c r="C1723" s="57">
        <f t="shared" si="128"/>
        <v>0</v>
      </c>
      <c r="D1723" s="56"/>
      <c r="E1723" s="57">
        <f>[1]DETAY!$A$2</f>
        <v>0</v>
      </c>
      <c r="F1723" s="90">
        <f t="shared" si="129"/>
        <v>0</v>
      </c>
      <c r="G1723" s="92">
        <f t="shared" si="130"/>
        <v>0</v>
      </c>
      <c r="H1723" s="62" t="e">
        <f t="shared" si="131"/>
        <v>#DIV/0!</v>
      </c>
      <c r="I1723" s="57"/>
      <c r="J1723" s="57"/>
      <c r="K1723" s="57"/>
      <c r="L1723" s="57"/>
      <c r="M1723" s="58"/>
      <c r="N1723" s="57"/>
      <c r="O1723" s="57"/>
      <c r="P1723" s="57"/>
      <c r="Q1723" s="57"/>
      <c r="R1723" s="57"/>
      <c r="S1723" s="61"/>
      <c r="T1723" s="57"/>
      <c r="U1723" s="57"/>
      <c r="V1723" s="57"/>
      <c r="W1723" s="57"/>
      <c r="X1723" s="57"/>
      <c r="Y1723" s="57"/>
      <c r="Z1723" s="57"/>
      <c r="AA1723" s="57"/>
      <c r="AB1723" s="57"/>
      <c r="AC1723" s="57"/>
      <c r="AD1723" s="57"/>
      <c r="AE1723" s="57"/>
      <c r="AF1723" s="57"/>
      <c r="AG1723" s="57"/>
      <c r="AH1723" s="57"/>
      <c r="AI1723" s="57"/>
      <c r="AJ1723" s="57"/>
      <c r="AK1723" s="57"/>
      <c r="AL1723" s="57"/>
      <c r="AM1723" s="57"/>
      <c r="AN1723" s="57"/>
      <c r="AO1723" s="57"/>
      <c r="AP1723" s="57"/>
      <c r="AQ1723" s="57"/>
      <c r="AR1723" s="57"/>
      <c r="AS1723" s="57"/>
      <c r="AT1723" s="57"/>
      <c r="AU1723" s="57"/>
      <c r="AV1723" s="57"/>
      <c r="AW1723" s="57"/>
      <c r="AX1723" s="57"/>
      <c r="AY1723" s="57"/>
      <c r="AZ1723" s="57"/>
      <c r="BA1723" s="57"/>
      <c r="BB1723" s="57"/>
      <c r="BC1723" s="57"/>
      <c r="BD1723" s="57"/>
      <c r="BE1723" s="57"/>
      <c r="BF1723" s="57"/>
    </row>
    <row r="1724" spans="1:58" s="52" customFormat="1" x14ac:dyDescent="0.25">
      <c r="A1724" s="53"/>
      <c r="B1724" s="60"/>
      <c r="C1724" s="57">
        <f t="shared" si="128"/>
        <v>0</v>
      </c>
      <c r="D1724" s="56"/>
      <c r="E1724" s="57">
        <f>[1]DETAY!$A$2</f>
        <v>0</v>
      </c>
      <c r="F1724" s="90">
        <f t="shared" si="129"/>
        <v>0</v>
      </c>
      <c r="G1724" s="92">
        <f t="shared" si="130"/>
        <v>0</v>
      </c>
      <c r="H1724" s="62" t="e">
        <f t="shared" si="131"/>
        <v>#DIV/0!</v>
      </c>
      <c r="I1724" s="57"/>
      <c r="J1724" s="57"/>
      <c r="K1724" s="57"/>
      <c r="L1724" s="57"/>
      <c r="M1724" s="58"/>
      <c r="N1724" s="57"/>
      <c r="O1724" s="57"/>
      <c r="P1724" s="57"/>
      <c r="Q1724" s="57"/>
      <c r="R1724" s="57"/>
      <c r="S1724" s="61"/>
      <c r="T1724" s="57"/>
      <c r="U1724" s="57"/>
      <c r="V1724" s="57"/>
      <c r="W1724" s="57"/>
      <c r="X1724" s="57"/>
      <c r="Y1724" s="57"/>
      <c r="Z1724" s="57"/>
      <c r="AA1724" s="57"/>
      <c r="AB1724" s="57"/>
      <c r="AC1724" s="57"/>
      <c r="AD1724" s="57"/>
      <c r="AE1724" s="57"/>
      <c r="AF1724" s="57"/>
      <c r="AG1724" s="57"/>
      <c r="AH1724" s="57"/>
      <c r="AI1724" s="57"/>
      <c r="AJ1724" s="57"/>
      <c r="AK1724" s="57"/>
      <c r="AL1724" s="57"/>
      <c r="AM1724" s="57"/>
      <c r="AN1724" s="57"/>
      <c r="AO1724" s="57"/>
      <c r="AP1724" s="57"/>
      <c r="AQ1724" s="57"/>
      <c r="AR1724" s="57"/>
      <c r="AS1724" s="57"/>
      <c r="AT1724" s="57"/>
      <c r="AU1724" s="57"/>
      <c r="AV1724" s="57"/>
      <c r="AW1724" s="57"/>
      <c r="AX1724" s="57"/>
      <c r="AY1724" s="57"/>
      <c r="AZ1724" s="57"/>
      <c r="BA1724" s="57"/>
      <c r="BB1724" s="57"/>
      <c r="BC1724" s="57"/>
      <c r="BD1724" s="57"/>
      <c r="BE1724" s="57"/>
      <c r="BF1724" s="57"/>
    </row>
    <row r="1725" spans="1:58" s="52" customFormat="1" x14ac:dyDescent="0.25">
      <c r="A1725" s="53"/>
      <c r="B1725" s="60"/>
      <c r="C1725" s="57">
        <f t="shared" si="128"/>
        <v>0</v>
      </c>
      <c r="D1725" s="56"/>
      <c r="E1725" s="57">
        <f>[1]DETAY!$A$2</f>
        <v>0</v>
      </c>
      <c r="F1725" s="90">
        <f t="shared" si="129"/>
        <v>0</v>
      </c>
      <c r="G1725" s="92">
        <f t="shared" si="130"/>
        <v>0</v>
      </c>
      <c r="H1725" s="62" t="e">
        <f t="shared" si="131"/>
        <v>#DIV/0!</v>
      </c>
      <c r="I1725" s="57"/>
      <c r="J1725" s="57"/>
      <c r="K1725" s="57"/>
      <c r="L1725" s="57"/>
      <c r="M1725" s="58"/>
      <c r="N1725" s="57"/>
      <c r="O1725" s="57"/>
      <c r="P1725" s="57"/>
      <c r="Q1725" s="57"/>
      <c r="R1725" s="57"/>
      <c r="S1725" s="61"/>
      <c r="T1725" s="57"/>
      <c r="U1725" s="57"/>
      <c r="V1725" s="57"/>
      <c r="W1725" s="57"/>
      <c r="X1725" s="57"/>
      <c r="Y1725" s="57"/>
      <c r="Z1725" s="57"/>
      <c r="AA1725" s="57"/>
      <c r="AB1725" s="57"/>
      <c r="AC1725" s="57"/>
      <c r="AD1725" s="57"/>
      <c r="AE1725" s="57"/>
      <c r="AF1725" s="57"/>
      <c r="AG1725" s="57"/>
      <c r="AH1725" s="57"/>
      <c r="AI1725" s="57"/>
      <c r="AJ1725" s="57"/>
      <c r="AK1725" s="57"/>
      <c r="AL1725" s="57"/>
      <c r="AM1725" s="57"/>
      <c r="AN1725" s="57"/>
      <c r="AO1725" s="57"/>
      <c r="AP1725" s="57"/>
      <c r="AQ1725" s="57"/>
      <c r="AR1725" s="57"/>
      <c r="AS1725" s="57"/>
      <c r="AT1725" s="57"/>
      <c r="AU1725" s="57"/>
      <c r="AV1725" s="57"/>
      <c r="AW1725" s="57"/>
      <c r="AX1725" s="57"/>
      <c r="AY1725" s="57"/>
      <c r="AZ1725" s="57"/>
      <c r="BA1725" s="57"/>
      <c r="BB1725" s="57"/>
      <c r="BC1725" s="57"/>
      <c r="BD1725" s="57"/>
      <c r="BE1725" s="57"/>
      <c r="BF1725" s="57"/>
    </row>
    <row r="1726" spans="1:58" s="52" customFormat="1" x14ac:dyDescent="0.25">
      <c r="A1726" s="53"/>
      <c r="B1726" s="60"/>
      <c r="C1726" s="57">
        <f t="shared" si="128"/>
        <v>0</v>
      </c>
      <c r="D1726" s="56"/>
      <c r="E1726" s="57">
        <f>[1]DETAY!$A$2</f>
        <v>0</v>
      </c>
      <c r="F1726" s="90">
        <f t="shared" si="129"/>
        <v>0</v>
      </c>
      <c r="G1726" s="92">
        <f t="shared" si="130"/>
        <v>0</v>
      </c>
      <c r="H1726" s="62" t="e">
        <f t="shared" si="131"/>
        <v>#DIV/0!</v>
      </c>
      <c r="I1726" s="57"/>
      <c r="J1726" s="57"/>
      <c r="K1726" s="57"/>
      <c r="L1726" s="57"/>
      <c r="M1726" s="58"/>
      <c r="N1726" s="57"/>
      <c r="O1726" s="57"/>
      <c r="P1726" s="57"/>
      <c r="Q1726" s="57"/>
      <c r="R1726" s="57"/>
      <c r="S1726" s="61"/>
      <c r="T1726" s="57"/>
      <c r="U1726" s="57"/>
      <c r="V1726" s="57"/>
      <c r="W1726" s="57"/>
      <c r="X1726" s="57"/>
      <c r="Y1726" s="57"/>
      <c r="Z1726" s="57"/>
      <c r="AA1726" s="57"/>
      <c r="AB1726" s="57"/>
      <c r="AC1726" s="57"/>
      <c r="AD1726" s="57"/>
      <c r="AE1726" s="57"/>
      <c r="AF1726" s="57"/>
      <c r="AG1726" s="57"/>
      <c r="AH1726" s="57"/>
      <c r="AI1726" s="57"/>
      <c r="AJ1726" s="57"/>
      <c r="AK1726" s="57"/>
      <c r="AL1726" s="57"/>
      <c r="AM1726" s="57"/>
      <c r="AN1726" s="57"/>
      <c r="AO1726" s="57"/>
      <c r="AP1726" s="57"/>
      <c r="AQ1726" s="57"/>
      <c r="AR1726" s="57"/>
      <c r="AS1726" s="57"/>
      <c r="AT1726" s="57"/>
      <c r="AU1726" s="57"/>
      <c r="AV1726" s="57"/>
      <c r="AW1726" s="57"/>
      <c r="AX1726" s="57"/>
      <c r="AY1726" s="57"/>
      <c r="AZ1726" s="57"/>
      <c r="BA1726" s="57"/>
      <c r="BB1726" s="57"/>
      <c r="BC1726" s="57"/>
      <c r="BD1726" s="57"/>
      <c r="BE1726" s="57"/>
      <c r="BF1726" s="57"/>
    </row>
    <row r="1727" spans="1:58" s="52" customFormat="1" x14ac:dyDescent="0.25">
      <c r="A1727" s="53"/>
      <c r="B1727" s="60"/>
      <c r="C1727" s="57">
        <f t="shared" si="128"/>
        <v>0</v>
      </c>
      <c r="D1727" s="56"/>
      <c r="E1727" s="57">
        <f>[1]DETAY!$A$2</f>
        <v>0</v>
      </c>
      <c r="F1727" s="90">
        <f t="shared" si="129"/>
        <v>0</v>
      </c>
      <c r="G1727" s="92">
        <f t="shared" si="130"/>
        <v>0</v>
      </c>
      <c r="H1727" s="62" t="e">
        <f t="shared" si="131"/>
        <v>#DIV/0!</v>
      </c>
      <c r="I1727" s="57"/>
      <c r="J1727" s="57"/>
      <c r="K1727" s="57"/>
      <c r="L1727" s="57"/>
      <c r="M1727" s="58"/>
      <c r="N1727" s="57"/>
      <c r="O1727" s="57"/>
      <c r="P1727" s="57"/>
      <c r="Q1727" s="57"/>
      <c r="R1727" s="57"/>
      <c r="S1727" s="61"/>
      <c r="T1727" s="57"/>
      <c r="U1727" s="57"/>
      <c r="V1727" s="57"/>
      <c r="W1727" s="57"/>
      <c r="X1727" s="57"/>
      <c r="Y1727" s="57"/>
      <c r="Z1727" s="57"/>
      <c r="AA1727" s="57"/>
      <c r="AB1727" s="57"/>
      <c r="AC1727" s="57"/>
      <c r="AD1727" s="57"/>
      <c r="AE1727" s="57"/>
      <c r="AF1727" s="57"/>
      <c r="AG1727" s="57"/>
      <c r="AH1727" s="57"/>
      <c r="AI1727" s="57"/>
      <c r="AJ1727" s="57"/>
      <c r="AK1727" s="57"/>
      <c r="AL1727" s="57"/>
      <c r="AM1727" s="57"/>
      <c r="AN1727" s="57"/>
      <c r="AO1727" s="57"/>
      <c r="AP1727" s="57"/>
      <c r="AQ1727" s="57"/>
      <c r="AR1727" s="57"/>
      <c r="AS1727" s="57"/>
      <c r="AT1727" s="57"/>
      <c r="AU1727" s="57"/>
      <c r="AV1727" s="57"/>
      <c r="AW1727" s="57"/>
      <c r="AX1727" s="57"/>
      <c r="AY1727" s="57"/>
      <c r="AZ1727" s="57"/>
      <c r="BA1727" s="57"/>
      <c r="BB1727" s="57"/>
      <c r="BC1727" s="57"/>
      <c r="BD1727" s="57"/>
      <c r="BE1727" s="57"/>
      <c r="BF1727" s="57"/>
    </row>
    <row r="1728" spans="1:58" s="52" customFormat="1" x14ac:dyDescent="0.25">
      <c r="A1728" s="53"/>
      <c r="B1728" s="60"/>
      <c r="C1728" s="57">
        <f t="shared" si="128"/>
        <v>0</v>
      </c>
      <c r="D1728" s="56"/>
      <c r="E1728" s="57">
        <f>[1]DETAY!$A$2</f>
        <v>0</v>
      </c>
      <c r="F1728" s="90">
        <f t="shared" si="129"/>
        <v>0</v>
      </c>
      <c r="G1728" s="92">
        <f t="shared" si="130"/>
        <v>0</v>
      </c>
      <c r="H1728" s="62" t="e">
        <f t="shared" si="131"/>
        <v>#DIV/0!</v>
      </c>
      <c r="I1728" s="57"/>
      <c r="J1728" s="57"/>
      <c r="K1728" s="57"/>
      <c r="L1728" s="57"/>
      <c r="M1728" s="58"/>
      <c r="N1728" s="57"/>
      <c r="O1728" s="57"/>
      <c r="P1728" s="57"/>
      <c r="Q1728" s="57"/>
      <c r="R1728" s="57"/>
      <c r="S1728" s="61"/>
      <c r="T1728" s="57"/>
      <c r="U1728" s="57"/>
      <c r="V1728" s="57"/>
      <c r="W1728" s="57"/>
      <c r="X1728" s="57"/>
      <c r="Y1728" s="57"/>
      <c r="Z1728" s="57"/>
      <c r="AA1728" s="57"/>
      <c r="AB1728" s="57"/>
      <c r="AC1728" s="57"/>
      <c r="AD1728" s="57"/>
      <c r="AE1728" s="57"/>
      <c r="AF1728" s="57"/>
      <c r="AG1728" s="57"/>
      <c r="AH1728" s="57"/>
      <c r="AI1728" s="57"/>
      <c r="AJ1728" s="57"/>
      <c r="AK1728" s="57"/>
      <c r="AL1728" s="57"/>
      <c r="AM1728" s="57"/>
      <c r="AN1728" s="57"/>
      <c r="AO1728" s="57"/>
      <c r="AP1728" s="57"/>
      <c r="AQ1728" s="57"/>
      <c r="AR1728" s="57"/>
      <c r="AS1728" s="57"/>
      <c r="AT1728" s="57"/>
      <c r="AU1728" s="57"/>
      <c r="AV1728" s="57"/>
      <c r="AW1728" s="57"/>
      <c r="AX1728" s="57"/>
      <c r="AY1728" s="57"/>
      <c r="AZ1728" s="57"/>
      <c r="BA1728" s="57"/>
      <c r="BB1728" s="57"/>
      <c r="BC1728" s="57"/>
      <c r="BD1728" s="57"/>
      <c r="BE1728" s="57"/>
      <c r="BF1728" s="57"/>
    </row>
    <row r="1729" spans="1:58" s="52" customFormat="1" x14ac:dyDescent="0.25">
      <c r="A1729" s="53"/>
      <c r="B1729" s="60"/>
      <c r="C1729" s="57">
        <f t="shared" si="128"/>
        <v>0</v>
      </c>
      <c r="D1729" s="56"/>
      <c r="E1729" s="57">
        <f>[1]DETAY!$A$2</f>
        <v>0</v>
      </c>
      <c r="F1729" s="90">
        <f t="shared" si="129"/>
        <v>0</v>
      </c>
      <c r="G1729" s="92">
        <f t="shared" si="130"/>
        <v>0</v>
      </c>
      <c r="H1729" s="62" t="e">
        <f t="shared" si="131"/>
        <v>#DIV/0!</v>
      </c>
      <c r="I1729" s="57"/>
      <c r="J1729" s="57"/>
      <c r="K1729" s="57"/>
      <c r="L1729" s="57"/>
      <c r="M1729" s="58"/>
      <c r="N1729" s="57"/>
      <c r="O1729" s="57"/>
      <c r="P1729" s="57"/>
      <c r="Q1729" s="57"/>
      <c r="R1729" s="57"/>
      <c r="S1729" s="61"/>
      <c r="T1729" s="57"/>
      <c r="U1729" s="57"/>
      <c r="V1729" s="57"/>
      <c r="W1729" s="57"/>
      <c r="X1729" s="57"/>
      <c r="Y1729" s="57"/>
      <c r="Z1729" s="57"/>
      <c r="AA1729" s="57"/>
      <c r="AB1729" s="57"/>
      <c r="AC1729" s="57"/>
      <c r="AD1729" s="57"/>
      <c r="AE1729" s="57"/>
      <c r="AF1729" s="57"/>
      <c r="AG1729" s="57"/>
      <c r="AH1729" s="57"/>
      <c r="AI1729" s="57"/>
      <c r="AJ1729" s="57"/>
      <c r="AK1729" s="57"/>
      <c r="AL1729" s="57"/>
      <c r="AM1729" s="57"/>
      <c r="AN1729" s="57"/>
      <c r="AO1729" s="57"/>
      <c r="AP1729" s="57"/>
      <c r="AQ1729" s="57"/>
      <c r="AR1729" s="57"/>
      <c r="AS1729" s="57"/>
      <c r="AT1729" s="57"/>
      <c r="AU1729" s="57"/>
      <c r="AV1729" s="57"/>
      <c r="AW1729" s="57"/>
      <c r="AX1729" s="57"/>
      <c r="AY1729" s="57"/>
      <c r="AZ1729" s="57"/>
      <c r="BA1729" s="57"/>
      <c r="BB1729" s="57"/>
      <c r="BC1729" s="57"/>
      <c r="BD1729" s="57"/>
      <c r="BE1729" s="57"/>
      <c r="BF1729" s="57"/>
    </row>
    <row r="1730" spans="1:58" s="52" customFormat="1" x14ac:dyDescent="0.25">
      <c r="A1730" s="53"/>
      <c r="B1730" s="60"/>
      <c r="C1730" s="57">
        <f t="shared" si="128"/>
        <v>0</v>
      </c>
      <c r="D1730" s="56"/>
      <c r="E1730" s="57">
        <f>[1]DETAY!$A$2</f>
        <v>0</v>
      </c>
      <c r="F1730" s="90">
        <f t="shared" si="129"/>
        <v>0</v>
      </c>
      <c r="G1730" s="92">
        <f t="shared" si="130"/>
        <v>0</v>
      </c>
      <c r="H1730" s="62" t="e">
        <f t="shared" si="131"/>
        <v>#DIV/0!</v>
      </c>
      <c r="I1730" s="57"/>
      <c r="J1730" s="57"/>
      <c r="K1730" s="57"/>
      <c r="L1730" s="57"/>
      <c r="M1730" s="58"/>
      <c r="N1730" s="57"/>
      <c r="O1730" s="57"/>
      <c r="P1730" s="57"/>
      <c r="Q1730" s="57"/>
      <c r="R1730" s="57"/>
      <c r="S1730" s="61"/>
      <c r="T1730" s="57"/>
      <c r="U1730" s="57"/>
      <c r="V1730" s="57"/>
      <c r="W1730" s="57"/>
      <c r="X1730" s="57"/>
      <c r="Y1730" s="57"/>
      <c r="Z1730" s="57"/>
      <c r="AA1730" s="57"/>
      <c r="AB1730" s="57"/>
      <c r="AC1730" s="57"/>
      <c r="AD1730" s="57"/>
      <c r="AE1730" s="57"/>
      <c r="AF1730" s="57"/>
      <c r="AG1730" s="57"/>
      <c r="AH1730" s="57"/>
      <c r="AI1730" s="57"/>
      <c r="AJ1730" s="57"/>
      <c r="AK1730" s="57"/>
      <c r="AL1730" s="57"/>
      <c r="AM1730" s="57"/>
      <c r="AN1730" s="57"/>
      <c r="AO1730" s="57"/>
      <c r="AP1730" s="57"/>
      <c r="AQ1730" s="57"/>
      <c r="AR1730" s="57"/>
      <c r="AS1730" s="57"/>
      <c r="AT1730" s="57"/>
      <c r="AU1730" s="57"/>
      <c r="AV1730" s="57"/>
      <c r="AW1730" s="57"/>
      <c r="AX1730" s="57"/>
      <c r="AY1730" s="57"/>
      <c r="AZ1730" s="57"/>
      <c r="BA1730" s="57"/>
      <c r="BB1730" s="57"/>
      <c r="BC1730" s="57"/>
      <c r="BD1730" s="57"/>
      <c r="BE1730" s="57"/>
      <c r="BF1730" s="57"/>
    </row>
    <row r="1731" spans="1:58" s="52" customFormat="1" x14ac:dyDescent="0.25">
      <c r="A1731" s="53"/>
      <c r="B1731" s="60"/>
      <c r="C1731" s="57">
        <f t="shared" si="128"/>
        <v>0</v>
      </c>
      <c r="D1731" s="56"/>
      <c r="E1731" s="57">
        <f>[1]DETAY!$A$2</f>
        <v>0</v>
      </c>
      <c r="F1731" s="90">
        <f t="shared" si="129"/>
        <v>0</v>
      </c>
      <c r="G1731" s="92">
        <f t="shared" si="130"/>
        <v>0</v>
      </c>
      <c r="H1731" s="62" t="e">
        <f t="shared" si="131"/>
        <v>#DIV/0!</v>
      </c>
      <c r="I1731" s="57"/>
      <c r="J1731" s="57"/>
      <c r="K1731" s="57"/>
      <c r="L1731" s="57"/>
      <c r="M1731" s="58"/>
      <c r="N1731" s="57"/>
      <c r="O1731" s="57"/>
      <c r="P1731" s="57"/>
      <c r="Q1731" s="57"/>
      <c r="R1731" s="57"/>
      <c r="S1731" s="61"/>
      <c r="T1731" s="57"/>
      <c r="U1731" s="57"/>
      <c r="V1731" s="57"/>
      <c r="W1731" s="57"/>
      <c r="X1731" s="57"/>
      <c r="Y1731" s="57"/>
      <c r="Z1731" s="57"/>
      <c r="AA1731" s="57"/>
      <c r="AB1731" s="57"/>
      <c r="AC1731" s="57"/>
      <c r="AD1731" s="57"/>
      <c r="AE1731" s="57"/>
      <c r="AF1731" s="57"/>
      <c r="AG1731" s="57"/>
      <c r="AH1731" s="57"/>
      <c r="AI1731" s="57"/>
      <c r="AJ1731" s="57"/>
      <c r="AK1731" s="57"/>
      <c r="AL1731" s="57"/>
      <c r="AM1731" s="57"/>
      <c r="AN1731" s="57"/>
      <c r="AO1731" s="57"/>
      <c r="AP1731" s="57"/>
      <c r="AQ1731" s="57"/>
      <c r="AR1731" s="57"/>
      <c r="AS1731" s="57"/>
      <c r="AT1731" s="57"/>
      <c r="AU1731" s="57"/>
      <c r="AV1731" s="57"/>
      <c r="AW1731" s="57"/>
      <c r="AX1731" s="57"/>
      <c r="AY1731" s="57"/>
      <c r="AZ1731" s="57"/>
      <c r="BA1731" s="57"/>
      <c r="BB1731" s="57"/>
      <c r="BC1731" s="57"/>
      <c r="BD1731" s="57"/>
      <c r="BE1731" s="57"/>
      <c r="BF1731" s="57"/>
    </row>
    <row r="1732" spans="1:58" s="52" customFormat="1" x14ac:dyDescent="0.25">
      <c r="A1732" s="53"/>
      <c r="B1732" s="60"/>
      <c r="C1732" s="57">
        <f t="shared" si="128"/>
        <v>0</v>
      </c>
      <c r="D1732" s="56"/>
      <c r="E1732" s="57">
        <f>[1]DETAY!$A$2</f>
        <v>0</v>
      </c>
      <c r="F1732" s="90">
        <f t="shared" si="129"/>
        <v>0</v>
      </c>
      <c r="G1732" s="92">
        <f t="shared" si="130"/>
        <v>0</v>
      </c>
      <c r="H1732" s="62" t="e">
        <f t="shared" si="131"/>
        <v>#DIV/0!</v>
      </c>
      <c r="I1732" s="57"/>
      <c r="J1732" s="57"/>
      <c r="K1732" s="57"/>
      <c r="L1732" s="57"/>
      <c r="M1732" s="58"/>
      <c r="N1732" s="57"/>
      <c r="O1732" s="57"/>
      <c r="P1732" s="57"/>
      <c r="Q1732" s="57"/>
      <c r="R1732" s="57"/>
      <c r="S1732" s="61"/>
      <c r="T1732" s="57"/>
      <c r="U1732" s="57"/>
      <c r="V1732" s="57"/>
      <c r="W1732" s="57"/>
      <c r="X1732" s="57"/>
      <c r="Y1732" s="57"/>
      <c r="Z1732" s="57"/>
      <c r="AA1732" s="57"/>
      <c r="AB1732" s="57"/>
      <c r="AC1732" s="57"/>
      <c r="AD1732" s="57"/>
      <c r="AE1732" s="57"/>
      <c r="AF1732" s="57"/>
      <c r="AG1732" s="57"/>
      <c r="AH1732" s="57"/>
      <c r="AI1732" s="57"/>
      <c r="AJ1732" s="57"/>
      <c r="AK1732" s="57"/>
      <c r="AL1732" s="57"/>
      <c r="AM1732" s="57"/>
      <c r="AN1732" s="57"/>
      <c r="AO1732" s="57"/>
      <c r="AP1732" s="57"/>
      <c r="AQ1732" s="57"/>
      <c r="AR1732" s="57"/>
      <c r="AS1732" s="57"/>
      <c r="AT1732" s="57"/>
      <c r="AU1732" s="57"/>
      <c r="AV1732" s="57"/>
      <c r="AW1732" s="57"/>
      <c r="AX1732" s="57"/>
      <c r="AY1732" s="57"/>
      <c r="AZ1732" s="57"/>
      <c r="BA1732" s="57"/>
      <c r="BB1732" s="57"/>
      <c r="BC1732" s="57"/>
      <c r="BD1732" s="57"/>
      <c r="BE1732" s="57"/>
      <c r="BF1732" s="57"/>
    </row>
    <row r="1733" spans="1:58" s="52" customFormat="1" x14ac:dyDescent="0.25">
      <c r="A1733" s="53"/>
      <c r="B1733" s="60"/>
      <c r="C1733" s="57">
        <f t="shared" si="128"/>
        <v>0</v>
      </c>
      <c r="D1733" s="56"/>
      <c r="E1733" s="57">
        <f>[1]DETAY!$A$2</f>
        <v>0</v>
      </c>
      <c r="F1733" s="90">
        <f t="shared" si="129"/>
        <v>0</v>
      </c>
      <c r="G1733" s="92">
        <f t="shared" si="130"/>
        <v>0</v>
      </c>
      <c r="H1733" s="62" t="e">
        <f t="shared" si="131"/>
        <v>#DIV/0!</v>
      </c>
      <c r="I1733" s="57"/>
      <c r="J1733" s="57"/>
      <c r="K1733" s="57"/>
      <c r="L1733" s="57"/>
      <c r="M1733" s="58"/>
      <c r="N1733" s="57"/>
      <c r="O1733" s="57"/>
      <c r="P1733" s="57"/>
      <c r="Q1733" s="57"/>
      <c r="R1733" s="57"/>
      <c r="S1733" s="61"/>
      <c r="T1733" s="57"/>
      <c r="U1733" s="57"/>
      <c r="V1733" s="57"/>
      <c r="W1733" s="57"/>
      <c r="X1733" s="57"/>
      <c r="Y1733" s="57"/>
      <c r="Z1733" s="57"/>
      <c r="AA1733" s="57"/>
      <c r="AB1733" s="57"/>
      <c r="AC1733" s="57"/>
      <c r="AD1733" s="57"/>
      <c r="AE1733" s="57"/>
      <c r="AF1733" s="57"/>
      <c r="AG1733" s="57"/>
      <c r="AH1733" s="57"/>
      <c r="AI1733" s="57"/>
      <c r="AJ1733" s="57"/>
      <c r="AK1733" s="57"/>
      <c r="AL1733" s="57"/>
      <c r="AM1733" s="57"/>
      <c r="AN1733" s="57"/>
      <c r="AO1733" s="57"/>
      <c r="AP1733" s="57"/>
      <c r="AQ1733" s="57"/>
      <c r="AR1733" s="57"/>
      <c r="AS1733" s="57"/>
      <c r="AT1733" s="57"/>
      <c r="AU1733" s="57"/>
      <c r="AV1733" s="57"/>
      <c r="AW1733" s="57"/>
      <c r="AX1733" s="57"/>
      <c r="AY1733" s="57"/>
      <c r="AZ1733" s="57"/>
      <c r="BA1733" s="57"/>
      <c r="BB1733" s="57"/>
      <c r="BC1733" s="57"/>
      <c r="BD1733" s="57"/>
      <c r="BE1733" s="57"/>
      <c r="BF1733" s="57"/>
    </row>
    <row r="1734" spans="1:58" s="52" customFormat="1" x14ac:dyDescent="0.25">
      <c r="A1734" s="53"/>
      <c r="B1734" s="60"/>
      <c r="C1734" s="57">
        <f t="shared" si="128"/>
        <v>0</v>
      </c>
      <c r="D1734" s="56"/>
      <c r="E1734" s="57">
        <f>[1]DETAY!$A$2</f>
        <v>0</v>
      </c>
      <c r="F1734" s="90">
        <f t="shared" si="129"/>
        <v>0</v>
      </c>
      <c r="G1734" s="92">
        <f t="shared" si="130"/>
        <v>0</v>
      </c>
      <c r="H1734" s="62" t="e">
        <f t="shared" si="131"/>
        <v>#DIV/0!</v>
      </c>
      <c r="I1734" s="57"/>
      <c r="J1734" s="57"/>
      <c r="K1734" s="57"/>
      <c r="L1734" s="57"/>
      <c r="M1734" s="58"/>
      <c r="N1734" s="57"/>
      <c r="O1734" s="57"/>
      <c r="P1734" s="57"/>
      <c r="Q1734" s="57"/>
      <c r="R1734" s="57"/>
      <c r="S1734" s="61"/>
      <c r="T1734" s="57"/>
      <c r="U1734" s="57"/>
      <c r="V1734" s="57"/>
      <c r="W1734" s="57"/>
      <c r="X1734" s="57"/>
      <c r="Y1734" s="57"/>
      <c r="Z1734" s="57"/>
      <c r="AA1734" s="57"/>
      <c r="AB1734" s="57"/>
      <c r="AC1734" s="57"/>
      <c r="AD1734" s="57"/>
      <c r="AE1734" s="57"/>
      <c r="AF1734" s="57"/>
      <c r="AG1734" s="57"/>
      <c r="AH1734" s="57"/>
      <c r="AI1734" s="57"/>
      <c r="AJ1734" s="57"/>
      <c r="AK1734" s="57"/>
      <c r="AL1734" s="57"/>
      <c r="AM1734" s="57"/>
      <c r="AN1734" s="57"/>
      <c r="AO1734" s="57"/>
      <c r="AP1734" s="57"/>
      <c r="AQ1734" s="57"/>
      <c r="AR1734" s="57"/>
      <c r="AS1734" s="57"/>
      <c r="AT1734" s="57"/>
      <c r="AU1734" s="57"/>
      <c r="AV1734" s="57"/>
      <c r="AW1734" s="57"/>
      <c r="AX1734" s="57"/>
      <c r="AY1734" s="57"/>
      <c r="AZ1734" s="57"/>
      <c r="BA1734" s="57"/>
      <c r="BB1734" s="57"/>
      <c r="BC1734" s="57"/>
      <c r="BD1734" s="57"/>
      <c r="BE1734" s="57"/>
      <c r="BF1734" s="57"/>
    </row>
    <row r="1735" spans="1:58" s="52" customFormat="1" x14ac:dyDescent="0.25">
      <c r="A1735" s="53"/>
      <c r="B1735" s="60"/>
      <c r="C1735" s="57">
        <f t="shared" si="128"/>
        <v>0</v>
      </c>
      <c r="D1735" s="56"/>
      <c r="E1735" s="57">
        <f>[1]DETAY!$A$2</f>
        <v>0</v>
      </c>
      <c r="F1735" s="90">
        <f t="shared" si="129"/>
        <v>0</v>
      </c>
      <c r="G1735" s="92">
        <f t="shared" si="130"/>
        <v>0</v>
      </c>
      <c r="H1735" s="62" t="e">
        <f t="shared" si="131"/>
        <v>#DIV/0!</v>
      </c>
      <c r="I1735" s="57"/>
      <c r="J1735" s="57"/>
      <c r="K1735" s="57"/>
      <c r="L1735" s="57"/>
      <c r="M1735" s="58"/>
      <c r="N1735" s="57"/>
      <c r="O1735" s="57"/>
      <c r="P1735" s="57"/>
      <c r="Q1735" s="57"/>
      <c r="R1735" s="57"/>
      <c r="S1735" s="61"/>
      <c r="T1735" s="57"/>
      <c r="U1735" s="57"/>
      <c r="V1735" s="57"/>
      <c r="W1735" s="57"/>
      <c r="X1735" s="57"/>
      <c r="Y1735" s="57"/>
      <c r="Z1735" s="57"/>
      <c r="AA1735" s="57"/>
      <c r="AB1735" s="57"/>
      <c r="AC1735" s="57"/>
      <c r="AD1735" s="57"/>
      <c r="AE1735" s="57"/>
      <c r="AF1735" s="57"/>
      <c r="AG1735" s="57"/>
      <c r="AH1735" s="57"/>
      <c r="AI1735" s="57"/>
      <c r="AJ1735" s="57"/>
      <c r="AK1735" s="57"/>
      <c r="AL1735" s="57"/>
      <c r="AM1735" s="57"/>
      <c r="AN1735" s="57"/>
      <c r="AO1735" s="57"/>
      <c r="AP1735" s="57"/>
      <c r="AQ1735" s="57"/>
      <c r="AR1735" s="57"/>
      <c r="AS1735" s="57"/>
      <c r="AT1735" s="57"/>
      <c r="AU1735" s="57"/>
      <c r="AV1735" s="57"/>
      <c r="AW1735" s="57"/>
      <c r="AX1735" s="57"/>
      <c r="AY1735" s="57"/>
      <c r="AZ1735" s="57"/>
      <c r="BA1735" s="57"/>
      <c r="BB1735" s="57"/>
      <c r="BC1735" s="57"/>
      <c r="BD1735" s="57"/>
      <c r="BE1735" s="57"/>
      <c r="BF1735" s="57"/>
    </row>
    <row r="1736" spans="1:58" s="52" customFormat="1" x14ac:dyDescent="0.25">
      <c r="A1736" s="53"/>
      <c r="B1736" s="60"/>
      <c r="C1736" s="57">
        <f t="shared" ref="C1736:C1799" si="132">WEEKNUM(B1736)</f>
        <v>0</v>
      </c>
      <c r="D1736" s="56"/>
      <c r="E1736" s="57">
        <f>[1]DETAY!$A$2</f>
        <v>0</v>
      </c>
      <c r="F1736" s="90">
        <f t="shared" ref="F1736:F1799" si="133">D1736-G1736</f>
        <v>0</v>
      </c>
      <c r="G1736" s="92">
        <f t="shared" ref="G1736:G1799" si="134">SUBTOTAL(9,I1736:BD1736)</f>
        <v>0</v>
      </c>
      <c r="H1736" s="62" t="e">
        <f t="shared" ref="H1736:H1799" si="135">F1736/D1736</f>
        <v>#DIV/0!</v>
      </c>
      <c r="I1736" s="57"/>
      <c r="J1736" s="57"/>
      <c r="K1736" s="57"/>
      <c r="L1736" s="57"/>
      <c r="M1736" s="58"/>
      <c r="N1736" s="57"/>
      <c r="O1736" s="57"/>
      <c r="P1736" s="57"/>
      <c r="Q1736" s="57"/>
      <c r="R1736" s="57"/>
      <c r="S1736" s="61"/>
      <c r="T1736" s="57"/>
      <c r="U1736" s="57"/>
      <c r="V1736" s="57"/>
      <c r="W1736" s="57"/>
      <c r="X1736" s="57"/>
      <c r="Y1736" s="57"/>
      <c r="Z1736" s="57"/>
      <c r="AA1736" s="57"/>
      <c r="AB1736" s="57"/>
      <c r="AC1736" s="57"/>
      <c r="AD1736" s="57"/>
      <c r="AE1736" s="57"/>
      <c r="AF1736" s="57"/>
      <c r="AG1736" s="57"/>
      <c r="AH1736" s="57"/>
      <c r="AI1736" s="57"/>
      <c r="AJ1736" s="57"/>
      <c r="AK1736" s="57"/>
      <c r="AL1736" s="57"/>
      <c r="AM1736" s="57"/>
      <c r="AN1736" s="57"/>
      <c r="AO1736" s="57"/>
      <c r="AP1736" s="57"/>
      <c r="AQ1736" s="57"/>
      <c r="AR1736" s="57"/>
      <c r="AS1736" s="57"/>
      <c r="AT1736" s="57"/>
      <c r="AU1736" s="57"/>
      <c r="AV1736" s="57"/>
      <c r="AW1736" s="57"/>
      <c r="AX1736" s="57"/>
      <c r="AY1736" s="57"/>
      <c r="AZ1736" s="57"/>
      <c r="BA1736" s="57"/>
      <c r="BB1736" s="57"/>
      <c r="BC1736" s="57"/>
      <c r="BD1736" s="57"/>
      <c r="BE1736" s="57"/>
      <c r="BF1736" s="57"/>
    </row>
    <row r="1737" spans="1:58" s="52" customFormat="1" x14ac:dyDescent="0.25">
      <c r="A1737" s="53"/>
      <c r="B1737" s="60"/>
      <c r="C1737" s="57">
        <f t="shared" si="132"/>
        <v>0</v>
      </c>
      <c r="D1737" s="56"/>
      <c r="E1737" s="57">
        <f>[1]DETAY!$A$2</f>
        <v>0</v>
      </c>
      <c r="F1737" s="90">
        <f t="shared" si="133"/>
        <v>0</v>
      </c>
      <c r="G1737" s="92">
        <f t="shared" si="134"/>
        <v>0</v>
      </c>
      <c r="H1737" s="62" t="e">
        <f t="shared" si="135"/>
        <v>#DIV/0!</v>
      </c>
      <c r="I1737" s="57"/>
      <c r="J1737" s="57"/>
      <c r="K1737" s="57"/>
      <c r="L1737" s="57"/>
      <c r="M1737" s="58"/>
      <c r="N1737" s="57"/>
      <c r="O1737" s="57"/>
      <c r="P1737" s="57"/>
      <c r="Q1737" s="57"/>
      <c r="R1737" s="57"/>
      <c r="S1737" s="61"/>
      <c r="T1737" s="57"/>
      <c r="U1737" s="57"/>
      <c r="V1737" s="57"/>
      <c r="W1737" s="57"/>
      <c r="X1737" s="57"/>
      <c r="Y1737" s="57"/>
      <c r="Z1737" s="57"/>
      <c r="AA1737" s="57"/>
      <c r="AB1737" s="57"/>
      <c r="AC1737" s="57"/>
      <c r="AD1737" s="57"/>
      <c r="AE1737" s="57"/>
      <c r="AF1737" s="57"/>
      <c r="AG1737" s="57"/>
      <c r="AH1737" s="57"/>
      <c r="AI1737" s="57"/>
      <c r="AJ1737" s="57"/>
      <c r="AK1737" s="57"/>
      <c r="AL1737" s="57"/>
      <c r="AM1737" s="57"/>
      <c r="AN1737" s="57"/>
      <c r="AO1737" s="57"/>
      <c r="AP1737" s="57"/>
      <c r="AQ1737" s="57"/>
      <c r="AR1737" s="57"/>
      <c r="AS1737" s="57"/>
      <c r="AT1737" s="57"/>
      <c r="AU1737" s="57"/>
      <c r="AV1737" s="57"/>
      <c r="AW1737" s="57"/>
      <c r="AX1737" s="57"/>
      <c r="AY1737" s="57"/>
      <c r="AZ1737" s="57"/>
      <c r="BA1737" s="57"/>
      <c r="BB1737" s="57"/>
      <c r="BC1737" s="57"/>
      <c r="BD1737" s="57"/>
      <c r="BE1737" s="57"/>
      <c r="BF1737" s="57"/>
    </row>
    <row r="1738" spans="1:58" s="52" customFormat="1" x14ac:dyDescent="0.25">
      <c r="A1738" s="53"/>
      <c r="B1738" s="60"/>
      <c r="C1738" s="57">
        <f t="shared" si="132"/>
        <v>0</v>
      </c>
      <c r="D1738" s="56"/>
      <c r="E1738" s="57">
        <f>[1]DETAY!$A$2</f>
        <v>0</v>
      </c>
      <c r="F1738" s="90">
        <f t="shared" si="133"/>
        <v>0</v>
      </c>
      <c r="G1738" s="92">
        <f t="shared" si="134"/>
        <v>0</v>
      </c>
      <c r="H1738" s="62" t="e">
        <f t="shared" si="135"/>
        <v>#DIV/0!</v>
      </c>
      <c r="I1738" s="57"/>
      <c r="J1738" s="57"/>
      <c r="K1738" s="57"/>
      <c r="L1738" s="57"/>
      <c r="M1738" s="58"/>
      <c r="N1738" s="57"/>
      <c r="O1738" s="57"/>
      <c r="P1738" s="57"/>
      <c r="Q1738" s="57"/>
      <c r="R1738" s="57"/>
      <c r="S1738" s="61"/>
      <c r="T1738" s="57"/>
      <c r="U1738" s="57"/>
      <c r="V1738" s="57"/>
      <c r="W1738" s="57"/>
      <c r="X1738" s="57"/>
      <c r="Y1738" s="57"/>
      <c r="Z1738" s="57"/>
      <c r="AA1738" s="57"/>
      <c r="AB1738" s="57"/>
      <c r="AC1738" s="57"/>
      <c r="AD1738" s="57"/>
      <c r="AE1738" s="57"/>
      <c r="AF1738" s="57"/>
      <c r="AG1738" s="57"/>
      <c r="AH1738" s="57"/>
      <c r="AI1738" s="57"/>
      <c r="AJ1738" s="57"/>
      <c r="AK1738" s="57"/>
      <c r="AL1738" s="57"/>
      <c r="AM1738" s="57"/>
      <c r="AN1738" s="57"/>
      <c r="AO1738" s="57"/>
      <c r="AP1738" s="57"/>
      <c r="AQ1738" s="57"/>
      <c r="AR1738" s="57"/>
      <c r="AS1738" s="57"/>
      <c r="AT1738" s="57"/>
      <c r="AU1738" s="57"/>
      <c r="AV1738" s="57"/>
      <c r="AW1738" s="57"/>
      <c r="AX1738" s="57"/>
      <c r="AY1738" s="57"/>
      <c r="AZ1738" s="57"/>
      <c r="BA1738" s="57"/>
      <c r="BB1738" s="57"/>
      <c r="BC1738" s="57"/>
      <c r="BD1738" s="57"/>
      <c r="BE1738" s="57"/>
      <c r="BF1738" s="57"/>
    </row>
    <row r="1739" spans="1:58" s="52" customFormat="1" x14ac:dyDescent="0.25">
      <c r="A1739" s="53"/>
      <c r="B1739" s="60"/>
      <c r="C1739" s="57">
        <f t="shared" si="132"/>
        <v>0</v>
      </c>
      <c r="D1739" s="56"/>
      <c r="E1739" s="57">
        <f>[1]DETAY!$A$2</f>
        <v>0</v>
      </c>
      <c r="F1739" s="90">
        <f t="shared" si="133"/>
        <v>0</v>
      </c>
      <c r="G1739" s="92">
        <f t="shared" si="134"/>
        <v>0</v>
      </c>
      <c r="H1739" s="62" t="e">
        <f t="shared" si="135"/>
        <v>#DIV/0!</v>
      </c>
      <c r="I1739" s="57"/>
      <c r="J1739" s="57"/>
      <c r="K1739" s="57"/>
      <c r="L1739" s="57"/>
      <c r="M1739" s="58"/>
      <c r="N1739" s="57"/>
      <c r="O1739" s="57"/>
      <c r="P1739" s="57"/>
      <c r="Q1739" s="57"/>
      <c r="R1739" s="57"/>
      <c r="S1739" s="61"/>
      <c r="T1739" s="57"/>
      <c r="U1739" s="57"/>
      <c r="V1739" s="57"/>
      <c r="W1739" s="57"/>
      <c r="X1739" s="57"/>
      <c r="Y1739" s="57"/>
      <c r="Z1739" s="57"/>
      <c r="AA1739" s="57"/>
      <c r="AB1739" s="57"/>
      <c r="AC1739" s="57"/>
      <c r="AD1739" s="57"/>
      <c r="AE1739" s="57"/>
      <c r="AF1739" s="57"/>
      <c r="AG1739" s="57"/>
      <c r="AH1739" s="57"/>
      <c r="AI1739" s="57"/>
      <c r="AJ1739" s="57"/>
      <c r="AK1739" s="57"/>
      <c r="AL1739" s="57"/>
      <c r="AM1739" s="57"/>
      <c r="AN1739" s="57"/>
      <c r="AO1739" s="57"/>
      <c r="AP1739" s="57"/>
      <c r="AQ1739" s="57"/>
      <c r="AR1739" s="57"/>
      <c r="AS1739" s="57"/>
      <c r="AT1739" s="57"/>
      <c r="AU1739" s="57"/>
      <c r="AV1739" s="57"/>
      <c r="AW1739" s="57"/>
      <c r="AX1739" s="57"/>
      <c r="AY1739" s="57"/>
      <c r="AZ1739" s="57"/>
      <c r="BA1739" s="57"/>
      <c r="BB1739" s="57"/>
      <c r="BC1739" s="57"/>
      <c r="BD1739" s="57"/>
      <c r="BE1739" s="57"/>
      <c r="BF1739" s="57"/>
    </row>
    <row r="1740" spans="1:58" s="52" customFormat="1" x14ac:dyDescent="0.25">
      <c r="A1740" s="53"/>
      <c r="B1740" s="60"/>
      <c r="C1740" s="57">
        <f t="shared" si="132"/>
        <v>0</v>
      </c>
      <c r="D1740" s="56"/>
      <c r="E1740" s="57">
        <f>[1]DETAY!$A$2</f>
        <v>0</v>
      </c>
      <c r="F1740" s="90">
        <f t="shared" si="133"/>
        <v>0</v>
      </c>
      <c r="G1740" s="92">
        <f t="shared" si="134"/>
        <v>0</v>
      </c>
      <c r="H1740" s="62" t="e">
        <f t="shared" si="135"/>
        <v>#DIV/0!</v>
      </c>
      <c r="I1740" s="57"/>
      <c r="J1740" s="57"/>
      <c r="K1740" s="57"/>
      <c r="L1740" s="57"/>
      <c r="M1740" s="58"/>
      <c r="N1740" s="57"/>
      <c r="O1740" s="57"/>
      <c r="P1740" s="57"/>
      <c r="Q1740" s="57"/>
      <c r="R1740" s="57"/>
      <c r="S1740" s="61"/>
      <c r="T1740" s="57"/>
      <c r="U1740" s="57"/>
      <c r="V1740" s="57"/>
      <c r="W1740" s="57"/>
      <c r="X1740" s="57"/>
      <c r="Y1740" s="57"/>
      <c r="Z1740" s="57"/>
      <c r="AA1740" s="57"/>
      <c r="AB1740" s="57"/>
      <c r="AC1740" s="57"/>
      <c r="AD1740" s="57"/>
      <c r="AE1740" s="57"/>
      <c r="AF1740" s="57"/>
      <c r="AG1740" s="57"/>
      <c r="AH1740" s="57"/>
      <c r="AI1740" s="57"/>
      <c r="AJ1740" s="57"/>
      <c r="AK1740" s="57"/>
      <c r="AL1740" s="57"/>
      <c r="AM1740" s="57"/>
      <c r="AN1740" s="57"/>
      <c r="AO1740" s="57"/>
      <c r="AP1740" s="57"/>
      <c r="AQ1740" s="57"/>
      <c r="AR1740" s="57"/>
      <c r="AS1740" s="57"/>
      <c r="AT1740" s="57"/>
      <c r="AU1740" s="57"/>
      <c r="AV1740" s="57"/>
      <c r="AW1740" s="57"/>
      <c r="AX1740" s="57"/>
      <c r="AY1740" s="57"/>
      <c r="AZ1740" s="57"/>
      <c r="BA1740" s="57"/>
      <c r="BB1740" s="57"/>
      <c r="BC1740" s="57"/>
      <c r="BD1740" s="57"/>
      <c r="BE1740" s="57"/>
      <c r="BF1740" s="57"/>
    </row>
    <row r="1741" spans="1:58" s="52" customFormat="1" x14ac:dyDescent="0.25">
      <c r="A1741" s="53"/>
      <c r="B1741" s="60"/>
      <c r="C1741" s="57">
        <f t="shared" si="132"/>
        <v>0</v>
      </c>
      <c r="D1741" s="56"/>
      <c r="E1741" s="57">
        <f>[1]DETAY!$A$2</f>
        <v>0</v>
      </c>
      <c r="F1741" s="90">
        <f t="shared" si="133"/>
        <v>0</v>
      </c>
      <c r="G1741" s="92">
        <f t="shared" si="134"/>
        <v>0</v>
      </c>
      <c r="H1741" s="62" t="e">
        <f t="shared" si="135"/>
        <v>#DIV/0!</v>
      </c>
      <c r="I1741" s="57"/>
      <c r="J1741" s="57"/>
      <c r="K1741" s="57"/>
      <c r="L1741" s="57"/>
      <c r="M1741" s="58"/>
      <c r="N1741" s="57"/>
      <c r="O1741" s="57"/>
      <c r="P1741" s="57"/>
      <c r="Q1741" s="57"/>
      <c r="R1741" s="57"/>
      <c r="S1741" s="61"/>
      <c r="T1741" s="57"/>
      <c r="U1741" s="57"/>
      <c r="V1741" s="57"/>
      <c r="W1741" s="57"/>
      <c r="X1741" s="57"/>
      <c r="Y1741" s="57"/>
      <c r="Z1741" s="57"/>
      <c r="AA1741" s="57"/>
      <c r="AB1741" s="57"/>
      <c r="AC1741" s="57"/>
      <c r="AD1741" s="57"/>
      <c r="AE1741" s="57"/>
      <c r="AF1741" s="57"/>
      <c r="AG1741" s="57"/>
      <c r="AH1741" s="57"/>
      <c r="AI1741" s="57"/>
      <c r="AJ1741" s="57"/>
      <c r="AK1741" s="57"/>
      <c r="AL1741" s="57"/>
      <c r="AM1741" s="57"/>
      <c r="AN1741" s="57"/>
      <c r="AO1741" s="57"/>
      <c r="AP1741" s="57"/>
      <c r="AQ1741" s="57"/>
      <c r="AR1741" s="57"/>
      <c r="AS1741" s="57"/>
      <c r="AT1741" s="57"/>
      <c r="AU1741" s="57"/>
      <c r="AV1741" s="57"/>
      <c r="AW1741" s="57"/>
      <c r="AX1741" s="57"/>
      <c r="AY1741" s="57"/>
      <c r="AZ1741" s="57"/>
      <c r="BA1741" s="57"/>
      <c r="BB1741" s="57"/>
      <c r="BC1741" s="57"/>
      <c r="BD1741" s="57"/>
      <c r="BE1741" s="57"/>
      <c r="BF1741" s="57"/>
    </row>
    <row r="1742" spans="1:58" s="52" customFormat="1" x14ac:dyDescent="0.25">
      <c r="A1742" s="53"/>
      <c r="B1742" s="60"/>
      <c r="C1742" s="57">
        <f t="shared" si="132"/>
        <v>0</v>
      </c>
      <c r="D1742" s="56"/>
      <c r="E1742" s="57">
        <f>[1]DETAY!$A$2</f>
        <v>0</v>
      </c>
      <c r="F1742" s="90">
        <f t="shared" si="133"/>
        <v>0</v>
      </c>
      <c r="G1742" s="92">
        <f t="shared" si="134"/>
        <v>0</v>
      </c>
      <c r="H1742" s="62" t="e">
        <f t="shared" si="135"/>
        <v>#DIV/0!</v>
      </c>
      <c r="I1742" s="57"/>
      <c r="J1742" s="57"/>
      <c r="K1742" s="57"/>
      <c r="L1742" s="57"/>
      <c r="M1742" s="58"/>
      <c r="N1742" s="57"/>
      <c r="O1742" s="57"/>
      <c r="P1742" s="57"/>
      <c r="Q1742" s="57"/>
      <c r="R1742" s="57"/>
      <c r="S1742" s="61"/>
      <c r="T1742" s="57"/>
      <c r="U1742" s="57"/>
      <c r="V1742" s="57"/>
      <c r="W1742" s="57"/>
      <c r="X1742" s="57"/>
      <c r="Y1742" s="57"/>
      <c r="Z1742" s="57"/>
      <c r="AA1742" s="57"/>
      <c r="AB1742" s="57"/>
      <c r="AC1742" s="57"/>
      <c r="AD1742" s="57"/>
      <c r="AE1742" s="57"/>
      <c r="AF1742" s="57"/>
      <c r="AG1742" s="57"/>
      <c r="AH1742" s="57"/>
      <c r="AI1742" s="57"/>
      <c r="AJ1742" s="57"/>
      <c r="AK1742" s="57"/>
      <c r="AL1742" s="57"/>
      <c r="AM1742" s="57"/>
      <c r="AN1742" s="57"/>
      <c r="AO1742" s="57"/>
      <c r="AP1742" s="57"/>
      <c r="AQ1742" s="57"/>
      <c r="AR1742" s="57"/>
      <c r="AS1742" s="57"/>
      <c r="AT1742" s="57"/>
      <c r="AU1742" s="57"/>
      <c r="AV1742" s="57"/>
      <c r="AW1742" s="57"/>
      <c r="AX1742" s="57"/>
      <c r="AY1742" s="57"/>
      <c r="AZ1742" s="57"/>
      <c r="BA1742" s="57"/>
      <c r="BB1742" s="57"/>
      <c r="BC1742" s="57"/>
      <c r="BD1742" s="57"/>
      <c r="BE1742" s="57"/>
      <c r="BF1742" s="57"/>
    </row>
    <row r="1743" spans="1:58" s="52" customFormat="1" x14ac:dyDescent="0.25">
      <c r="A1743" s="53"/>
      <c r="B1743" s="60"/>
      <c r="C1743" s="57">
        <f t="shared" si="132"/>
        <v>0</v>
      </c>
      <c r="D1743" s="56"/>
      <c r="E1743" s="57">
        <f>[1]DETAY!$A$2</f>
        <v>0</v>
      </c>
      <c r="F1743" s="90">
        <f t="shared" si="133"/>
        <v>0</v>
      </c>
      <c r="G1743" s="92">
        <f t="shared" si="134"/>
        <v>0</v>
      </c>
      <c r="H1743" s="62" t="e">
        <f t="shared" si="135"/>
        <v>#DIV/0!</v>
      </c>
      <c r="I1743" s="57"/>
      <c r="J1743" s="57"/>
      <c r="K1743" s="57"/>
      <c r="L1743" s="57"/>
      <c r="M1743" s="58"/>
      <c r="N1743" s="57"/>
      <c r="O1743" s="57"/>
      <c r="P1743" s="57"/>
      <c r="Q1743" s="57"/>
      <c r="R1743" s="57"/>
      <c r="S1743" s="61"/>
      <c r="T1743" s="57"/>
      <c r="U1743" s="57"/>
      <c r="V1743" s="57"/>
      <c r="W1743" s="57"/>
      <c r="X1743" s="57"/>
      <c r="Y1743" s="57"/>
      <c r="Z1743" s="57"/>
      <c r="AA1743" s="57"/>
      <c r="AB1743" s="57"/>
      <c r="AC1743" s="57"/>
      <c r="AD1743" s="57"/>
      <c r="AE1743" s="57"/>
      <c r="AF1743" s="57"/>
      <c r="AG1743" s="57"/>
      <c r="AH1743" s="57"/>
      <c r="AI1743" s="57"/>
      <c r="AJ1743" s="57"/>
      <c r="AK1743" s="57"/>
      <c r="AL1743" s="57"/>
      <c r="AM1743" s="57"/>
      <c r="AN1743" s="57"/>
      <c r="AO1743" s="57"/>
      <c r="AP1743" s="57"/>
      <c r="AQ1743" s="57"/>
      <c r="AR1743" s="57"/>
      <c r="AS1743" s="57"/>
      <c r="AT1743" s="57"/>
      <c r="AU1743" s="57"/>
      <c r="AV1743" s="57"/>
      <c r="AW1743" s="57"/>
      <c r="AX1743" s="57"/>
      <c r="AY1743" s="57"/>
      <c r="AZ1743" s="57"/>
      <c r="BA1743" s="57"/>
      <c r="BB1743" s="57"/>
      <c r="BC1743" s="57"/>
      <c r="BD1743" s="57"/>
      <c r="BE1743" s="57"/>
      <c r="BF1743" s="57"/>
    </row>
    <row r="1744" spans="1:58" s="52" customFormat="1" x14ac:dyDescent="0.25">
      <c r="A1744" s="53"/>
      <c r="B1744" s="60"/>
      <c r="C1744" s="57">
        <f t="shared" si="132"/>
        <v>0</v>
      </c>
      <c r="D1744" s="56"/>
      <c r="E1744" s="57">
        <f>[1]DETAY!$A$2</f>
        <v>0</v>
      </c>
      <c r="F1744" s="90">
        <f t="shared" si="133"/>
        <v>0</v>
      </c>
      <c r="G1744" s="92">
        <f t="shared" si="134"/>
        <v>0</v>
      </c>
      <c r="H1744" s="62" t="e">
        <f t="shared" si="135"/>
        <v>#DIV/0!</v>
      </c>
      <c r="I1744" s="57"/>
      <c r="J1744" s="57"/>
      <c r="K1744" s="57"/>
      <c r="L1744" s="57"/>
      <c r="M1744" s="58"/>
      <c r="N1744" s="57"/>
      <c r="O1744" s="57"/>
      <c r="P1744" s="57"/>
      <c r="Q1744" s="57"/>
      <c r="R1744" s="57"/>
      <c r="S1744" s="61"/>
      <c r="T1744" s="57"/>
      <c r="U1744" s="57"/>
      <c r="V1744" s="57"/>
      <c r="W1744" s="57"/>
      <c r="X1744" s="57"/>
      <c r="Y1744" s="57"/>
      <c r="Z1744" s="57"/>
      <c r="AA1744" s="57"/>
      <c r="AB1744" s="57"/>
      <c r="AC1744" s="57"/>
      <c r="AD1744" s="57"/>
      <c r="AE1744" s="57"/>
      <c r="AF1744" s="57"/>
      <c r="AG1744" s="57"/>
      <c r="AH1744" s="57"/>
      <c r="AI1744" s="57"/>
      <c r="AJ1744" s="57"/>
      <c r="AK1744" s="57"/>
      <c r="AL1744" s="57"/>
      <c r="AM1744" s="57"/>
      <c r="AN1744" s="57"/>
      <c r="AO1744" s="57"/>
      <c r="AP1744" s="57"/>
      <c r="AQ1744" s="57"/>
      <c r="AR1744" s="57"/>
      <c r="AS1744" s="57"/>
      <c r="AT1744" s="57"/>
      <c r="AU1744" s="57"/>
      <c r="AV1744" s="57"/>
      <c r="AW1744" s="57"/>
      <c r="AX1744" s="57"/>
      <c r="AY1744" s="57"/>
      <c r="AZ1744" s="57"/>
      <c r="BA1744" s="57"/>
      <c r="BB1744" s="57"/>
      <c r="BC1744" s="57"/>
      <c r="BD1744" s="57"/>
      <c r="BE1744" s="57"/>
      <c r="BF1744" s="57"/>
    </row>
    <row r="1745" spans="1:58" s="52" customFormat="1" x14ac:dyDescent="0.25">
      <c r="A1745" s="53"/>
      <c r="B1745" s="60"/>
      <c r="C1745" s="57">
        <f t="shared" si="132"/>
        <v>0</v>
      </c>
      <c r="D1745" s="56"/>
      <c r="E1745" s="57">
        <f>[1]DETAY!$A$2</f>
        <v>0</v>
      </c>
      <c r="F1745" s="90">
        <f t="shared" si="133"/>
        <v>0</v>
      </c>
      <c r="G1745" s="92">
        <f t="shared" si="134"/>
        <v>0</v>
      </c>
      <c r="H1745" s="62" t="e">
        <f t="shared" si="135"/>
        <v>#DIV/0!</v>
      </c>
      <c r="I1745" s="57"/>
      <c r="J1745" s="57"/>
      <c r="K1745" s="57"/>
      <c r="L1745" s="57"/>
      <c r="M1745" s="58"/>
      <c r="N1745" s="57"/>
      <c r="O1745" s="57"/>
      <c r="P1745" s="57"/>
      <c r="Q1745" s="57"/>
      <c r="R1745" s="57"/>
      <c r="S1745" s="61"/>
      <c r="T1745" s="57"/>
      <c r="U1745" s="57"/>
      <c r="V1745" s="57"/>
      <c r="W1745" s="57"/>
      <c r="X1745" s="57"/>
      <c r="Y1745" s="57"/>
      <c r="Z1745" s="57"/>
      <c r="AA1745" s="57"/>
      <c r="AB1745" s="57"/>
      <c r="AC1745" s="57"/>
      <c r="AD1745" s="57"/>
      <c r="AE1745" s="57"/>
      <c r="AF1745" s="57"/>
      <c r="AG1745" s="57"/>
      <c r="AH1745" s="57"/>
      <c r="AI1745" s="57"/>
      <c r="AJ1745" s="57"/>
      <c r="AK1745" s="57"/>
      <c r="AL1745" s="57"/>
      <c r="AM1745" s="57"/>
      <c r="AN1745" s="57"/>
      <c r="AO1745" s="57"/>
      <c r="AP1745" s="57"/>
      <c r="AQ1745" s="57"/>
      <c r="AR1745" s="57"/>
      <c r="AS1745" s="57"/>
      <c r="AT1745" s="57"/>
      <c r="AU1745" s="57"/>
      <c r="AV1745" s="57"/>
      <c r="AW1745" s="57"/>
      <c r="AX1745" s="57"/>
      <c r="AY1745" s="57"/>
      <c r="AZ1745" s="57"/>
      <c r="BA1745" s="57"/>
      <c r="BB1745" s="57"/>
      <c r="BC1745" s="57"/>
      <c r="BD1745" s="57"/>
      <c r="BE1745" s="57"/>
      <c r="BF1745" s="57"/>
    </row>
    <row r="1746" spans="1:58" s="52" customFormat="1" x14ac:dyDescent="0.25">
      <c r="A1746" s="53"/>
      <c r="B1746" s="60"/>
      <c r="C1746" s="57">
        <f t="shared" si="132"/>
        <v>0</v>
      </c>
      <c r="D1746" s="56"/>
      <c r="E1746" s="57">
        <f>[1]DETAY!$A$2</f>
        <v>0</v>
      </c>
      <c r="F1746" s="90">
        <f t="shared" si="133"/>
        <v>0</v>
      </c>
      <c r="G1746" s="92">
        <f t="shared" si="134"/>
        <v>0</v>
      </c>
      <c r="H1746" s="62" t="e">
        <f t="shared" si="135"/>
        <v>#DIV/0!</v>
      </c>
      <c r="I1746" s="57"/>
      <c r="J1746" s="57"/>
      <c r="K1746" s="57"/>
      <c r="L1746" s="57"/>
      <c r="M1746" s="58"/>
      <c r="N1746" s="57"/>
      <c r="O1746" s="57"/>
      <c r="P1746" s="57"/>
      <c r="Q1746" s="57"/>
      <c r="R1746" s="57"/>
      <c r="S1746" s="61"/>
      <c r="T1746" s="57"/>
      <c r="U1746" s="57"/>
      <c r="V1746" s="57"/>
      <c r="W1746" s="57"/>
      <c r="X1746" s="57"/>
      <c r="Y1746" s="57"/>
      <c r="Z1746" s="57"/>
      <c r="AA1746" s="57"/>
      <c r="AB1746" s="57"/>
      <c r="AC1746" s="57"/>
      <c r="AD1746" s="57"/>
      <c r="AE1746" s="57"/>
      <c r="AF1746" s="57"/>
      <c r="AG1746" s="57"/>
      <c r="AH1746" s="57"/>
      <c r="AI1746" s="57"/>
      <c r="AJ1746" s="57"/>
      <c r="AK1746" s="57"/>
      <c r="AL1746" s="57"/>
      <c r="AM1746" s="57"/>
      <c r="AN1746" s="57"/>
      <c r="AO1746" s="57"/>
      <c r="AP1746" s="57"/>
      <c r="AQ1746" s="57"/>
      <c r="AR1746" s="57"/>
      <c r="AS1746" s="57"/>
      <c r="AT1746" s="57"/>
      <c r="AU1746" s="57"/>
      <c r="AV1746" s="57"/>
      <c r="AW1746" s="57"/>
      <c r="AX1746" s="57"/>
      <c r="AY1746" s="57"/>
      <c r="AZ1746" s="57"/>
      <c r="BA1746" s="57"/>
      <c r="BB1746" s="57"/>
      <c r="BC1746" s="57"/>
      <c r="BD1746" s="57"/>
      <c r="BE1746" s="57"/>
      <c r="BF1746" s="57"/>
    </row>
    <row r="1747" spans="1:58" s="52" customFormat="1" x14ac:dyDescent="0.25">
      <c r="A1747" s="53"/>
      <c r="B1747" s="60"/>
      <c r="C1747" s="57">
        <f t="shared" si="132"/>
        <v>0</v>
      </c>
      <c r="D1747" s="56"/>
      <c r="E1747" s="57">
        <f>[1]DETAY!$A$2</f>
        <v>0</v>
      </c>
      <c r="F1747" s="90">
        <f t="shared" si="133"/>
        <v>0</v>
      </c>
      <c r="G1747" s="92">
        <f t="shared" si="134"/>
        <v>0</v>
      </c>
      <c r="H1747" s="62" t="e">
        <f t="shared" si="135"/>
        <v>#DIV/0!</v>
      </c>
      <c r="I1747" s="57"/>
      <c r="J1747" s="57"/>
      <c r="K1747" s="57"/>
      <c r="L1747" s="57"/>
      <c r="M1747" s="58"/>
      <c r="N1747" s="57"/>
      <c r="O1747" s="57"/>
      <c r="P1747" s="57"/>
      <c r="Q1747" s="57"/>
      <c r="R1747" s="57"/>
      <c r="S1747" s="61"/>
      <c r="T1747" s="57"/>
      <c r="U1747" s="57"/>
      <c r="V1747" s="57"/>
      <c r="W1747" s="57"/>
      <c r="X1747" s="57"/>
      <c r="Y1747" s="57"/>
      <c r="Z1747" s="57"/>
      <c r="AA1747" s="57"/>
      <c r="AB1747" s="57"/>
      <c r="AC1747" s="57"/>
      <c r="AD1747" s="57"/>
      <c r="AE1747" s="57"/>
      <c r="AF1747" s="57"/>
      <c r="AG1747" s="57"/>
      <c r="AH1747" s="57"/>
      <c r="AI1747" s="57"/>
      <c r="AJ1747" s="57"/>
      <c r="AK1747" s="57"/>
      <c r="AL1747" s="57"/>
      <c r="AM1747" s="57"/>
      <c r="AN1747" s="57"/>
      <c r="AO1747" s="57"/>
      <c r="AP1747" s="57"/>
      <c r="AQ1747" s="57"/>
      <c r="AR1747" s="57"/>
      <c r="AS1747" s="57"/>
      <c r="AT1747" s="57"/>
      <c r="AU1747" s="57"/>
      <c r="AV1747" s="57"/>
      <c r="AW1747" s="57"/>
      <c r="AX1747" s="57"/>
      <c r="AY1747" s="57"/>
      <c r="AZ1747" s="57"/>
      <c r="BA1747" s="57"/>
      <c r="BB1747" s="57"/>
      <c r="BC1747" s="57"/>
      <c r="BD1747" s="57"/>
      <c r="BE1747" s="57"/>
      <c r="BF1747" s="57"/>
    </row>
    <row r="1748" spans="1:58" s="52" customFormat="1" x14ac:dyDescent="0.25">
      <c r="A1748" s="53"/>
      <c r="B1748" s="60"/>
      <c r="C1748" s="57">
        <f t="shared" si="132"/>
        <v>0</v>
      </c>
      <c r="D1748" s="56"/>
      <c r="E1748" s="57">
        <f>[1]DETAY!$A$2</f>
        <v>0</v>
      </c>
      <c r="F1748" s="90">
        <f t="shared" si="133"/>
        <v>0</v>
      </c>
      <c r="G1748" s="92">
        <f t="shared" si="134"/>
        <v>0</v>
      </c>
      <c r="H1748" s="62" t="e">
        <f t="shared" si="135"/>
        <v>#DIV/0!</v>
      </c>
      <c r="I1748" s="57"/>
      <c r="J1748" s="57"/>
      <c r="K1748" s="57"/>
      <c r="L1748" s="57"/>
      <c r="M1748" s="58"/>
      <c r="N1748" s="57"/>
      <c r="O1748" s="57"/>
      <c r="P1748" s="57"/>
      <c r="Q1748" s="57"/>
      <c r="R1748" s="57"/>
      <c r="S1748" s="61"/>
      <c r="T1748" s="57"/>
      <c r="U1748" s="57"/>
      <c r="V1748" s="57"/>
      <c r="W1748" s="57"/>
      <c r="X1748" s="57"/>
      <c r="Y1748" s="57"/>
      <c r="Z1748" s="57"/>
      <c r="AA1748" s="57"/>
      <c r="AB1748" s="57"/>
      <c r="AC1748" s="57"/>
      <c r="AD1748" s="57"/>
      <c r="AE1748" s="57"/>
      <c r="AF1748" s="57"/>
      <c r="AG1748" s="57"/>
      <c r="AH1748" s="57"/>
      <c r="AI1748" s="57"/>
      <c r="AJ1748" s="57"/>
      <c r="AK1748" s="57"/>
      <c r="AL1748" s="57"/>
      <c r="AM1748" s="57"/>
      <c r="AN1748" s="57"/>
      <c r="AO1748" s="57"/>
      <c r="AP1748" s="57"/>
      <c r="AQ1748" s="57"/>
      <c r="AR1748" s="57"/>
      <c r="AS1748" s="57"/>
      <c r="AT1748" s="57"/>
      <c r="AU1748" s="57"/>
      <c r="AV1748" s="57"/>
      <c r="AW1748" s="57"/>
      <c r="AX1748" s="57"/>
      <c r="AY1748" s="57"/>
      <c r="AZ1748" s="57"/>
      <c r="BA1748" s="57"/>
      <c r="BB1748" s="57"/>
      <c r="BC1748" s="57"/>
      <c r="BD1748" s="57"/>
      <c r="BE1748" s="57"/>
      <c r="BF1748" s="57"/>
    </row>
    <row r="1749" spans="1:58" s="52" customFormat="1" x14ac:dyDescent="0.25">
      <c r="A1749" s="53"/>
      <c r="B1749" s="60"/>
      <c r="C1749" s="57">
        <f t="shared" si="132"/>
        <v>0</v>
      </c>
      <c r="D1749" s="56"/>
      <c r="E1749" s="57">
        <f>[1]DETAY!$A$2</f>
        <v>0</v>
      </c>
      <c r="F1749" s="90">
        <f t="shared" si="133"/>
        <v>0</v>
      </c>
      <c r="G1749" s="92">
        <f t="shared" si="134"/>
        <v>0</v>
      </c>
      <c r="H1749" s="62" t="e">
        <f t="shared" si="135"/>
        <v>#DIV/0!</v>
      </c>
      <c r="I1749" s="57"/>
      <c r="J1749" s="57"/>
      <c r="K1749" s="57"/>
      <c r="L1749" s="57"/>
      <c r="M1749" s="58"/>
      <c r="N1749" s="57"/>
      <c r="O1749" s="57"/>
      <c r="P1749" s="57"/>
      <c r="Q1749" s="57"/>
      <c r="R1749" s="57"/>
      <c r="S1749" s="61"/>
      <c r="T1749" s="57"/>
      <c r="U1749" s="57"/>
      <c r="V1749" s="57"/>
      <c r="W1749" s="57"/>
      <c r="X1749" s="57"/>
      <c r="Y1749" s="57"/>
      <c r="Z1749" s="57"/>
      <c r="AA1749" s="57"/>
      <c r="AB1749" s="57"/>
      <c r="AC1749" s="57"/>
      <c r="AD1749" s="57"/>
      <c r="AE1749" s="57"/>
      <c r="AF1749" s="57"/>
      <c r="AG1749" s="57"/>
      <c r="AH1749" s="57"/>
      <c r="AI1749" s="57"/>
      <c r="AJ1749" s="57"/>
      <c r="AK1749" s="57"/>
      <c r="AL1749" s="57"/>
      <c r="AM1749" s="57"/>
      <c r="AN1749" s="57"/>
      <c r="AO1749" s="57"/>
      <c r="AP1749" s="57"/>
      <c r="AQ1749" s="57"/>
      <c r="AR1749" s="57"/>
      <c r="AS1749" s="57"/>
      <c r="AT1749" s="57"/>
      <c r="AU1749" s="57"/>
      <c r="AV1749" s="57"/>
      <c r="AW1749" s="57"/>
      <c r="AX1749" s="57"/>
      <c r="AY1749" s="57"/>
      <c r="AZ1749" s="57"/>
      <c r="BA1749" s="57"/>
      <c r="BB1749" s="57"/>
      <c r="BC1749" s="57"/>
      <c r="BD1749" s="57"/>
      <c r="BE1749" s="57"/>
      <c r="BF1749" s="57"/>
    </row>
    <row r="1750" spans="1:58" s="52" customFormat="1" x14ac:dyDescent="0.25">
      <c r="A1750" s="53"/>
      <c r="B1750" s="60"/>
      <c r="C1750" s="57">
        <f t="shared" si="132"/>
        <v>0</v>
      </c>
      <c r="D1750" s="56"/>
      <c r="E1750" s="57">
        <f>[1]DETAY!$A$2</f>
        <v>0</v>
      </c>
      <c r="F1750" s="90">
        <f t="shared" si="133"/>
        <v>0</v>
      </c>
      <c r="G1750" s="92">
        <f t="shared" si="134"/>
        <v>0</v>
      </c>
      <c r="H1750" s="62" t="e">
        <f t="shared" si="135"/>
        <v>#DIV/0!</v>
      </c>
      <c r="I1750" s="57"/>
      <c r="J1750" s="57"/>
      <c r="K1750" s="57"/>
      <c r="L1750" s="57"/>
      <c r="M1750" s="58"/>
      <c r="N1750" s="57"/>
      <c r="O1750" s="57"/>
      <c r="P1750" s="57"/>
      <c r="Q1750" s="57"/>
      <c r="R1750" s="57"/>
      <c r="S1750" s="61"/>
      <c r="T1750" s="57"/>
      <c r="U1750" s="57"/>
      <c r="V1750" s="57"/>
      <c r="W1750" s="57"/>
      <c r="X1750" s="57"/>
      <c r="Y1750" s="57"/>
      <c r="Z1750" s="57"/>
      <c r="AA1750" s="57"/>
      <c r="AB1750" s="57"/>
      <c r="AC1750" s="57"/>
      <c r="AD1750" s="57"/>
      <c r="AE1750" s="57"/>
      <c r="AF1750" s="57"/>
      <c r="AG1750" s="57"/>
      <c r="AH1750" s="57"/>
      <c r="AI1750" s="57"/>
      <c r="AJ1750" s="57"/>
      <c r="AK1750" s="57"/>
      <c r="AL1750" s="57"/>
      <c r="AM1750" s="57"/>
      <c r="AN1750" s="57"/>
      <c r="AO1750" s="57"/>
      <c r="AP1750" s="57"/>
      <c r="AQ1750" s="57"/>
      <c r="AR1750" s="57"/>
      <c r="AS1750" s="57"/>
      <c r="AT1750" s="57"/>
      <c r="AU1750" s="57"/>
      <c r="AV1750" s="57"/>
      <c r="AW1750" s="57"/>
      <c r="AX1750" s="57"/>
      <c r="AY1750" s="57"/>
      <c r="AZ1750" s="57"/>
      <c r="BA1750" s="57"/>
      <c r="BB1750" s="57"/>
      <c r="BC1750" s="57"/>
      <c r="BD1750" s="57"/>
      <c r="BE1750" s="57"/>
      <c r="BF1750" s="57"/>
    </row>
    <row r="1751" spans="1:58" s="52" customFormat="1" x14ac:dyDescent="0.25">
      <c r="A1751" s="53"/>
      <c r="B1751" s="60"/>
      <c r="C1751" s="57">
        <f t="shared" si="132"/>
        <v>0</v>
      </c>
      <c r="D1751" s="56"/>
      <c r="E1751" s="57">
        <f>[1]DETAY!$A$2</f>
        <v>0</v>
      </c>
      <c r="F1751" s="90">
        <f t="shared" si="133"/>
        <v>0</v>
      </c>
      <c r="G1751" s="92">
        <f t="shared" si="134"/>
        <v>0</v>
      </c>
      <c r="H1751" s="62" t="e">
        <f t="shared" si="135"/>
        <v>#DIV/0!</v>
      </c>
      <c r="I1751" s="57"/>
      <c r="J1751" s="57"/>
      <c r="K1751" s="57"/>
      <c r="L1751" s="57"/>
      <c r="M1751" s="58"/>
      <c r="N1751" s="57"/>
      <c r="O1751" s="57"/>
      <c r="P1751" s="57"/>
      <c r="Q1751" s="57"/>
      <c r="R1751" s="57"/>
      <c r="S1751" s="61"/>
      <c r="T1751" s="57"/>
      <c r="U1751" s="57"/>
      <c r="V1751" s="57"/>
      <c r="W1751" s="57"/>
      <c r="X1751" s="57"/>
      <c r="Y1751" s="57"/>
      <c r="Z1751" s="57"/>
      <c r="AA1751" s="57"/>
      <c r="AB1751" s="57"/>
      <c r="AC1751" s="57"/>
      <c r="AD1751" s="57"/>
      <c r="AE1751" s="57"/>
      <c r="AF1751" s="57"/>
      <c r="AG1751" s="57"/>
      <c r="AH1751" s="57"/>
      <c r="AI1751" s="57"/>
      <c r="AJ1751" s="57"/>
      <c r="AK1751" s="57"/>
      <c r="AL1751" s="57"/>
      <c r="AM1751" s="57"/>
      <c r="AN1751" s="57"/>
      <c r="AO1751" s="57"/>
      <c r="AP1751" s="57"/>
      <c r="AQ1751" s="57"/>
      <c r="AR1751" s="57"/>
      <c r="AS1751" s="57"/>
      <c r="AT1751" s="57"/>
      <c r="AU1751" s="57"/>
      <c r="AV1751" s="57"/>
      <c r="AW1751" s="57"/>
      <c r="AX1751" s="57"/>
      <c r="AY1751" s="57"/>
      <c r="AZ1751" s="57"/>
      <c r="BA1751" s="57"/>
      <c r="BB1751" s="57"/>
      <c r="BC1751" s="57"/>
      <c r="BD1751" s="57"/>
      <c r="BE1751" s="57"/>
      <c r="BF1751" s="57"/>
    </row>
    <row r="1752" spans="1:58" s="52" customFormat="1" x14ac:dyDescent="0.25">
      <c r="A1752" s="53"/>
      <c r="B1752" s="60"/>
      <c r="C1752" s="57">
        <f t="shared" si="132"/>
        <v>0</v>
      </c>
      <c r="D1752" s="56"/>
      <c r="E1752" s="57">
        <f>[1]DETAY!$A$2</f>
        <v>0</v>
      </c>
      <c r="F1752" s="90">
        <f t="shared" si="133"/>
        <v>0</v>
      </c>
      <c r="G1752" s="92">
        <f t="shared" si="134"/>
        <v>0</v>
      </c>
      <c r="H1752" s="62" t="e">
        <f t="shared" si="135"/>
        <v>#DIV/0!</v>
      </c>
      <c r="I1752" s="57"/>
      <c r="J1752" s="57"/>
      <c r="K1752" s="57"/>
      <c r="L1752" s="57"/>
      <c r="M1752" s="58"/>
      <c r="N1752" s="57"/>
      <c r="O1752" s="57"/>
      <c r="P1752" s="57"/>
      <c r="Q1752" s="57"/>
      <c r="R1752" s="57"/>
      <c r="S1752" s="61"/>
      <c r="T1752" s="57"/>
      <c r="U1752" s="57"/>
      <c r="V1752" s="57"/>
      <c r="W1752" s="57"/>
      <c r="X1752" s="57"/>
      <c r="Y1752" s="57"/>
      <c r="Z1752" s="57"/>
      <c r="AA1752" s="57"/>
      <c r="AB1752" s="57"/>
      <c r="AC1752" s="57"/>
      <c r="AD1752" s="57"/>
      <c r="AE1752" s="57"/>
      <c r="AF1752" s="57"/>
      <c r="AG1752" s="57"/>
      <c r="AH1752" s="57"/>
      <c r="AI1752" s="57"/>
      <c r="AJ1752" s="57"/>
      <c r="AK1752" s="57"/>
      <c r="AL1752" s="57"/>
      <c r="AM1752" s="57"/>
      <c r="AN1752" s="57"/>
      <c r="AO1752" s="57"/>
      <c r="AP1752" s="57"/>
      <c r="AQ1752" s="57"/>
      <c r="AR1752" s="57"/>
      <c r="AS1752" s="57"/>
      <c r="AT1752" s="57"/>
      <c r="AU1752" s="57"/>
      <c r="AV1752" s="57"/>
      <c r="AW1752" s="57"/>
      <c r="AX1752" s="57"/>
      <c r="AY1752" s="57"/>
      <c r="AZ1752" s="57"/>
      <c r="BA1752" s="57"/>
      <c r="BB1752" s="57"/>
      <c r="BC1752" s="57"/>
      <c r="BD1752" s="57"/>
      <c r="BE1752" s="57"/>
      <c r="BF1752" s="57"/>
    </row>
    <row r="1753" spans="1:58" s="52" customFormat="1" x14ac:dyDescent="0.25">
      <c r="A1753" s="53"/>
      <c r="B1753" s="60"/>
      <c r="C1753" s="57">
        <f t="shared" si="132"/>
        <v>0</v>
      </c>
      <c r="D1753" s="56"/>
      <c r="E1753" s="57">
        <f>[1]DETAY!$A$2</f>
        <v>0</v>
      </c>
      <c r="F1753" s="90">
        <f t="shared" si="133"/>
        <v>0</v>
      </c>
      <c r="G1753" s="92">
        <f t="shared" si="134"/>
        <v>0</v>
      </c>
      <c r="H1753" s="62" t="e">
        <f t="shared" si="135"/>
        <v>#DIV/0!</v>
      </c>
      <c r="I1753" s="57"/>
      <c r="J1753" s="57"/>
      <c r="K1753" s="57"/>
      <c r="L1753" s="57"/>
      <c r="M1753" s="58"/>
      <c r="N1753" s="57"/>
      <c r="O1753" s="57"/>
      <c r="P1753" s="57"/>
      <c r="Q1753" s="57"/>
      <c r="R1753" s="57"/>
      <c r="S1753" s="61"/>
      <c r="T1753" s="57"/>
      <c r="U1753" s="57"/>
      <c r="V1753" s="57"/>
      <c r="W1753" s="57"/>
      <c r="X1753" s="57"/>
      <c r="Y1753" s="57"/>
      <c r="Z1753" s="57"/>
      <c r="AA1753" s="57"/>
      <c r="AB1753" s="57"/>
      <c r="AC1753" s="57"/>
      <c r="AD1753" s="57"/>
      <c r="AE1753" s="57"/>
      <c r="AF1753" s="57"/>
      <c r="AG1753" s="57"/>
      <c r="AH1753" s="57"/>
      <c r="AI1753" s="57"/>
      <c r="AJ1753" s="57"/>
      <c r="AK1753" s="57"/>
      <c r="AL1753" s="57"/>
      <c r="AM1753" s="57"/>
      <c r="AN1753" s="57"/>
      <c r="AO1753" s="57"/>
      <c r="AP1753" s="57"/>
      <c r="AQ1753" s="57"/>
      <c r="AR1753" s="57"/>
      <c r="AS1753" s="57"/>
      <c r="AT1753" s="57"/>
      <c r="AU1753" s="57"/>
      <c r="AV1753" s="57"/>
      <c r="AW1753" s="57"/>
      <c r="AX1753" s="57"/>
      <c r="AY1753" s="57"/>
      <c r="AZ1753" s="57"/>
      <c r="BA1753" s="57"/>
      <c r="BB1753" s="57"/>
      <c r="BC1753" s="57"/>
      <c r="BD1753" s="57"/>
      <c r="BE1753" s="57"/>
      <c r="BF1753" s="57"/>
    </row>
    <row r="1754" spans="1:58" s="52" customFormat="1" x14ac:dyDescent="0.25">
      <c r="A1754" s="53"/>
      <c r="B1754" s="60"/>
      <c r="C1754" s="57">
        <f t="shared" si="132"/>
        <v>0</v>
      </c>
      <c r="D1754" s="56"/>
      <c r="E1754" s="57">
        <f>[1]DETAY!$A$2</f>
        <v>0</v>
      </c>
      <c r="F1754" s="90">
        <f t="shared" si="133"/>
        <v>0</v>
      </c>
      <c r="G1754" s="92">
        <f t="shared" si="134"/>
        <v>0</v>
      </c>
      <c r="H1754" s="62" t="e">
        <f t="shared" si="135"/>
        <v>#DIV/0!</v>
      </c>
      <c r="I1754" s="57"/>
      <c r="J1754" s="57"/>
      <c r="K1754" s="57"/>
      <c r="L1754" s="57"/>
      <c r="M1754" s="58"/>
      <c r="N1754" s="57"/>
      <c r="O1754" s="57"/>
      <c r="P1754" s="57"/>
      <c r="Q1754" s="57"/>
      <c r="R1754" s="57"/>
      <c r="S1754" s="61"/>
      <c r="T1754" s="57"/>
      <c r="U1754" s="57"/>
      <c r="V1754" s="57"/>
      <c r="W1754" s="57"/>
      <c r="X1754" s="57"/>
      <c r="Y1754" s="57"/>
      <c r="Z1754" s="57"/>
      <c r="AA1754" s="57"/>
      <c r="AB1754" s="57"/>
      <c r="AC1754" s="57"/>
      <c r="AD1754" s="57"/>
      <c r="AE1754" s="57"/>
      <c r="AF1754" s="57"/>
      <c r="AG1754" s="57"/>
      <c r="AH1754" s="57"/>
      <c r="AI1754" s="57"/>
      <c r="AJ1754" s="57"/>
      <c r="AK1754" s="57"/>
      <c r="AL1754" s="57"/>
      <c r="AM1754" s="57"/>
      <c r="AN1754" s="57"/>
      <c r="AO1754" s="57"/>
      <c r="AP1754" s="57"/>
      <c r="AQ1754" s="57"/>
      <c r="AR1754" s="57"/>
      <c r="AS1754" s="57"/>
      <c r="AT1754" s="57"/>
      <c r="AU1754" s="57"/>
      <c r="AV1754" s="57"/>
      <c r="AW1754" s="57"/>
      <c r="AX1754" s="57"/>
      <c r="AY1754" s="57"/>
      <c r="AZ1754" s="57"/>
      <c r="BA1754" s="57"/>
      <c r="BB1754" s="57"/>
      <c r="BC1754" s="57"/>
      <c r="BD1754" s="57"/>
      <c r="BE1754" s="57"/>
      <c r="BF1754" s="57"/>
    </row>
    <row r="1755" spans="1:58" s="52" customFormat="1" x14ac:dyDescent="0.25">
      <c r="A1755" s="53"/>
      <c r="B1755" s="60"/>
      <c r="C1755" s="57">
        <f t="shared" si="132"/>
        <v>0</v>
      </c>
      <c r="D1755" s="56"/>
      <c r="E1755" s="57">
        <f>[1]DETAY!$A$2</f>
        <v>0</v>
      </c>
      <c r="F1755" s="90">
        <f t="shared" si="133"/>
        <v>0</v>
      </c>
      <c r="G1755" s="92">
        <f t="shared" si="134"/>
        <v>0</v>
      </c>
      <c r="H1755" s="62" t="e">
        <f t="shared" si="135"/>
        <v>#DIV/0!</v>
      </c>
      <c r="I1755" s="57"/>
      <c r="J1755" s="57"/>
      <c r="K1755" s="57"/>
      <c r="L1755" s="57"/>
      <c r="M1755" s="58"/>
      <c r="N1755" s="57"/>
      <c r="O1755" s="57"/>
      <c r="P1755" s="57"/>
      <c r="Q1755" s="57"/>
      <c r="R1755" s="57"/>
      <c r="S1755" s="61"/>
      <c r="T1755" s="57"/>
      <c r="U1755" s="57"/>
      <c r="V1755" s="57"/>
      <c r="W1755" s="57"/>
      <c r="X1755" s="57"/>
      <c r="Y1755" s="57"/>
      <c r="Z1755" s="57"/>
      <c r="AA1755" s="57"/>
      <c r="AB1755" s="57"/>
      <c r="AC1755" s="57"/>
      <c r="AD1755" s="57"/>
      <c r="AE1755" s="57"/>
      <c r="AF1755" s="57"/>
      <c r="AG1755" s="57"/>
      <c r="AH1755" s="57"/>
      <c r="AI1755" s="57"/>
      <c r="AJ1755" s="57"/>
      <c r="AK1755" s="57"/>
      <c r="AL1755" s="57"/>
      <c r="AM1755" s="57"/>
      <c r="AN1755" s="57"/>
      <c r="AO1755" s="57"/>
      <c r="AP1755" s="57"/>
      <c r="AQ1755" s="57"/>
      <c r="AR1755" s="57"/>
      <c r="AS1755" s="57"/>
      <c r="AT1755" s="57"/>
      <c r="AU1755" s="57"/>
      <c r="AV1755" s="57"/>
      <c r="AW1755" s="57"/>
      <c r="AX1755" s="57"/>
      <c r="AY1755" s="57"/>
      <c r="AZ1755" s="57"/>
      <c r="BA1755" s="57"/>
      <c r="BB1755" s="57"/>
      <c r="BC1755" s="57"/>
      <c r="BD1755" s="57"/>
      <c r="BE1755" s="57"/>
      <c r="BF1755" s="57"/>
    </row>
    <row r="1756" spans="1:58" s="52" customFormat="1" x14ac:dyDescent="0.25">
      <c r="A1756" s="53"/>
      <c r="B1756" s="60"/>
      <c r="C1756" s="57">
        <f t="shared" si="132"/>
        <v>0</v>
      </c>
      <c r="D1756" s="56"/>
      <c r="E1756" s="57">
        <f>[1]DETAY!$A$2</f>
        <v>0</v>
      </c>
      <c r="F1756" s="90">
        <f t="shared" si="133"/>
        <v>0</v>
      </c>
      <c r="G1756" s="92">
        <f t="shared" si="134"/>
        <v>0</v>
      </c>
      <c r="H1756" s="62" t="e">
        <f t="shared" si="135"/>
        <v>#DIV/0!</v>
      </c>
      <c r="I1756" s="57"/>
      <c r="J1756" s="57"/>
      <c r="K1756" s="57"/>
      <c r="L1756" s="57"/>
      <c r="M1756" s="58"/>
      <c r="N1756" s="57"/>
      <c r="O1756" s="57"/>
      <c r="P1756" s="57"/>
      <c r="Q1756" s="57"/>
      <c r="R1756" s="57"/>
      <c r="S1756" s="61"/>
      <c r="T1756" s="57"/>
      <c r="U1756" s="57"/>
      <c r="V1756" s="57"/>
      <c r="W1756" s="57"/>
      <c r="X1756" s="57"/>
      <c r="Y1756" s="57"/>
      <c r="Z1756" s="57"/>
      <c r="AA1756" s="57"/>
      <c r="AB1756" s="57"/>
      <c r="AC1756" s="57"/>
      <c r="AD1756" s="57"/>
      <c r="AE1756" s="57"/>
      <c r="AF1756" s="57"/>
      <c r="AG1756" s="57"/>
      <c r="AH1756" s="57"/>
      <c r="AI1756" s="57"/>
      <c r="AJ1756" s="57"/>
      <c r="AK1756" s="57"/>
      <c r="AL1756" s="57"/>
      <c r="AM1756" s="57"/>
      <c r="AN1756" s="57"/>
      <c r="AO1756" s="57"/>
      <c r="AP1756" s="57"/>
      <c r="AQ1756" s="57"/>
      <c r="AR1756" s="57"/>
      <c r="AS1756" s="57"/>
      <c r="AT1756" s="57"/>
      <c r="AU1756" s="57"/>
      <c r="AV1756" s="57"/>
      <c r="AW1756" s="57"/>
      <c r="AX1756" s="57"/>
      <c r="AY1756" s="57"/>
      <c r="AZ1756" s="57"/>
      <c r="BA1756" s="57"/>
      <c r="BB1756" s="57"/>
      <c r="BC1756" s="57"/>
      <c r="BD1756" s="57"/>
      <c r="BE1756" s="57"/>
      <c r="BF1756" s="57"/>
    </row>
    <row r="1757" spans="1:58" s="52" customFormat="1" x14ac:dyDescent="0.25">
      <c r="A1757" s="53"/>
      <c r="B1757" s="60"/>
      <c r="C1757" s="57">
        <f t="shared" si="132"/>
        <v>0</v>
      </c>
      <c r="D1757" s="56"/>
      <c r="E1757" s="57">
        <f>[1]DETAY!$A$2</f>
        <v>0</v>
      </c>
      <c r="F1757" s="90">
        <f t="shared" si="133"/>
        <v>0</v>
      </c>
      <c r="G1757" s="92">
        <f t="shared" si="134"/>
        <v>0</v>
      </c>
      <c r="H1757" s="62" t="e">
        <f t="shared" si="135"/>
        <v>#DIV/0!</v>
      </c>
      <c r="I1757" s="57"/>
      <c r="J1757" s="57"/>
      <c r="K1757" s="57"/>
      <c r="L1757" s="57"/>
      <c r="M1757" s="58"/>
      <c r="N1757" s="57"/>
      <c r="O1757" s="57"/>
      <c r="P1757" s="57"/>
      <c r="Q1757" s="57"/>
      <c r="R1757" s="57"/>
      <c r="S1757" s="61"/>
      <c r="T1757" s="57"/>
      <c r="U1757" s="57"/>
      <c r="V1757" s="57"/>
      <c r="W1757" s="57"/>
      <c r="X1757" s="57"/>
      <c r="Y1757" s="57"/>
      <c r="Z1757" s="57"/>
      <c r="AA1757" s="57"/>
      <c r="AB1757" s="57"/>
      <c r="AC1757" s="57"/>
      <c r="AD1757" s="57"/>
      <c r="AE1757" s="57"/>
      <c r="AF1757" s="57"/>
      <c r="AG1757" s="57"/>
      <c r="AH1757" s="57"/>
      <c r="AI1757" s="57"/>
      <c r="AJ1757" s="57"/>
      <c r="AK1757" s="57"/>
      <c r="AL1757" s="57"/>
      <c r="AM1757" s="57"/>
      <c r="AN1757" s="57"/>
      <c r="AO1757" s="57"/>
      <c r="AP1757" s="57"/>
      <c r="AQ1757" s="57"/>
      <c r="AR1757" s="57"/>
      <c r="AS1757" s="57"/>
      <c r="AT1757" s="57"/>
      <c r="AU1757" s="57"/>
      <c r="AV1757" s="57"/>
      <c r="AW1757" s="57"/>
      <c r="AX1757" s="57"/>
      <c r="AY1757" s="57"/>
      <c r="AZ1757" s="57"/>
      <c r="BA1757" s="57"/>
      <c r="BB1757" s="57"/>
      <c r="BC1757" s="57"/>
      <c r="BD1757" s="57"/>
      <c r="BE1757" s="57"/>
      <c r="BF1757" s="57"/>
    </row>
    <row r="1758" spans="1:58" s="52" customFormat="1" x14ac:dyDescent="0.25">
      <c r="A1758" s="53"/>
      <c r="B1758" s="60"/>
      <c r="C1758" s="57">
        <f t="shared" si="132"/>
        <v>0</v>
      </c>
      <c r="D1758" s="56"/>
      <c r="E1758" s="57">
        <f>[1]DETAY!$A$2</f>
        <v>0</v>
      </c>
      <c r="F1758" s="90">
        <f t="shared" si="133"/>
        <v>0</v>
      </c>
      <c r="G1758" s="92">
        <f t="shared" si="134"/>
        <v>0</v>
      </c>
      <c r="H1758" s="62" t="e">
        <f t="shared" si="135"/>
        <v>#DIV/0!</v>
      </c>
      <c r="I1758" s="57"/>
      <c r="J1758" s="57"/>
      <c r="K1758" s="57"/>
      <c r="L1758" s="57"/>
      <c r="M1758" s="58"/>
      <c r="N1758" s="57"/>
      <c r="O1758" s="57"/>
      <c r="P1758" s="57"/>
      <c r="Q1758" s="57"/>
      <c r="R1758" s="57"/>
      <c r="S1758" s="61"/>
      <c r="T1758" s="57"/>
      <c r="U1758" s="57"/>
      <c r="V1758" s="57"/>
      <c r="W1758" s="57"/>
      <c r="X1758" s="57"/>
      <c r="Y1758" s="57"/>
      <c r="Z1758" s="57"/>
      <c r="AA1758" s="57"/>
      <c r="AB1758" s="57"/>
      <c r="AC1758" s="57"/>
      <c r="AD1758" s="57"/>
      <c r="AE1758" s="57"/>
      <c r="AF1758" s="57"/>
      <c r="AG1758" s="57"/>
      <c r="AH1758" s="57"/>
      <c r="AI1758" s="57"/>
      <c r="AJ1758" s="57"/>
      <c r="AK1758" s="57"/>
      <c r="AL1758" s="57"/>
      <c r="AM1758" s="57"/>
      <c r="AN1758" s="57"/>
      <c r="AO1758" s="57"/>
      <c r="AP1758" s="57"/>
      <c r="AQ1758" s="57"/>
      <c r="AR1758" s="57"/>
      <c r="AS1758" s="57"/>
      <c r="AT1758" s="57"/>
      <c r="AU1758" s="57"/>
      <c r="AV1758" s="57"/>
      <c r="AW1758" s="57"/>
      <c r="AX1758" s="57"/>
      <c r="AY1758" s="57"/>
      <c r="AZ1758" s="57"/>
      <c r="BA1758" s="57"/>
      <c r="BB1758" s="57"/>
      <c r="BC1758" s="57"/>
      <c r="BD1758" s="57"/>
      <c r="BE1758" s="57"/>
      <c r="BF1758" s="57"/>
    </row>
    <row r="1759" spans="1:58" s="52" customFormat="1" x14ac:dyDescent="0.25">
      <c r="A1759" s="53"/>
      <c r="B1759" s="60"/>
      <c r="C1759" s="57">
        <f t="shared" si="132"/>
        <v>0</v>
      </c>
      <c r="D1759" s="56"/>
      <c r="E1759" s="57">
        <f>[1]DETAY!$A$2</f>
        <v>0</v>
      </c>
      <c r="F1759" s="90">
        <f t="shared" si="133"/>
        <v>0</v>
      </c>
      <c r="G1759" s="92">
        <f t="shared" si="134"/>
        <v>0</v>
      </c>
      <c r="H1759" s="62" t="e">
        <f t="shared" si="135"/>
        <v>#DIV/0!</v>
      </c>
      <c r="I1759" s="57"/>
      <c r="J1759" s="57"/>
      <c r="K1759" s="57"/>
      <c r="L1759" s="57"/>
      <c r="M1759" s="58"/>
      <c r="N1759" s="57"/>
      <c r="O1759" s="57"/>
      <c r="P1759" s="57"/>
      <c r="Q1759" s="57"/>
      <c r="R1759" s="57"/>
      <c r="S1759" s="61"/>
      <c r="T1759" s="57"/>
      <c r="U1759" s="57"/>
      <c r="V1759" s="57"/>
      <c r="W1759" s="57"/>
      <c r="X1759" s="57"/>
      <c r="Y1759" s="57"/>
      <c r="Z1759" s="57"/>
      <c r="AA1759" s="57"/>
      <c r="AB1759" s="57"/>
      <c r="AC1759" s="57"/>
      <c r="AD1759" s="57"/>
      <c r="AE1759" s="57"/>
      <c r="AF1759" s="57"/>
      <c r="AG1759" s="57"/>
      <c r="AH1759" s="57"/>
      <c r="AI1759" s="57"/>
      <c r="AJ1759" s="57"/>
      <c r="AK1759" s="57"/>
      <c r="AL1759" s="57"/>
      <c r="AM1759" s="57"/>
      <c r="AN1759" s="57"/>
      <c r="AO1759" s="57"/>
      <c r="AP1759" s="57"/>
      <c r="AQ1759" s="57"/>
      <c r="AR1759" s="57"/>
      <c r="AS1759" s="57"/>
      <c r="AT1759" s="57"/>
      <c r="AU1759" s="57"/>
      <c r="AV1759" s="57"/>
      <c r="AW1759" s="57"/>
      <c r="AX1759" s="57"/>
      <c r="AY1759" s="57"/>
      <c r="AZ1759" s="57"/>
      <c r="BA1759" s="57"/>
      <c r="BB1759" s="57"/>
      <c r="BC1759" s="57"/>
      <c r="BD1759" s="57"/>
      <c r="BE1759" s="57"/>
      <c r="BF1759" s="57"/>
    </row>
    <row r="1760" spans="1:58" s="52" customFormat="1" x14ac:dyDescent="0.25">
      <c r="A1760" s="53"/>
      <c r="B1760" s="60"/>
      <c r="C1760" s="57">
        <f t="shared" si="132"/>
        <v>0</v>
      </c>
      <c r="D1760" s="56"/>
      <c r="E1760" s="57">
        <f>[1]DETAY!$A$2</f>
        <v>0</v>
      </c>
      <c r="F1760" s="90">
        <f t="shared" si="133"/>
        <v>0</v>
      </c>
      <c r="G1760" s="92">
        <f t="shared" si="134"/>
        <v>0</v>
      </c>
      <c r="H1760" s="62" t="e">
        <f t="shared" si="135"/>
        <v>#DIV/0!</v>
      </c>
      <c r="I1760" s="57"/>
      <c r="J1760" s="57"/>
      <c r="K1760" s="57"/>
      <c r="L1760" s="57"/>
      <c r="M1760" s="58"/>
      <c r="N1760" s="57"/>
      <c r="O1760" s="57"/>
      <c r="P1760" s="57"/>
      <c r="Q1760" s="57"/>
      <c r="R1760" s="57"/>
      <c r="S1760" s="61"/>
      <c r="T1760" s="57"/>
      <c r="U1760" s="57"/>
      <c r="V1760" s="57"/>
      <c r="W1760" s="57"/>
      <c r="X1760" s="57"/>
      <c r="Y1760" s="57"/>
      <c r="Z1760" s="57"/>
      <c r="AA1760" s="57"/>
      <c r="AB1760" s="57"/>
      <c r="AC1760" s="57"/>
      <c r="AD1760" s="57"/>
      <c r="AE1760" s="57"/>
      <c r="AF1760" s="57"/>
      <c r="AG1760" s="57"/>
      <c r="AH1760" s="57"/>
      <c r="AI1760" s="57"/>
      <c r="AJ1760" s="57"/>
      <c r="AK1760" s="57"/>
      <c r="AL1760" s="57"/>
      <c r="AM1760" s="57"/>
      <c r="AN1760" s="57"/>
      <c r="AO1760" s="57"/>
      <c r="AP1760" s="57"/>
      <c r="AQ1760" s="57"/>
      <c r="AR1760" s="57"/>
      <c r="AS1760" s="57"/>
      <c r="AT1760" s="57"/>
      <c r="AU1760" s="57"/>
      <c r="AV1760" s="57"/>
      <c r="AW1760" s="57"/>
      <c r="AX1760" s="57"/>
      <c r="AY1760" s="57"/>
      <c r="AZ1760" s="57"/>
      <c r="BA1760" s="57"/>
      <c r="BB1760" s="57"/>
      <c r="BC1760" s="57"/>
      <c r="BD1760" s="57"/>
      <c r="BE1760" s="57"/>
      <c r="BF1760" s="57"/>
    </row>
    <row r="1761" spans="1:58" s="52" customFormat="1" x14ac:dyDescent="0.25">
      <c r="A1761" s="53"/>
      <c r="B1761" s="60"/>
      <c r="C1761" s="57">
        <f t="shared" si="132"/>
        <v>0</v>
      </c>
      <c r="D1761" s="56"/>
      <c r="E1761" s="57">
        <f>[1]DETAY!$A$2</f>
        <v>0</v>
      </c>
      <c r="F1761" s="90">
        <f t="shared" si="133"/>
        <v>0</v>
      </c>
      <c r="G1761" s="92">
        <f t="shared" si="134"/>
        <v>0</v>
      </c>
      <c r="H1761" s="62" t="e">
        <f t="shared" si="135"/>
        <v>#DIV/0!</v>
      </c>
      <c r="I1761" s="57"/>
      <c r="J1761" s="57"/>
      <c r="K1761" s="57"/>
      <c r="L1761" s="57"/>
      <c r="M1761" s="58"/>
      <c r="N1761" s="57"/>
      <c r="O1761" s="57"/>
      <c r="P1761" s="57"/>
      <c r="Q1761" s="57"/>
      <c r="R1761" s="57"/>
      <c r="S1761" s="61"/>
      <c r="T1761" s="57"/>
      <c r="U1761" s="57"/>
      <c r="V1761" s="57"/>
      <c r="W1761" s="57"/>
      <c r="X1761" s="57"/>
      <c r="Y1761" s="57"/>
      <c r="Z1761" s="57"/>
      <c r="AA1761" s="57"/>
      <c r="AB1761" s="57"/>
      <c r="AC1761" s="57"/>
      <c r="AD1761" s="57"/>
      <c r="AE1761" s="57"/>
      <c r="AF1761" s="57"/>
      <c r="AG1761" s="57"/>
      <c r="AH1761" s="57"/>
      <c r="AI1761" s="57"/>
      <c r="AJ1761" s="57"/>
      <c r="AK1761" s="57"/>
      <c r="AL1761" s="57"/>
      <c r="AM1761" s="57"/>
      <c r="AN1761" s="57"/>
      <c r="AO1761" s="57"/>
      <c r="AP1761" s="57"/>
      <c r="AQ1761" s="57"/>
      <c r="AR1761" s="57"/>
      <c r="AS1761" s="57"/>
      <c r="AT1761" s="57"/>
      <c r="AU1761" s="57"/>
      <c r="AV1761" s="57"/>
      <c r="AW1761" s="57"/>
      <c r="AX1761" s="57"/>
      <c r="AY1761" s="57"/>
      <c r="AZ1761" s="57"/>
      <c r="BA1761" s="57"/>
      <c r="BB1761" s="57"/>
      <c r="BC1761" s="57"/>
      <c r="BD1761" s="57"/>
      <c r="BE1761" s="57"/>
      <c r="BF1761" s="57"/>
    </row>
    <row r="1762" spans="1:58" s="52" customFormat="1" x14ac:dyDescent="0.25">
      <c r="A1762" s="53"/>
      <c r="B1762" s="60"/>
      <c r="C1762" s="57">
        <f t="shared" si="132"/>
        <v>0</v>
      </c>
      <c r="D1762" s="56"/>
      <c r="E1762" s="57">
        <f>[1]DETAY!$A$2</f>
        <v>0</v>
      </c>
      <c r="F1762" s="90">
        <f t="shared" si="133"/>
        <v>0</v>
      </c>
      <c r="G1762" s="92">
        <f t="shared" si="134"/>
        <v>0</v>
      </c>
      <c r="H1762" s="62" t="e">
        <f t="shared" si="135"/>
        <v>#DIV/0!</v>
      </c>
      <c r="I1762" s="57"/>
      <c r="J1762" s="57"/>
      <c r="K1762" s="57"/>
      <c r="L1762" s="57"/>
      <c r="M1762" s="58"/>
      <c r="N1762" s="57"/>
      <c r="O1762" s="57"/>
      <c r="P1762" s="57"/>
      <c r="Q1762" s="57"/>
      <c r="R1762" s="57"/>
      <c r="S1762" s="61"/>
      <c r="T1762" s="57"/>
      <c r="U1762" s="57"/>
      <c r="V1762" s="57"/>
      <c r="W1762" s="57"/>
      <c r="X1762" s="57"/>
      <c r="Y1762" s="57"/>
      <c r="Z1762" s="57"/>
      <c r="AA1762" s="57"/>
      <c r="AB1762" s="57"/>
      <c r="AC1762" s="57"/>
      <c r="AD1762" s="57"/>
      <c r="AE1762" s="57"/>
      <c r="AF1762" s="57"/>
      <c r="AG1762" s="57"/>
      <c r="AH1762" s="57"/>
      <c r="AI1762" s="57"/>
      <c r="AJ1762" s="57"/>
      <c r="AK1762" s="57"/>
      <c r="AL1762" s="57"/>
      <c r="AM1762" s="57"/>
      <c r="AN1762" s="57"/>
      <c r="AO1762" s="57"/>
      <c r="AP1762" s="57"/>
      <c r="AQ1762" s="57"/>
      <c r="AR1762" s="57"/>
      <c r="AS1762" s="57"/>
      <c r="AT1762" s="57"/>
      <c r="AU1762" s="57"/>
      <c r="AV1762" s="57"/>
      <c r="AW1762" s="57"/>
      <c r="AX1762" s="57"/>
      <c r="AY1762" s="57"/>
      <c r="AZ1762" s="57"/>
      <c r="BA1762" s="57"/>
      <c r="BB1762" s="57"/>
      <c r="BC1762" s="57"/>
      <c r="BD1762" s="57"/>
      <c r="BE1762" s="57"/>
      <c r="BF1762" s="57"/>
    </row>
    <row r="1763" spans="1:58" s="52" customFormat="1" x14ac:dyDescent="0.25">
      <c r="A1763" s="53"/>
      <c r="B1763" s="60"/>
      <c r="C1763" s="57">
        <f t="shared" si="132"/>
        <v>0</v>
      </c>
      <c r="D1763" s="56"/>
      <c r="E1763" s="57">
        <f>[1]DETAY!$A$2</f>
        <v>0</v>
      </c>
      <c r="F1763" s="90">
        <f t="shared" si="133"/>
        <v>0</v>
      </c>
      <c r="G1763" s="92">
        <f t="shared" si="134"/>
        <v>0</v>
      </c>
      <c r="H1763" s="62" t="e">
        <f t="shared" si="135"/>
        <v>#DIV/0!</v>
      </c>
      <c r="I1763" s="57"/>
      <c r="J1763" s="57"/>
      <c r="K1763" s="57"/>
      <c r="L1763" s="57"/>
      <c r="M1763" s="58"/>
      <c r="N1763" s="57"/>
      <c r="O1763" s="57"/>
      <c r="P1763" s="57"/>
      <c r="Q1763" s="57"/>
      <c r="R1763" s="57"/>
      <c r="S1763" s="61"/>
      <c r="T1763" s="57"/>
      <c r="U1763" s="57"/>
      <c r="V1763" s="57"/>
      <c r="W1763" s="57"/>
      <c r="X1763" s="57"/>
      <c r="Y1763" s="57"/>
      <c r="Z1763" s="57"/>
      <c r="AA1763" s="57"/>
      <c r="AB1763" s="57"/>
      <c r="AC1763" s="57"/>
      <c r="AD1763" s="57"/>
      <c r="AE1763" s="57"/>
      <c r="AF1763" s="57"/>
      <c r="AG1763" s="57"/>
      <c r="AH1763" s="57"/>
      <c r="AI1763" s="57"/>
      <c r="AJ1763" s="57"/>
      <c r="AK1763" s="57"/>
      <c r="AL1763" s="57"/>
      <c r="AM1763" s="57"/>
      <c r="AN1763" s="57"/>
      <c r="AO1763" s="57"/>
      <c r="AP1763" s="57"/>
      <c r="AQ1763" s="57"/>
      <c r="AR1763" s="57"/>
      <c r="AS1763" s="57"/>
      <c r="AT1763" s="57"/>
      <c r="AU1763" s="57"/>
      <c r="AV1763" s="57"/>
      <c r="AW1763" s="57"/>
      <c r="AX1763" s="57"/>
      <c r="AY1763" s="57"/>
      <c r="AZ1763" s="57"/>
      <c r="BA1763" s="57"/>
      <c r="BB1763" s="57"/>
      <c r="BC1763" s="57"/>
      <c r="BD1763" s="57"/>
      <c r="BE1763" s="57"/>
      <c r="BF1763" s="57"/>
    </row>
    <row r="1764" spans="1:58" s="52" customFormat="1" x14ac:dyDescent="0.25">
      <c r="A1764" s="53"/>
      <c r="B1764" s="60"/>
      <c r="C1764" s="57">
        <f t="shared" si="132"/>
        <v>0</v>
      </c>
      <c r="D1764" s="56"/>
      <c r="E1764" s="57">
        <f>[1]DETAY!$A$2</f>
        <v>0</v>
      </c>
      <c r="F1764" s="90">
        <f t="shared" si="133"/>
        <v>0</v>
      </c>
      <c r="G1764" s="92">
        <f t="shared" si="134"/>
        <v>0</v>
      </c>
      <c r="H1764" s="62" t="e">
        <f t="shared" si="135"/>
        <v>#DIV/0!</v>
      </c>
      <c r="I1764" s="57"/>
      <c r="J1764" s="57"/>
      <c r="K1764" s="57"/>
      <c r="L1764" s="57"/>
      <c r="M1764" s="58"/>
      <c r="N1764" s="57"/>
      <c r="O1764" s="57"/>
      <c r="P1764" s="57"/>
      <c r="Q1764" s="57"/>
      <c r="R1764" s="57"/>
      <c r="S1764" s="61"/>
      <c r="T1764" s="57"/>
      <c r="U1764" s="57"/>
      <c r="V1764" s="57"/>
      <c r="W1764" s="57"/>
      <c r="X1764" s="57"/>
      <c r="Y1764" s="57"/>
      <c r="Z1764" s="57"/>
      <c r="AA1764" s="57"/>
      <c r="AB1764" s="57"/>
      <c r="AC1764" s="57"/>
      <c r="AD1764" s="57"/>
      <c r="AE1764" s="57"/>
      <c r="AF1764" s="57"/>
      <c r="AG1764" s="57"/>
      <c r="AH1764" s="57"/>
      <c r="AI1764" s="57"/>
      <c r="AJ1764" s="57"/>
      <c r="AK1764" s="57"/>
      <c r="AL1764" s="57"/>
      <c r="AM1764" s="57"/>
      <c r="AN1764" s="57"/>
      <c r="AO1764" s="57"/>
      <c r="AP1764" s="57"/>
      <c r="AQ1764" s="57"/>
      <c r="AR1764" s="57"/>
      <c r="AS1764" s="57"/>
      <c r="AT1764" s="57"/>
      <c r="AU1764" s="57"/>
      <c r="AV1764" s="57"/>
      <c r="AW1764" s="57"/>
      <c r="AX1764" s="57"/>
      <c r="AY1764" s="57"/>
      <c r="AZ1764" s="57"/>
      <c r="BA1764" s="57"/>
      <c r="BB1764" s="57"/>
      <c r="BC1764" s="57"/>
      <c r="BD1764" s="57"/>
      <c r="BE1764" s="57"/>
      <c r="BF1764" s="57"/>
    </row>
    <row r="1765" spans="1:58" s="52" customFormat="1" x14ac:dyDescent="0.25">
      <c r="A1765" s="53"/>
      <c r="B1765" s="60"/>
      <c r="C1765" s="57">
        <f t="shared" si="132"/>
        <v>0</v>
      </c>
      <c r="D1765" s="56"/>
      <c r="E1765" s="57">
        <f>[1]DETAY!$A$2</f>
        <v>0</v>
      </c>
      <c r="F1765" s="90">
        <f t="shared" si="133"/>
        <v>0</v>
      </c>
      <c r="G1765" s="92">
        <f t="shared" si="134"/>
        <v>0</v>
      </c>
      <c r="H1765" s="62" t="e">
        <f t="shared" si="135"/>
        <v>#DIV/0!</v>
      </c>
      <c r="I1765" s="57"/>
      <c r="J1765" s="57"/>
      <c r="K1765" s="57"/>
      <c r="L1765" s="57"/>
      <c r="M1765" s="58"/>
      <c r="N1765" s="57"/>
      <c r="O1765" s="57"/>
      <c r="P1765" s="57"/>
      <c r="Q1765" s="57"/>
      <c r="R1765" s="57"/>
      <c r="S1765" s="61"/>
      <c r="T1765" s="57"/>
      <c r="U1765" s="57"/>
      <c r="V1765" s="57"/>
      <c r="W1765" s="57"/>
      <c r="X1765" s="57"/>
      <c r="Y1765" s="57"/>
      <c r="Z1765" s="57"/>
      <c r="AA1765" s="57"/>
      <c r="AB1765" s="57"/>
      <c r="AC1765" s="57"/>
      <c r="AD1765" s="57"/>
      <c r="AE1765" s="57"/>
      <c r="AF1765" s="57"/>
      <c r="AG1765" s="57"/>
      <c r="AH1765" s="57"/>
      <c r="AI1765" s="57"/>
      <c r="AJ1765" s="57"/>
      <c r="AK1765" s="57"/>
      <c r="AL1765" s="57"/>
      <c r="AM1765" s="57"/>
      <c r="AN1765" s="57"/>
      <c r="AO1765" s="57"/>
      <c r="AP1765" s="57"/>
      <c r="AQ1765" s="57"/>
      <c r="AR1765" s="57"/>
      <c r="AS1765" s="57"/>
      <c r="AT1765" s="57"/>
      <c r="AU1765" s="57"/>
      <c r="AV1765" s="57"/>
      <c r="AW1765" s="57"/>
      <c r="AX1765" s="57"/>
      <c r="AY1765" s="57"/>
      <c r="AZ1765" s="57"/>
      <c r="BA1765" s="57"/>
      <c r="BB1765" s="57"/>
      <c r="BC1765" s="57"/>
      <c r="BD1765" s="57"/>
      <c r="BE1765" s="57"/>
      <c r="BF1765" s="57"/>
    </row>
    <row r="1766" spans="1:58" s="52" customFormat="1" x14ac:dyDescent="0.25">
      <c r="A1766" s="53"/>
      <c r="B1766" s="60"/>
      <c r="C1766" s="57">
        <f t="shared" si="132"/>
        <v>0</v>
      </c>
      <c r="D1766" s="56"/>
      <c r="E1766" s="57">
        <f>[1]DETAY!$A$2</f>
        <v>0</v>
      </c>
      <c r="F1766" s="90">
        <f t="shared" si="133"/>
        <v>0</v>
      </c>
      <c r="G1766" s="92">
        <f t="shared" si="134"/>
        <v>0</v>
      </c>
      <c r="H1766" s="62" t="e">
        <f t="shared" si="135"/>
        <v>#DIV/0!</v>
      </c>
      <c r="I1766" s="57"/>
      <c r="J1766" s="57"/>
      <c r="K1766" s="57"/>
      <c r="L1766" s="57"/>
      <c r="M1766" s="58"/>
      <c r="N1766" s="57"/>
      <c r="O1766" s="57"/>
      <c r="P1766" s="57"/>
      <c r="Q1766" s="57"/>
      <c r="R1766" s="57"/>
      <c r="S1766" s="61"/>
      <c r="T1766" s="57"/>
      <c r="U1766" s="57"/>
      <c r="V1766" s="57"/>
      <c r="W1766" s="57"/>
      <c r="X1766" s="57"/>
      <c r="Y1766" s="57"/>
      <c r="Z1766" s="57"/>
      <c r="AA1766" s="57"/>
      <c r="AB1766" s="57"/>
      <c r="AC1766" s="57"/>
      <c r="AD1766" s="57"/>
      <c r="AE1766" s="57"/>
      <c r="AF1766" s="57"/>
      <c r="AG1766" s="57"/>
      <c r="AH1766" s="57"/>
      <c r="AI1766" s="57"/>
      <c r="AJ1766" s="57"/>
      <c r="AK1766" s="57"/>
      <c r="AL1766" s="57"/>
      <c r="AM1766" s="57"/>
      <c r="AN1766" s="57"/>
      <c r="AO1766" s="57"/>
      <c r="AP1766" s="57"/>
      <c r="AQ1766" s="57"/>
      <c r="AR1766" s="57"/>
      <c r="AS1766" s="57"/>
      <c r="AT1766" s="57"/>
      <c r="AU1766" s="57"/>
      <c r="AV1766" s="57"/>
      <c r="AW1766" s="57"/>
      <c r="AX1766" s="57"/>
      <c r="AY1766" s="57"/>
      <c r="AZ1766" s="57"/>
      <c r="BA1766" s="57"/>
      <c r="BB1766" s="57"/>
      <c r="BC1766" s="57"/>
      <c r="BD1766" s="57"/>
      <c r="BE1766" s="57"/>
      <c r="BF1766" s="57"/>
    </row>
    <row r="1767" spans="1:58" s="52" customFormat="1" x14ac:dyDescent="0.25">
      <c r="A1767" s="53"/>
      <c r="B1767" s="60"/>
      <c r="C1767" s="57">
        <f t="shared" si="132"/>
        <v>0</v>
      </c>
      <c r="D1767" s="56"/>
      <c r="E1767" s="57">
        <f>[1]DETAY!$A$2</f>
        <v>0</v>
      </c>
      <c r="F1767" s="90">
        <f t="shared" si="133"/>
        <v>0</v>
      </c>
      <c r="G1767" s="92">
        <f t="shared" si="134"/>
        <v>0</v>
      </c>
      <c r="H1767" s="62" t="e">
        <f t="shared" si="135"/>
        <v>#DIV/0!</v>
      </c>
      <c r="I1767" s="57"/>
      <c r="J1767" s="57"/>
      <c r="K1767" s="57"/>
      <c r="L1767" s="57"/>
      <c r="M1767" s="58"/>
      <c r="N1767" s="57"/>
      <c r="O1767" s="57"/>
      <c r="P1767" s="57"/>
      <c r="Q1767" s="57"/>
      <c r="R1767" s="57"/>
      <c r="S1767" s="61"/>
      <c r="T1767" s="57"/>
      <c r="U1767" s="57"/>
      <c r="V1767" s="57"/>
      <c r="W1767" s="57"/>
      <c r="X1767" s="57"/>
      <c r="Y1767" s="57"/>
      <c r="Z1767" s="57"/>
      <c r="AA1767" s="57"/>
      <c r="AB1767" s="57"/>
      <c r="AC1767" s="57"/>
      <c r="AD1767" s="57"/>
      <c r="AE1767" s="57"/>
      <c r="AF1767" s="57"/>
      <c r="AG1767" s="57"/>
      <c r="AH1767" s="57"/>
      <c r="AI1767" s="57"/>
      <c r="AJ1767" s="57"/>
      <c r="AK1767" s="57"/>
      <c r="AL1767" s="57"/>
      <c r="AM1767" s="57"/>
      <c r="AN1767" s="57"/>
      <c r="AO1767" s="57"/>
      <c r="AP1767" s="57"/>
      <c r="AQ1767" s="57"/>
      <c r="AR1767" s="57"/>
      <c r="AS1767" s="57"/>
      <c r="AT1767" s="57"/>
      <c r="AU1767" s="57"/>
      <c r="AV1767" s="57"/>
      <c r="AW1767" s="57"/>
      <c r="AX1767" s="57"/>
      <c r="AY1767" s="57"/>
      <c r="AZ1767" s="57"/>
      <c r="BA1767" s="57"/>
      <c r="BB1767" s="57"/>
      <c r="BC1767" s="57"/>
      <c r="BD1767" s="57"/>
      <c r="BE1767" s="57"/>
      <c r="BF1767" s="57"/>
    </row>
    <row r="1768" spans="1:58" s="52" customFormat="1" x14ac:dyDescent="0.25">
      <c r="A1768" s="53"/>
      <c r="B1768" s="60"/>
      <c r="C1768" s="57">
        <f t="shared" si="132"/>
        <v>0</v>
      </c>
      <c r="D1768" s="56"/>
      <c r="E1768" s="57">
        <f>[1]DETAY!$A$2</f>
        <v>0</v>
      </c>
      <c r="F1768" s="90">
        <f t="shared" si="133"/>
        <v>0</v>
      </c>
      <c r="G1768" s="92">
        <f t="shared" si="134"/>
        <v>0</v>
      </c>
      <c r="H1768" s="62" t="e">
        <f t="shared" si="135"/>
        <v>#DIV/0!</v>
      </c>
      <c r="I1768" s="57"/>
      <c r="J1768" s="57"/>
      <c r="K1768" s="57"/>
      <c r="L1768" s="57"/>
      <c r="M1768" s="58"/>
      <c r="N1768" s="57"/>
      <c r="O1768" s="57"/>
      <c r="P1768" s="57"/>
      <c r="Q1768" s="57"/>
      <c r="R1768" s="57"/>
      <c r="S1768" s="61"/>
      <c r="T1768" s="57"/>
      <c r="U1768" s="57"/>
      <c r="V1768" s="57"/>
      <c r="W1768" s="57"/>
      <c r="X1768" s="57"/>
      <c r="Y1768" s="57"/>
      <c r="Z1768" s="57"/>
      <c r="AA1768" s="57"/>
      <c r="AB1768" s="57"/>
      <c r="AC1768" s="57"/>
      <c r="AD1768" s="57"/>
      <c r="AE1768" s="57"/>
      <c r="AF1768" s="57"/>
      <c r="AG1768" s="57"/>
      <c r="AH1768" s="57"/>
      <c r="AI1768" s="57"/>
      <c r="AJ1768" s="57"/>
      <c r="AK1768" s="57"/>
      <c r="AL1768" s="57"/>
      <c r="AM1768" s="57"/>
      <c r="AN1768" s="57"/>
      <c r="AO1768" s="57"/>
      <c r="AP1768" s="57"/>
      <c r="AQ1768" s="57"/>
      <c r="AR1768" s="57"/>
      <c r="AS1768" s="57"/>
      <c r="AT1768" s="57"/>
      <c r="AU1768" s="57"/>
      <c r="AV1768" s="57"/>
      <c r="AW1768" s="57"/>
      <c r="AX1768" s="57"/>
      <c r="AY1768" s="57"/>
      <c r="AZ1768" s="57"/>
      <c r="BA1768" s="57"/>
      <c r="BB1768" s="57"/>
      <c r="BC1768" s="57"/>
      <c r="BD1768" s="57"/>
      <c r="BE1768" s="57"/>
      <c r="BF1768" s="57"/>
    </row>
    <row r="1769" spans="1:58" s="52" customFormat="1" x14ac:dyDescent="0.25">
      <c r="A1769" s="53"/>
      <c r="B1769" s="60"/>
      <c r="C1769" s="57">
        <f t="shared" si="132"/>
        <v>0</v>
      </c>
      <c r="D1769" s="56"/>
      <c r="E1769" s="57">
        <f>[1]DETAY!$A$2</f>
        <v>0</v>
      </c>
      <c r="F1769" s="90">
        <f t="shared" si="133"/>
        <v>0</v>
      </c>
      <c r="G1769" s="92">
        <f t="shared" si="134"/>
        <v>0</v>
      </c>
      <c r="H1769" s="62" t="e">
        <f t="shared" si="135"/>
        <v>#DIV/0!</v>
      </c>
      <c r="I1769" s="57"/>
      <c r="J1769" s="57"/>
      <c r="K1769" s="57"/>
      <c r="L1769" s="57"/>
      <c r="M1769" s="58"/>
      <c r="N1769" s="57"/>
      <c r="O1769" s="57"/>
      <c r="P1769" s="57"/>
      <c r="Q1769" s="57"/>
      <c r="R1769" s="57"/>
      <c r="S1769" s="61"/>
      <c r="T1769" s="57"/>
      <c r="U1769" s="57"/>
      <c r="V1769" s="57"/>
      <c r="W1769" s="57"/>
      <c r="X1769" s="57"/>
      <c r="Y1769" s="57"/>
      <c r="Z1769" s="57"/>
      <c r="AA1769" s="57"/>
      <c r="AB1769" s="57"/>
      <c r="AC1769" s="57"/>
      <c r="AD1769" s="57"/>
      <c r="AE1769" s="57"/>
      <c r="AF1769" s="57"/>
      <c r="AG1769" s="57"/>
      <c r="AH1769" s="57"/>
      <c r="AI1769" s="57"/>
      <c r="AJ1769" s="57"/>
      <c r="AK1769" s="57"/>
      <c r="AL1769" s="57"/>
      <c r="AM1769" s="57"/>
      <c r="AN1769" s="57"/>
      <c r="AO1769" s="57"/>
      <c r="AP1769" s="57"/>
      <c r="AQ1769" s="57"/>
      <c r="AR1769" s="57"/>
      <c r="AS1769" s="57"/>
      <c r="AT1769" s="57"/>
      <c r="AU1769" s="57"/>
      <c r="AV1769" s="57"/>
      <c r="AW1769" s="57"/>
      <c r="AX1769" s="57"/>
      <c r="AY1769" s="57"/>
      <c r="AZ1769" s="57"/>
      <c r="BA1769" s="57"/>
      <c r="BB1769" s="57"/>
      <c r="BC1769" s="57"/>
      <c r="BD1769" s="57"/>
      <c r="BE1769" s="57"/>
      <c r="BF1769" s="57"/>
    </row>
    <row r="1770" spans="1:58" s="52" customFormat="1" x14ac:dyDescent="0.25">
      <c r="A1770" s="53"/>
      <c r="B1770" s="60"/>
      <c r="C1770" s="57">
        <f t="shared" si="132"/>
        <v>0</v>
      </c>
      <c r="D1770" s="56"/>
      <c r="E1770" s="57">
        <f>[1]DETAY!$A$2</f>
        <v>0</v>
      </c>
      <c r="F1770" s="90">
        <f t="shared" si="133"/>
        <v>0</v>
      </c>
      <c r="G1770" s="92">
        <f t="shared" si="134"/>
        <v>0</v>
      </c>
      <c r="H1770" s="62" t="e">
        <f t="shared" si="135"/>
        <v>#DIV/0!</v>
      </c>
      <c r="I1770" s="57"/>
      <c r="J1770" s="57"/>
      <c r="K1770" s="57"/>
      <c r="L1770" s="57"/>
      <c r="M1770" s="58"/>
      <c r="N1770" s="57"/>
      <c r="O1770" s="57"/>
      <c r="P1770" s="57"/>
      <c r="Q1770" s="57"/>
      <c r="R1770" s="57"/>
      <c r="S1770" s="61"/>
      <c r="T1770" s="57"/>
      <c r="U1770" s="57"/>
      <c r="V1770" s="57"/>
      <c r="W1770" s="57"/>
      <c r="X1770" s="57"/>
      <c r="Y1770" s="57"/>
      <c r="Z1770" s="57"/>
      <c r="AA1770" s="57"/>
      <c r="AB1770" s="57"/>
      <c r="AC1770" s="57"/>
      <c r="AD1770" s="57"/>
      <c r="AE1770" s="57"/>
      <c r="AF1770" s="57"/>
      <c r="AG1770" s="57"/>
      <c r="AH1770" s="57"/>
      <c r="AI1770" s="57"/>
      <c r="AJ1770" s="57"/>
      <c r="AK1770" s="57"/>
      <c r="AL1770" s="57"/>
      <c r="AM1770" s="57"/>
      <c r="AN1770" s="57"/>
      <c r="AO1770" s="57"/>
      <c r="AP1770" s="57"/>
      <c r="AQ1770" s="57"/>
      <c r="AR1770" s="57"/>
      <c r="AS1770" s="57"/>
      <c r="AT1770" s="57"/>
      <c r="AU1770" s="57"/>
      <c r="AV1770" s="57"/>
      <c r="AW1770" s="57"/>
      <c r="AX1770" s="57"/>
      <c r="AY1770" s="57"/>
      <c r="AZ1770" s="57"/>
      <c r="BA1770" s="57"/>
      <c r="BB1770" s="57"/>
      <c r="BC1770" s="57"/>
      <c r="BD1770" s="57"/>
      <c r="BE1770" s="57"/>
      <c r="BF1770" s="57"/>
    </row>
    <row r="1771" spans="1:58" s="52" customFormat="1" x14ac:dyDescent="0.25">
      <c r="A1771" s="53"/>
      <c r="B1771" s="60"/>
      <c r="C1771" s="57">
        <f t="shared" si="132"/>
        <v>0</v>
      </c>
      <c r="D1771" s="56"/>
      <c r="E1771" s="57">
        <f>[1]DETAY!$A$2</f>
        <v>0</v>
      </c>
      <c r="F1771" s="90">
        <f t="shared" si="133"/>
        <v>0</v>
      </c>
      <c r="G1771" s="92">
        <f t="shared" si="134"/>
        <v>0</v>
      </c>
      <c r="H1771" s="62" t="e">
        <f t="shared" si="135"/>
        <v>#DIV/0!</v>
      </c>
      <c r="I1771" s="57"/>
      <c r="J1771" s="57"/>
      <c r="K1771" s="57"/>
      <c r="L1771" s="57"/>
      <c r="M1771" s="58"/>
      <c r="N1771" s="57"/>
      <c r="O1771" s="57"/>
      <c r="P1771" s="57"/>
      <c r="Q1771" s="57"/>
      <c r="R1771" s="57"/>
      <c r="S1771" s="61"/>
      <c r="T1771" s="57"/>
      <c r="U1771" s="57"/>
      <c r="V1771" s="57"/>
      <c r="W1771" s="57"/>
      <c r="X1771" s="57"/>
      <c r="Y1771" s="57"/>
      <c r="Z1771" s="57"/>
      <c r="AA1771" s="57"/>
      <c r="AB1771" s="57"/>
      <c r="AC1771" s="57"/>
      <c r="AD1771" s="57"/>
      <c r="AE1771" s="57"/>
      <c r="AF1771" s="57"/>
      <c r="AG1771" s="57"/>
      <c r="AH1771" s="57"/>
      <c r="AI1771" s="57"/>
      <c r="AJ1771" s="57"/>
      <c r="AK1771" s="57"/>
      <c r="AL1771" s="57"/>
      <c r="AM1771" s="57"/>
      <c r="AN1771" s="57"/>
      <c r="AO1771" s="57"/>
      <c r="AP1771" s="57"/>
      <c r="AQ1771" s="57"/>
      <c r="AR1771" s="57"/>
      <c r="AS1771" s="57"/>
      <c r="AT1771" s="57"/>
      <c r="AU1771" s="57"/>
      <c r="AV1771" s="57"/>
      <c r="AW1771" s="57"/>
      <c r="AX1771" s="57"/>
      <c r="AY1771" s="57"/>
      <c r="AZ1771" s="57"/>
      <c r="BA1771" s="57"/>
      <c r="BB1771" s="57"/>
      <c r="BC1771" s="57"/>
      <c r="BD1771" s="57"/>
      <c r="BE1771" s="57"/>
      <c r="BF1771" s="57"/>
    </row>
    <row r="1772" spans="1:58" s="52" customFormat="1" x14ac:dyDescent="0.25">
      <c r="A1772" s="53"/>
      <c r="B1772" s="60"/>
      <c r="C1772" s="57">
        <f t="shared" si="132"/>
        <v>0</v>
      </c>
      <c r="D1772" s="56"/>
      <c r="E1772" s="57">
        <f>[1]DETAY!$A$2</f>
        <v>0</v>
      </c>
      <c r="F1772" s="90">
        <f t="shared" si="133"/>
        <v>0</v>
      </c>
      <c r="G1772" s="92">
        <f t="shared" si="134"/>
        <v>0</v>
      </c>
      <c r="H1772" s="62" t="e">
        <f t="shared" si="135"/>
        <v>#DIV/0!</v>
      </c>
      <c r="I1772" s="57"/>
      <c r="J1772" s="57"/>
      <c r="K1772" s="57"/>
      <c r="L1772" s="57"/>
      <c r="M1772" s="58"/>
      <c r="N1772" s="57"/>
      <c r="O1772" s="57"/>
      <c r="P1772" s="57"/>
      <c r="Q1772" s="57"/>
      <c r="R1772" s="57"/>
      <c r="S1772" s="61"/>
      <c r="T1772" s="57"/>
      <c r="U1772" s="57"/>
      <c r="V1772" s="57"/>
      <c r="W1772" s="57"/>
      <c r="X1772" s="57"/>
      <c r="Y1772" s="57"/>
      <c r="Z1772" s="57"/>
      <c r="AA1772" s="57"/>
      <c r="AB1772" s="57"/>
      <c r="AC1772" s="57"/>
      <c r="AD1772" s="57"/>
      <c r="AE1772" s="57"/>
      <c r="AF1772" s="57"/>
      <c r="AG1772" s="57"/>
      <c r="AH1772" s="57"/>
      <c r="AI1772" s="57"/>
      <c r="AJ1772" s="57"/>
      <c r="AK1772" s="57"/>
      <c r="AL1772" s="57"/>
      <c r="AM1772" s="57"/>
      <c r="AN1772" s="57"/>
      <c r="AO1772" s="57"/>
      <c r="AP1772" s="57"/>
      <c r="AQ1772" s="57"/>
      <c r="AR1772" s="57"/>
      <c r="AS1772" s="57"/>
      <c r="AT1772" s="57"/>
      <c r="AU1772" s="57"/>
      <c r="AV1772" s="57"/>
      <c r="AW1772" s="57"/>
      <c r="AX1772" s="57"/>
      <c r="AY1772" s="57"/>
      <c r="AZ1772" s="57"/>
      <c r="BA1772" s="57"/>
      <c r="BB1772" s="57"/>
      <c r="BC1772" s="57"/>
      <c r="BD1772" s="57"/>
      <c r="BE1772" s="57"/>
      <c r="BF1772" s="57"/>
    </row>
    <row r="1773" spans="1:58" s="52" customFormat="1" x14ac:dyDescent="0.25">
      <c r="A1773" s="53"/>
      <c r="B1773" s="60"/>
      <c r="C1773" s="57">
        <f t="shared" si="132"/>
        <v>0</v>
      </c>
      <c r="D1773" s="56"/>
      <c r="E1773" s="57">
        <f>[1]DETAY!$A$2</f>
        <v>0</v>
      </c>
      <c r="F1773" s="90">
        <f t="shared" si="133"/>
        <v>0</v>
      </c>
      <c r="G1773" s="92">
        <f t="shared" si="134"/>
        <v>0</v>
      </c>
      <c r="H1773" s="62" t="e">
        <f t="shared" si="135"/>
        <v>#DIV/0!</v>
      </c>
      <c r="I1773" s="57"/>
      <c r="J1773" s="57"/>
      <c r="K1773" s="57"/>
      <c r="L1773" s="57"/>
      <c r="M1773" s="58"/>
      <c r="N1773" s="57"/>
      <c r="O1773" s="57"/>
      <c r="P1773" s="57"/>
      <c r="Q1773" s="57"/>
      <c r="R1773" s="57"/>
      <c r="S1773" s="61"/>
      <c r="T1773" s="57"/>
      <c r="U1773" s="57"/>
      <c r="V1773" s="57"/>
      <c r="W1773" s="57"/>
      <c r="X1773" s="57"/>
      <c r="Y1773" s="57"/>
      <c r="Z1773" s="57"/>
      <c r="AA1773" s="57"/>
      <c r="AB1773" s="57"/>
      <c r="AC1773" s="57"/>
      <c r="AD1773" s="57"/>
      <c r="AE1773" s="57"/>
      <c r="AF1773" s="57"/>
      <c r="AG1773" s="57"/>
      <c r="AH1773" s="57"/>
      <c r="AI1773" s="57"/>
      <c r="AJ1773" s="57"/>
      <c r="AK1773" s="57"/>
      <c r="AL1773" s="57"/>
      <c r="AM1773" s="57"/>
      <c r="AN1773" s="57"/>
      <c r="AO1773" s="57"/>
      <c r="AP1773" s="57"/>
      <c r="AQ1773" s="57"/>
      <c r="AR1773" s="57"/>
      <c r="AS1773" s="57"/>
      <c r="AT1773" s="57"/>
      <c r="AU1773" s="57"/>
      <c r="AV1773" s="57"/>
      <c r="AW1773" s="57"/>
      <c r="AX1773" s="57"/>
      <c r="AY1773" s="57"/>
      <c r="AZ1773" s="57"/>
      <c r="BA1773" s="57"/>
      <c r="BB1773" s="57"/>
      <c r="BC1773" s="57"/>
      <c r="BD1773" s="57"/>
      <c r="BE1773" s="57"/>
      <c r="BF1773" s="57"/>
    </row>
    <row r="1774" spans="1:58" s="52" customFormat="1" x14ac:dyDescent="0.25">
      <c r="A1774" s="53"/>
      <c r="B1774" s="60"/>
      <c r="C1774" s="57">
        <f t="shared" si="132"/>
        <v>0</v>
      </c>
      <c r="D1774" s="56"/>
      <c r="E1774" s="57">
        <f>[1]DETAY!$A$2</f>
        <v>0</v>
      </c>
      <c r="F1774" s="90">
        <f t="shared" si="133"/>
        <v>0</v>
      </c>
      <c r="G1774" s="92">
        <f t="shared" si="134"/>
        <v>0</v>
      </c>
      <c r="H1774" s="62" t="e">
        <f t="shared" si="135"/>
        <v>#DIV/0!</v>
      </c>
      <c r="I1774" s="57"/>
      <c r="J1774" s="57"/>
      <c r="K1774" s="57"/>
      <c r="L1774" s="57"/>
      <c r="M1774" s="58"/>
      <c r="N1774" s="57"/>
      <c r="O1774" s="57"/>
      <c r="P1774" s="57"/>
      <c r="Q1774" s="57"/>
      <c r="R1774" s="57"/>
      <c r="S1774" s="61"/>
      <c r="T1774" s="57"/>
      <c r="U1774" s="57"/>
      <c r="V1774" s="57"/>
      <c r="W1774" s="57"/>
      <c r="X1774" s="57"/>
      <c r="Y1774" s="57"/>
      <c r="Z1774" s="57"/>
      <c r="AA1774" s="57"/>
      <c r="AB1774" s="57"/>
      <c r="AC1774" s="57"/>
      <c r="AD1774" s="57"/>
      <c r="AE1774" s="57"/>
      <c r="AF1774" s="57"/>
      <c r="AG1774" s="57"/>
      <c r="AH1774" s="57"/>
      <c r="AI1774" s="57"/>
      <c r="AJ1774" s="57"/>
      <c r="AK1774" s="57"/>
      <c r="AL1774" s="57"/>
      <c r="AM1774" s="57"/>
      <c r="AN1774" s="57"/>
      <c r="AO1774" s="57"/>
      <c r="AP1774" s="57"/>
      <c r="AQ1774" s="57"/>
      <c r="AR1774" s="57"/>
      <c r="AS1774" s="57"/>
      <c r="AT1774" s="57"/>
      <c r="AU1774" s="57"/>
      <c r="AV1774" s="57"/>
      <c r="AW1774" s="57"/>
      <c r="AX1774" s="57"/>
      <c r="AY1774" s="57"/>
      <c r="AZ1774" s="57"/>
      <c r="BA1774" s="57"/>
      <c r="BB1774" s="57"/>
      <c r="BC1774" s="57"/>
      <c r="BD1774" s="57"/>
      <c r="BE1774" s="57"/>
      <c r="BF1774" s="57"/>
    </row>
    <row r="1775" spans="1:58" s="52" customFormat="1" x14ac:dyDescent="0.25">
      <c r="A1775" s="53"/>
      <c r="B1775" s="60"/>
      <c r="C1775" s="57">
        <f t="shared" si="132"/>
        <v>0</v>
      </c>
      <c r="D1775" s="56"/>
      <c r="E1775" s="57">
        <f>[1]DETAY!$A$2</f>
        <v>0</v>
      </c>
      <c r="F1775" s="90">
        <f t="shared" si="133"/>
        <v>0</v>
      </c>
      <c r="G1775" s="92">
        <f t="shared" si="134"/>
        <v>0</v>
      </c>
      <c r="H1775" s="62" t="e">
        <f t="shared" si="135"/>
        <v>#DIV/0!</v>
      </c>
      <c r="I1775" s="57"/>
      <c r="J1775" s="57"/>
      <c r="K1775" s="57"/>
      <c r="L1775" s="57"/>
      <c r="M1775" s="58"/>
      <c r="N1775" s="57"/>
      <c r="O1775" s="57"/>
      <c r="P1775" s="57"/>
      <c r="Q1775" s="57"/>
      <c r="R1775" s="57"/>
      <c r="S1775" s="61"/>
      <c r="T1775" s="57"/>
      <c r="U1775" s="57"/>
      <c r="V1775" s="57"/>
      <c r="W1775" s="57"/>
      <c r="X1775" s="57"/>
      <c r="Y1775" s="57"/>
      <c r="Z1775" s="57"/>
      <c r="AA1775" s="57"/>
      <c r="AB1775" s="57"/>
      <c r="AC1775" s="57"/>
      <c r="AD1775" s="57"/>
      <c r="AE1775" s="57"/>
      <c r="AF1775" s="57"/>
      <c r="AG1775" s="57"/>
      <c r="AH1775" s="57"/>
      <c r="AI1775" s="57"/>
      <c r="AJ1775" s="57"/>
      <c r="AK1775" s="57"/>
      <c r="AL1775" s="57"/>
      <c r="AM1775" s="57"/>
      <c r="AN1775" s="57"/>
      <c r="AO1775" s="57"/>
      <c r="AP1775" s="57"/>
      <c r="AQ1775" s="57"/>
      <c r="AR1775" s="57"/>
      <c r="AS1775" s="57"/>
      <c r="AT1775" s="57"/>
      <c r="AU1775" s="57"/>
      <c r="AV1775" s="57"/>
      <c r="AW1775" s="57"/>
      <c r="AX1775" s="57"/>
      <c r="AY1775" s="57"/>
      <c r="AZ1775" s="57"/>
      <c r="BA1775" s="57"/>
      <c r="BB1775" s="57"/>
      <c r="BC1775" s="57"/>
      <c r="BD1775" s="57"/>
      <c r="BE1775" s="57"/>
      <c r="BF1775" s="57"/>
    </row>
    <row r="1776" spans="1:58" s="52" customFormat="1" x14ac:dyDescent="0.25">
      <c r="A1776" s="53"/>
      <c r="B1776" s="60"/>
      <c r="C1776" s="57">
        <f t="shared" si="132"/>
        <v>0</v>
      </c>
      <c r="D1776" s="56"/>
      <c r="E1776" s="57">
        <f>[1]DETAY!$A$2</f>
        <v>0</v>
      </c>
      <c r="F1776" s="90">
        <f t="shared" si="133"/>
        <v>0</v>
      </c>
      <c r="G1776" s="92">
        <f t="shared" si="134"/>
        <v>0</v>
      </c>
      <c r="H1776" s="62" t="e">
        <f t="shared" si="135"/>
        <v>#DIV/0!</v>
      </c>
      <c r="I1776" s="57"/>
      <c r="J1776" s="57"/>
      <c r="K1776" s="57"/>
      <c r="L1776" s="57"/>
      <c r="M1776" s="58"/>
      <c r="N1776" s="57"/>
      <c r="O1776" s="57"/>
      <c r="P1776" s="57"/>
      <c r="Q1776" s="57"/>
      <c r="R1776" s="57"/>
      <c r="S1776" s="61"/>
      <c r="T1776" s="57"/>
      <c r="U1776" s="57"/>
      <c r="V1776" s="57"/>
      <c r="W1776" s="57"/>
      <c r="X1776" s="57"/>
      <c r="Y1776" s="57"/>
      <c r="Z1776" s="57"/>
      <c r="AA1776" s="57"/>
      <c r="AB1776" s="57"/>
      <c r="AC1776" s="57"/>
      <c r="AD1776" s="57"/>
      <c r="AE1776" s="57"/>
      <c r="AF1776" s="57"/>
      <c r="AG1776" s="57"/>
      <c r="AH1776" s="57"/>
      <c r="AI1776" s="57"/>
      <c r="AJ1776" s="57"/>
      <c r="AK1776" s="57"/>
      <c r="AL1776" s="57"/>
      <c r="AM1776" s="57"/>
      <c r="AN1776" s="57"/>
      <c r="AO1776" s="57"/>
      <c r="AP1776" s="57"/>
      <c r="AQ1776" s="57"/>
      <c r="AR1776" s="57"/>
      <c r="AS1776" s="57"/>
      <c r="AT1776" s="57"/>
      <c r="AU1776" s="57"/>
      <c r="AV1776" s="57"/>
      <c r="AW1776" s="57"/>
      <c r="AX1776" s="57"/>
      <c r="AY1776" s="57"/>
      <c r="AZ1776" s="57"/>
      <c r="BA1776" s="57"/>
      <c r="BB1776" s="57"/>
      <c r="BC1776" s="57"/>
      <c r="BD1776" s="57"/>
      <c r="BE1776" s="57"/>
      <c r="BF1776" s="57"/>
    </row>
    <row r="1777" spans="1:58" s="52" customFormat="1" x14ac:dyDescent="0.25">
      <c r="A1777" s="53"/>
      <c r="B1777" s="60"/>
      <c r="C1777" s="57">
        <f t="shared" si="132"/>
        <v>0</v>
      </c>
      <c r="D1777" s="56"/>
      <c r="E1777" s="57">
        <f>[1]DETAY!$A$2</f>
        <v>0</v>
      </c>
      <c r="F1777" s="90">
        <f t="shared" si="133"/>
        <v>0</v>
      </c>
      <c r="G1777" s="92">
        <f t="shared" si="134"/>
        <v>0</v>
      </c>
      <c r="H1777" s="62" t="e">
        <f t="shared" si="135"/>
        <v>#DIV/0!</v>
      </c>
      <c r="I1777" s="57"/>
      <c r="J1777" s="57"/>
      <c r="K1777" s="57"/>
      <c r="L1777" s="57"/>
      <c r="M1777" s="58"/>
      <c r="N1777" s="57"/>
      <c r="O1777" s="57"/>
      <c r="P1777" s="57"/>
      <c r="Q1777" s="57"/>
      <c r="R1777" s="57"/>
      <c r="S1777" s="61"/>
      <c r="T1777" s="57"/>
      <c r="U1777" s="57"/>
      <c r="V1777" s="57"/>
      <c r="W1777" s="57"/>
      <c r="X1777" s="57"/>
      <c r="Y1777" s="57"/>
      <c r="Z1777" s="57"/>
      <c r="AA1777" s="57"/>
      <c r="AB1777" s="57"/>
      <c r="AC1777" s="57"/>
      <c r="AD1777" s="57"/>
      <c r="AE1777" s="57"/>
      <c r="AF1777" s="57"/>
      <c r="AG1777" s="57"/>
      <c r="AH1777" s="57"/>
      <c r="AI1777" s="57"/>
      <c r="AJ1777" s="57"/>
      <c r="AK1777" s="57"/>
      <c r="AL1777" s="57"/>
      <c r="AM1777" s="57"/>
      <c r="AN1777" s="57"/>
      <c r="AO1777" s="57"/>
      <c r="AP1777" s="57"/>
      <c r="AQ1777" s="57"/>
      <c r="AR1777" s="57"/>
      <c r="AS1777" s="57"/>
      <c r="AT1777" s="57"/>
      <c r="AU1777" s="57"/>
      <c r="AV1777" s="57"/>
      <c r="AW1777" s="57"/>
      <c r="AX1777" s="57"/>
      <c r="AY1777" s="57"/>
      <c r="AZ1777" s="57"/>
      <c r="BA1777" s="57"/>
      <c r="BB1777" s="57"/>
      <c r="BC1777" s="57"/>
      <c r="BD1777" s="57"/>
      <c r="BE1777" s="57"/>
      <c r="BF1777" s="57"/>
    </row>
    <row r="1778" spans="1:58" s="52" customFormat="1" x14ac:dyDescent="0.25">
      <c r="A1778" s="53"/>
      <c r="B1778" s="60"/>
      <c r="C1778" s="57">
        <f t="shared" si="132"/>
        <v>0</v>
      </c>
      <c r="D1778" s="56"/>
      <c r="E1778" s="57">
        <f>[1]DETAY!$A$2</f>
        <v>0</v>
      </c>
      <c r="F1778" s="90">
        <f t="shared" si="133"/>
        <v>0</v>
      </c>
      <c r="G1778" s="92">
        <f t="shared" si="134"/>
        <v>0</v>
      </c>
      <c r="H1778" s="62" t="e">
        <f t="shared" si="135"/>
        <v>#DIV/0!</v>
      </c>
      <c r="I1778" s="57"/>
      <c r="J1778" s="57"/>
      <c r="K1778" s="57"/>
      <c r="L1778" s="57"/>
      <c r="M1778" s="58"/>
      <c r="N1778" s="57"/>
      <c r="O1778" s="57"/>
      <c r="P1778" s="57"/>
      <c r="Q1778" s="57"/>
      <c r="R1778" s="57"/>
      <c r="S1778" s="61"/>
      <c r="T1778" s="57"/>
      <c r="U1778" s="57"/>
      <c r="V1778" s="57"/>
      <c r="W1778" s="57"/>
      <c r="X1778" s="57"/>
      <c r="Y1778" s="57"/>
      <c r="Z1778" s="57"/>
      <c r="AA1778" s="57"/>
      <c r="AB1778" s="57"/>
      <c r="AC1778" s="57"/>
      <c r="AD1778" s="57"/>
      <c r="AE1778" s="57"/>
      <c r="AF1778" s="57"/>
      <c r="AG1778" s="57"/>
      <c r="AH1778" s="57"/>
      <c r="AI1778" s="57"/>
      <c r="AJ1778" s="57"/>
      <c r="AK1778" s="57"/>
      <c r="AL1778" s="57"/>
      <c r="AM1778" s="57"/>
      <c r="AN1778" s="57"/>
      <c r="AO1778" s="57"/>
      <c r="AP1778" s="57"/>
      <c r="AQ1778" s="57"/>
      <c r="AR1778" s="57"/>
      <c r="AS1778" s="57"/>
      <c r="AT1778" s="57"/>
      <c r="AU1778" s="57"/>
      <c r="AV1778" s="57"/>
      <c r="AW1778" s="57"/>
      <c r="AX1778" s="57"/>
      <c r="AY1778" s="57"/>
      <c r="AZ1778" s="57"/>
      <c r="BA1778" s="57"/>
      <c r="BB1778" s="57"/>
      <c r="BC1778" s="57"/>
      <c r="BD1778" s="57"/>
      <c r="BE1778" s="57"/>
      <c r="BF1778" s="57"/>
    </row>
    <row r="1779" spans="1:58" s="52" customFormat="1" x14ac:dyDescent="0.25">
      <c r="A1779" s="53"/>
      <c r="B1779" s="60"/>
      <c r="C1779" s="57">
        <f t="shared" si="132"/>
        <v>0</v>
      </c>
      <c r="D1779" s="56"/>
      <c r="E1779" s="57">
        <f>[1]DETAY!$A$2</f>
        <v>0</v>
      </c>
      <c r="F1779" s="90">
        <f t="shared" si="133"/>
        <v>0</v>
      </c>
      <c r="G1779" s="92">
        <f t="shared" si="134"/>
        <v>0</v>
      </c>
      <c r="H1779" s="62" t="e">
        <f t="shared" si="135"/>
        <v>#DIV/0!</v>
      </c>
      <c r="I1779" s="57"/>
      <c r="J1779" s="57"/>
      <c r="K1779" s="57"/>
      <c r="L1779" s="57"/>
      <c r="M1779" s="58"/>
      <c r="N1779" s="57"/>
      <c r="O1779" s="57"/>
      <c r="P1779" s="57"/>
      <c r="Q1779" s="57"/>
      <c r="R1779" s="57"/>
      <c r="S1779" s="61"/>
      <c r="T1779" s="57"/>
      <c r="U1779" s="57"/>
      <c r="V1779" s="57"/>
      <c r="W1779" s="57"/>
      <c r="X1779" s="57"/>
      <c r="Y1779" s="57"/>
      <c r="Z1779" s="57"/>
      <c r="AA1779" s="57"/>
      <c r="AB1779" s="57"/>
      <c r="AC1779" s="57"/>
      <c r="AD1779" s="57"/>
      <c r="AE1779" s="57"/>
      <c r="AF1779" s="57"/>
      <c r="AG1779" s="57"/>
      <c r="AH1779" s="57"/>
      <c r="AI1779" s="57"/>
      <c r="AJ1779" s="57"/>
      <c r="AK1779" s="57"/>
      <c r="AL1779" s="57"/>
      <c r="AM1779" s="57"/>
      <c r="AN1779" s="57"/>
      <c r="AO1779" s="57"/>
      <c r="AP1779" s="57"/>
      <c r="AQ1779" s="57"/>
      <c r="AR1779" s="57"/>
      <c r="AS1779" s="57"/>
      <c r="AT1779" s="57"/>
      <c r="AU1779" s="57"/>
      <c r="AV1779" s="57"/>
      <c r="AW1779" s="57"/>
      <c r="AX1779" s="57"/>
      <c r="AY1779" s="57"/>
      <c r="AZ1779" s="57"/>
      <c r="BA1779" s="57"/>
      <c r="BB1779" s="57"/>
      <c r="BC1779" s="57"/>
      <c r="BD1779" s="57"/>
      <c r="BE1779" s="57"/>
      <c r="BF1779" s="57"/>
    </row>
    <row r="1780" spans="1:58" s="52" customFormat="1" x14ac:dyDescent="0.25">
      <c r="A1780" s="53"/>
      <c r="B1780" s="60"/>
      <c r="C1780" s="57">
        <f t="shared" si="132"/>
        <v>0</v>
      </c>
      <c r="D1780" s="56"/>
      <c r="E1780" s="57">
        <f>[1]DETAY!$A$2</f>
        <v>0</v>
      </c>
      <c r="F1780" s="90">
        <f t="shared" si="133"/>
        <v>0</v>
      </c>
      <c r="G1780" s="92">
        <f t="shared" si="134"/>
        <v>0</v>
      </c>
      <c r="H1780" s="62" t="e">
        <f t="shared" si="135"/>
        <v>#DIV/0!</v>
      </c>
      <c r="I1780" s="57"/>
      <c r="J1780" s="57"/>
      <c r="K1780" s="57"/>
      <c r="L1780" s="57"/>
      <c r="M1780" s="58"/>
      <c r="N1780" s="57"/>
      <c r="O1780" s="57"/>
      <c r="P1780" s="57"/>
      <c r="Q1780" s="57"/>
      <c r="R1780" s="57"/>
      <c r="S1780" s="61"/>
      <c r="T1780" s="57"/>
      <c r="U1780" s="57"/>
      <c r="V1780" s="57"/>
      <c r="W1780" s="57"/>
      <c r="X1780" s="57"/>
      <c r="Y1780" s="57"/>
      <c r="Z1780" s="57"/>
      <c r="AA1780" s="57"/>
      <c r="AB1780" s="57"/>
      <c r="AC1780" s="57"/>
      <c r="AD1780" s="57"/>
      <c r="AE1780" s="57"/>
      <c r="AF1780" s="57"/>
      <c r="AG1780" s="57"/>
      <c r="AH1780" s="57"/>
      <c r="AI1780" s="57"/>
      <c r="AJ1780" s="57"/>
      <c r="AK1780" s="57"/>
      <c r="AL1780" s="57"/>
      <c r="AM1780" s="57"/>
      <c r="AN1780" s="57"/>
      <c r="AO1780" s="57"/>
      <c r="AP1780" s="57"/>
      <c r="AQ1780" s="57"/>
      <c r="AR1780" s="57"/>
      <c r="AS1780" s="57"/>
      <c r="AT1780" s="57"/>
      <c r="AU1780" s="57"/>
      <c r="AV1780" s="57"/>
      <c r="AW1780" s="57"/>
      <c r="AX1780" s="57"/>
      <c r="AY1780" s="57"/>
      <c r="AZ1780" s="57"/>
      <c r="BA1780" s="57"/>
      <c r="BB1780" s="57"/>
      <c r="BC1780" s="57"/>
      <c r="BD1780" s="57"/>
      <c r="BE1780" s="57"/>
      <c r="BF1780" s="57"/>
    </row>
    <row r="1781" spans="1:58" s="52" customFormat="1" x14ac:dyDescent="0.25">
      <c r="A1781" s="53"/>
      <c r="B1781" s="60"/>
      <c r="C1781" s="57">
        <f t="shared" si="132"/>
        <v>0</v>
      </c>
      <c r="D1781" s="56"/>
      <c r="E1781" s="57">
        <f>[1]DETAY!$A$2</f>
        <v>0</v>
      </c>
      <c r="F1781" s="90">
        <f t="shared" si="133"/>
        <v>0</v>
      </c>
      <c r="G1781" s="92">
        <f t="shared" si="134"/>
        <v>0</v>
      </c>
      <c r="H1781" s="62" t="e">
        <f t="shared" si="135"/>
        <v>#DIV/0!</v>
      </c>
      <c r="I1781" s="57"/>
      <c r="J1781" s="57"/>
      <c r="K1781" s="57"/>
      <c r="L1781" s="57"/>
      <c r="M1781" s="58"/>
      <c r="N1781" s="57"/>
      <c r="O1781" s="57"/>
      <c r="P1781" s="57"/>
      <c r="Q1781" s="57"/>
      <c r="R1781" s="57"/>
      <c r="S1781" s="61"/>
      <c r="T1781" s="57"/>
      <c r="U1781" s="57"/>
      <c r="V1781" s="57"/>
      <c r="W1781" s="57"/>
      <c r="X1781" s="57"/>
      <c r="Y1781" s="57"/>
      <c r="Z1781" s="57"/>
      <c r="AA1781" s="57"/>
      <c r="AB1781" s="57"/>
      <c r="AC1781" s="57"/>
      <c r="AD1781" s="57"/>
      <c r="AE1781" s="57"/>
      <c r="AF1781" s="57"/>
      <c r="AG1781" s="57"/>
      <c r="AH1781" s="57"/>
      <c r="AI1781" s="57"/>
      <c r="AJ1781" s="57"/>
      <c r="AK1781" s="57"/>
      <c r="AL1781" s="57"/>
      <c r="AM1781" s="57"/>
      <c r="AN1781" s="57"/>
      <c r="AO1781" s="57"/>
      <c r="AP1781" s="57"/>
      <c r="AQ1781" s="57"/>
      <c r="AR1781" s="57"/>
      <c r="AS1781" s="57"/>
      <c r="AT1781" s="57"/>
      <c r="AU1781" s="57"/>
      <c r="AV1781" s="57"/>
      <c r="AW1781" s="57"/>
      <c r="AX1781" s="57"/>
      <c r="AY1781" s="57"/>
      <c r="AZ1781" s="57"/>
      <c r="BA1781" s="57"/>
      <c r="BB1781" s="57"/>
      <c r="BC1781" s="57"/>
      <c r="BD1781" s="57"/>
      <c r="BE1781" s="57"/>
      <c r="BF1781" s="57"/>
    </row>
    <row r="1782" spans="1:58" s="52" customFormat="1" x14ac:dyDescent="0.25">
      <c r="A1782" s="53"/>
      <c r="B1782" s="60"/>
      <c r="C1782" s="57">
        <f t="shared" si="132"/>
        <v>0</v>
      </c>
      <c r="D1782" s="56"/>
      <c r="E1782" s="57">
        <f>[1]DETAY!$A$2</f>
        <v>0</v>
      </c>
      <c r="F1782" s="90">
        <f t="shared" si="133"/>
        <v>0</v>
      </c>
      <c r="G1782" s="92">
        <f t="shared" si="134"/>
        <v>0</v>
      </c>
      <c r="H1782" s="62" t="e">
        <f t="shared" si="135"/>
        <v>#DIV/0!</v>
      </c>
      <c r="I1782" s="57"/>
      <c r="J1782" s="57"/>
      <c r="K1782" s="57"/>
      <c r="L1782" s="57"/>
      <c r="M1782" s="58"/>
      <c r="N1782" s="57"/>
      <c r="O1782" s="57"/>
      <c r="P1782" s="57"/>
      <c r="Q1782" s="57"/>
      <c r="R1782" s="57"/>
      <c r="S1782" s="61"/>
      <c r="T1782" s="57"/>
      <c r="U1782" s="57"/>
      <c r="V1782" s="57"/>
      <c r="W1782" s="57"/>
      <c r="X1782" s="57"/>
      <c r="Y1782" s="57"/>
      <c r="Z1782" s="57"/>
      <c r="AA1782" s="57"/>
      <c r="AB1782" s="57"/>
      <c r="AC1782" s="57"/>
      <c r="AD1782" s="57"/>
      <c r="AE1782" s="57"/>
      <c r="AF1782" s="57"/>
      <c r="AG1782" s="57"/>
      <c r="AH1782" s="57"/>
      <c r="AI1782" s="57"/>
      <c r="AJ1782" s="57"/>
      <c r="AK1782" s="57"/>
      <c r="AL1782" s="57"/>
      <c r="AM1782" s="57"/>
      <c r="AN1782" s="57"/>
      <c r="AO1782" s="57"/>
      <c r="AP1782" s="57"/>
      <c r="AQ1782" s="57"/>
      <c r="AR1782" s="57"/>
      <c r="AS1782" s="57"/>
      <c r="AT1782" s="57"/>
      <c r="AU1782" s="57"/>
      <c r="AV1782" s="57"/>
      <c r="AW1782" s="57"/>
      <c r="AX1782" s="57"/>
      <c r="AY1782" s="57"/>
      <c r="AZ1782" s="57"/>
      <c r="BA1782" s="57"/>
      <c r="BB1782" s="57"/>
      <c r="BC1782" s="57"/>
      <c r="BD1782" s="57"/>
      <c r="BE1782" s="57"/>
      <c r="BF1782" s="57"/>
    </row>
    <row r="1783" spans="1:58" s="52" customFormat="1" x14ac:dyDescent="0.25">
      <c r="A1783" s="53"/>
      <c r="B1783" s="60"/>
      <c r="C1783" s="57">
        <f t="shared" si="132"/>
        <v>0</v>
      </c>
      <c r="D1783" s="56"/>
      <c r="E1783" s="57">
        <f>[1]DETAY!$A$2</f>
        <v>0</v>
      </c>
      <c r="F1783" s="90">
        <f t="shared" si="133"/>
        <v>0</v>
      </c>
      <c r="G1783" s="92">
        <f t="shared" si="134"/>
        <v>0</v>
      </c>
      <c r="H1783" s="62" t="e">
        <f t="shared" si="135"/>
        <v>#DIV/0!</v>
      </c>
      <c r="I1783" s="57"/>
      <c r="J1783" s="57"/>
      <c r="K1783" s="57"/>
      <c r="L1783" s="57"/>
      <c r="M1783" s="58"/>
      <c r="N1783" s="57"/>
      <c r="O1783" s="57"/>
      <c r="P1783" s="57"/>
      <c r="Q1783" s="57"/>
      <c r="R1783" s="57"/>
      <c r="S1783" s="61"/>
      <c r="T1783" s="57"/>
      <c r="U1783" s="57"/>
      <c r="V1783" s="57"/>
      <c r="W1783" s="57"/>
      <c r="X1783" s="57"/>
      <c r="Y1783" s="57"/>
      <c r="Z1783" s="57"/>
      <c r="AA1783" s="57"/>
      <c r="AB1783" s="57"/>
      <c r="AC1783" s="57"/>
      <c r="AD1783" s="57"/>
      <c r="AE1783" s="57"/>
      <c r="AF1783" s="57"/>
      <c r="AG1783" s="57"/>
      <c r="AH1783" s="57"/>
      <c r="AI1783" s="57"/>
      <c r="AJ1783" s="57"/>
      <c r="AK1783" s="57"/>
      <c r="AL1783" s="57"/>
      <c r="AM1783" s="57"/>
      <c r="AN1783" s="57"/>
      <c r="AO1783" s="57"/>
      <c r="AP1783" s="57"/>
      <c r="AQ1783" s="57"/>
      <c r="AR1783" s="57"/>
      <c r="AS1783" s="57"/>
      <c r="AT1783" s="57"/>
      <c r="AU1783" s="57"/>
      <c r="AV1783" s="57"/>
      <c r="AW1783" s="57"/>
      <c r="AX1783" s="57"/>
      <c r="AY1783" s="57"/>
      <c r="AZ1783" s="57"/>
      <c r="BA1783" s="57"/>
      <c r="BB1783" s="57"/>
      <c r="BC1783" s="57"/>
      <c r="BD1783" s="57"/>
      <c r="BE1783" s="57"/>
      <c r="BF1783" s="57"/>
    </row>
    <row r="1784" spans="1:58" s="52" customFormat="1" x14ac:dyDescent="0.25">
      <c r="A1784" s="53"/>
      <c r="B1784" s="60"/>
      <c r="C1784" s="57">
        <f t="shared" si="132"/>
        <v>0</v>
      </c>
      <c r="D1784" s="56"/>
      <c r="E1784" s="57">
        <f>[1]DETAY!$A$2</f>
        <v>0</v>
      </c>
      <c r="F1784" s="90">
        <f t="shared" si="133"/>
        <v>0</v>
      </c>
      <c r="G1784" s="92">
        <f t="shared" si="134"/>
        <v>0</v>
      </c>
      <c r="H1784" s="62" t="e">
        <f t="shared" si="135"/>
        <v>#DIV/0!</v>
      </c>
      <c r="I1784" s="57"/>
      <c r="J1784" s="57"/>
      <c r="K1784" s="57"/>
      <c r="L1784" s="57"/>
      <c r="M1784" s="58"/>
      <c r="N1784" s="57"/>
      <c r="O1784" s="57"/>
      <c r="P1784" s="57"/>
      <c r="Q1784" s="57"/>
      <c r="R1784" s="57"/>
      <c r="S1784" s="61"/>
      <c r="T1784" s="57"/>
      <c r="U1784" s="57"/>
      <c r="V1784" s="57"/>
      <c r="W1784" s="57"/>
      <c r="X1784" s="57"/>
      <c r="Y1784" s="57"/>
      <c r="Z1784" s="57"/>
      <c r="AA1784" s="57"/>
      <c r="AB1784" s="57"/>
      <c r="AC1784" s="57"/>
      <c r="AD1784" s="57"/>
      <c r="AE1784" s="57"/>
      <c r="AF1784" s="57"/>
      <c r="AG1784" s="57"/>
      <c r="AH1784" s="57"/>
      <c r="AI1784" s="57"/>
      <c r="AJ1784" s="57"/>
      <c r="AK1784" s="57"/>
      <c r="AL1784" s="57"/>
      <c r="AM1784" s="57"/>
      <c r="AN1784" s="57"/>
      <c r="AO1784" s="57"/>
      <c r="AP1784" s="57"/>
      <c r="AQ1784" s="57"/>
      <c r="AR1784" s="57"/>
      <c r="AS1784" s="57"/>
      <c r="AT1784" s="57"/>
      <c r="AU1784" s="57"/>
      <c r="AV1784" s="57"/>
      <c r="AW1784" s="57"/>
      <c r="AX1784" s="57"/>
      <c r="AY1784" s="57"/>
      <c r="AZ1784" s="57"/>
      <c r="BA1784" s="57"/>
      <c r="BB1784" s="57"/>
      <c r="BC1784" s="57"/>
      <c r="BD1784" s="57"/>
      <c r="BE1784" s="57"/>
      <c r="BF1784" s="57"/>
    </row>
    <row r="1785" spans="1:58" s="52" customFormat="1" x14ac:dyDescent="0.25">
      <c r="A1785" s="53"/>
      <c r="B1785" s="60"/>
      <c r="C1785" s="57">
        <f t="shared" si="132"/>
        <v>0</v>
      </c>
      <c r="D1785" s="56"/>
      <c r="E1785" s="57">
        <f>[1]DETAY!$A$2</f>
        <v>0</v>
      </c>
      <c r="F1785" s="90">
        <f t="shared" si="133"/>
        <v>0</v>
      </c>
      <c r="G1785" s="92">
        <f t="shared" si="134"/>
        <v>0</v>
      </c>
      <c r="H1785" s="62" t="e">
        <f t="shared" si="135"/>
        <v>#DIV/0!</v>
      </c>
      <c r="I1785" s="57"/>
      <c r="J1785" s="57"/>
      <c r="K1785" s="57"/>
      <c r="L1785" s="57"/>
      <c r="M1785" s="58"/>
      <c r="N1785" s="57"/>
      <c r="O1785" s="57"/>
      <c r="P1785" s="57"/>
      <c r="Q1785" s="57"/>
      <c r="R1785" s="57"/>
      <c r="S1785" s="61"/>
      <c r="T1785" s="57"/>
      <c r="U1785" s="57"/>
      <c r="V1785" s="57"/>
      <c r="W1785" s="57"/>
      <c r="X1785" s="57"/>
      <c r="Y1785" s="57"/>
      <c r="Z1785" s="57"/>
      <c r="AA1785" s="57"/>
      <c r="AB1785" s="57"/>
      <c r="AC1785" s="57"/>
      <c r="AD1785" s="57"/>
      <c r="AE1785" s="57"/>
      <c r="AF1785" s="57"/>
      <c r="AG1785" s="57"/>
      <c r="AH1785" s="57"/>
      <c r="AI1785" s="57"/>
      <c r="AJ1785" s="57"/>
      <c r="AK1785" s="57"/>
      <c r="AL1785" s="57"/>
      <c r="AM1785" s="57"/>
      <c r="AN1785" s="57"/>
      <c r="AO1785" s="57"/>
      <c r="AP1785" s="57"/>
      <c r="AQ1785" s="57"/>
      <c r="AR1785" s="57"/>
      <c r="AS1785" s="57"/>
      <c r="AT1785" s="57"/>
      <c r="AU1785" s="57"/>
      <c r="AV1785" s="57"/>
      <c r="AW1785" s="57"/>
      <c r="AX1785" s="57"/>
      <c r="AY1785" s="57"/>
      <c r="AZ1785" s="57"/>
      <c r="BA1785" s="57"/>
      <c r="BB1785" s="57"/>
      <c r="BC1785" s="57"/>
      <c r="BD1785" s="57"/>
      <c r="BE1785" s="57"/>
      <c r="BF1785" s="57"/>
    </row>
    <row r="1786" spans="1:58" s="52" customFormat="1" x14ac:dyDescent="0.25">
      <c r="A1786" s="53"/>
      <c r="B1786" s="60"/>
      <c r="C1786" s="57">
        <f t="shared" si="132"/>
        <v>0</v>
      </c>
      <c r="D1786" s="56"/>
      <c r="E1786" s="57">
        <f>[1]DETAY!$A$2</f>
        <v>0</v>
      </c>
      <c r="F1786" s="90">
        <f t="shared" si="133"/>
        <v>0</v>
      </c>
      <c r="G1786" s="92">
        <f t="shared" si="134"/>
        <v>0</v>
      </c>
      <c r="H1786" s="62" t="e">
        <f t="shared" si="135"/>
        <v>#DIV/0!</v>
      </c>
      <c r="I1786" s="57"/>
      <c r="J1786" s="57"/>
      <c r="K1786" s="57"/>
      <c r="L1786" s="57"/>
      <c r="M1786" s="58"/>
      <c r="N1786" s="57"/>
      <c r="O1786" s="57"/>
      <c r="P1786" s="57"/>
      <c r="Q1786" s="57"/>
      <c r="R1786" s="57"/>
      <c r="S1786" s="61"/>
      <c r="T1786" s="57"/>
      <c r="U1786" s="57"/>
      <c r="V1786" s="57"/>
      <c r="W1786" s="57"/>
      <c r="X1786" s="57"/>
      <c r="Y1786" s="57"/>
      <c r="Z1786" s="57"/>
      <c r="AA1786" s="57"/>
      <c r="AB1786" s="57"/>
      <c r="AC1786" s="57"/>
      <c r="AD1786" s="57"/>
      <c r="AE1786" s="57"/>
      <c r="AF1786" s="57"/>
      <c r="AG1786" s="57"/>
      <c r="AH1786" s="57"/>
      <c r="AI1786" s="57"/>
      <c r="AJ1786" s="57"/>
      <c r="AK1786" s="57"/>
      <c r="AL1786" s="57"/>
      <c r="AM1786" s="57"/>
      <c r="AN1786" s="57"/>
      <c r="AO1786" s="57"/>
      <c r="AP1786" s="57"/>
      <c r="AQ1786" s="57"/>
      <c r="AR1786" s="57"/>
      <c r="AS1786" s="57"/>
      <c r="AT1786" s="57"/>
      <c r="AU1786" s="57"/>
      <c r="AV1786" s="57"/>
      <c r="AW1786" s="57"/>
      <c r="AX1786" s="57"/>
      <c r="AY1786" s="57"/>
      <c r="AZ1786" s="57"/>
      <c r="BA1786" s="57"/>
      <c r="BB1786" s="57"/>
      <c r="BC1786" s="57"/>
      <c r="BD1786" s="57"/>
      <c r="BE1786" s="57"/>
      <c r="BF1786" s="57"/>
    </row>
    <row r="1787" spans="1:58" s="52" customFormat="1" x14ac:dyDescent="0.25">
      <c r="A1787" s="53"/>
      <c r="B1787" s="60"/>
      <c r="C1787" s="57">
        <f t="shared" si="132"/>
        <v>0</v>
      </c>
      <c r="D1787" s="56"/>
      <c r="E1787" s="57">
        <f>[1]DETAY!$A$2</f>
        <v>0</v>
      </c>
      <c r="F1787" s="90">
        <f t="shared" si="133"/>
        <v>0</v>
      </c>
      <c r="G1787" s="92">
        <f t="shared" si="134"/>
        <v>0</v>
      </c>
      <c r="H1787" s="62" t="e">
        <f t="shared" si="135"/>
        <v>#DIV/0!</v>
      </c>
      <c r="I1787" s="57"/>
      <c r="J1787" s="57"/>
      <c r="K1787" s="57"/>
      <c r="L1787" s="57"/>
      <c r="M1787" s="58"/>
      <c r="N1787" s="57"/>
      <c r="O1787" s="57"/>
      <c r="P1787" s="57"/>
      <c r="Q1787" s="57"/>
      <c r="R1787" s="57"/>
      <c r="S1787" s="61"/>
      <c r="T1787" s="57"/>
      <c r="U1787" s="57"/>
      <c r="V1787" s="57"/>
      <c r="W1787" s="57"/>
      <c r="X1787" s="57"/>
      <c r="Y1787" s="57"/>
      <c r="Z1787" s="57"/>
      <c r="AA1787" s="57"/>
      <c r="AB1787" s="57"/>
      <c r="AC1787" s="57"/>
      <c r="AD1787" s="57"/>
      <c r="AE1787" s="57"/>
      <c r="AF1787" s="57"/>
      <c r="AG1787" s="57"/>
      <c r="AH1787" s="57"/>
      <c r="AI1787" s="57"/>
      <c r="AJ1787" s="57"/>
      <c r="AK1787" s="57"/>
      <c r="AL1787" s="57"/>
      <c r="AM1787" s="57"/>
      <c r="AN1787" s="57"/>
      <c r="AO1787" s="57"/>
      <c r="AP1787" s="57"/>
      <c r="AQ1787" s="57"/>
      <c r="AR1787" s="57"/>
      <c r="AS1787" s="57"/>
      <c r="AT1787" s="57"/>
      <c r="AU1787" s="57"/>
      <c r="AV1787" s="57"/>
      <c r="AW1787" s="57"/>
      <c r="AX1787" s="57"/>
      <c r="AY1787" s="57"/>
      <c r="AZ1787" s="57"/>
      <c r="BA1787" s="57"/>
      <c r="BB1787" s="57"/>
      <c r="BC1787" s="57"/>
      <c r="BD1787" s="57"/>
      <c r="BE1787" s="57"/>
      <c r="BF1787" s="57"/>
    </row>
    <row r="1788" spans="1:58" s="52" customFormat="1" x14ac:dyDescent="0.25">
      <c r="A1788" s="53"/>
      <c r="B1788" s="60"/>
      <c r="C1788" s="57">
        <f t="shared" si="132"/>
        <v>0</v>
      </c>
      <c r="D1788" s="56"/>
      <c r="E1788" s="57">
        <f>[1]DETAY!$A$2</f>
        <v>0</v>
      </c>
      <c r="F1788" s="90">
        <f t="shared" si="133"/>
        <v>0</v>
      </c>
      <c r="G1788" s="92">
        <f t="shared" si="134"/>
        <v>0</v>
      </c>
      <c r="H1788" s="62" t="e">
        <f t="shared" si="135"/>
        <v>#DIV/0!</v>
      </c>
      <c r="I1788" s="57"/>
      <c r="J1788" s="57"/>
      <c r="K1788" s="57"/>
      <c r="L1788" s="57"/>
      <c r="M1788" s="58"/>
      <c r="N1788" s="57"/>
      <c r="O1788" s="57"/>
      <c r="P1788" s="57"/>
      <c r="Q1788" s="57"/>
      <c r="R1788" s="57"/>
      <c r="S1788" s="61"/>
      <c r="T1788" s="57"/>
      <c r="U1788" s="57"/>
      <c r="V1788" s="57"/>
      <c r="W1788" s="57"/>
      <c r="X1788" s="57"/>
      <c r="Y1788" s="57"/>
      <c r="Z1788" s="57"/>
      <c r="AA1788" s="57"/>
      <c r="AB1788" s="57"/>
      <c r="AC1788" s="57"/>
      <c r="AD1788" s="57"/>
      <c r="AE1788" s="57"/>
      <c r="AF1788" s="57"/>
      <c r="AG1788" s="57"/>
      <c r="AH1788" s="57"/>
      <c r="AI1788" s="57"/>
      <c r="AJ1788" s="57"/>
      <c r="AK1788" s="57"/>
      <c r="AL1788" s="57"/>
      <c r="AM1788" s="57"/>
      <c r="AN1788" s="57"/>
      <c r="AO1788" s="57"/>
      <c r="AP1788" s="57"/>
      <c r="AQ1788" s="57"/>
      <c r="AR1788" s="57"/>
      <c r="AS1788" s="57"/>
      <c r="AT1788" s="57"/>
      <c r="AU1788" s="57"/>
      <c r="AV1788" s="57"/>
      <c r="AW1788" s="57"/>
      <c r="AX1788" s="57"/>
      <c r="AY1788" s="57"/>
      <c r="AZ1788" s="57"/>
      <c r="BA1788" s="57"/>
      <c r="BB1788" s="57"/>
      <c r="BC1788" s="57"/>
      <c r="BD1788" s="57"/>
      <c r="BE1788" s="57"/>
      <c r="BF1788" s="57"/>
    </row>
    <row r="1789" spans="1:58" s="52" customFormat="1" x14ac:dyDescent="0.25">
      <c r="A1789" s="53"/>
      <c r="B1789" s="60"/>
      <c r="C1789" s="57">
        <f t="shared" si="132"/>
        <v>0</v>
      </c>
      <c r="D1789" s="56"/>
      <c r="E1789" s="57">
        <f>[1]DETAY!$A$2</f>
        <v>0</v>
      </c>
      <c r="F1789" s="90">
        <f t="shared" si="133"/>
        <v>0</v>
      </c>
      <c r="G1789" s="92">
        <f t="shared" si="134"/>
        <v>0</v>
      </c>
      <c r="H1789" s="62" t="e">
        <f t="shared" si="135"/>
        <v>#DIV/0!</v>
      </c>
      <c r="I1789" s="57"/>
      <c r="J1789" s="57"/>
      <c r="K1789" s="57"/>
      <c r="L1789" s="57"/>
      <c r="M1789" s="58"/>
      <c r="N1789" s="57"/>
      <c r="O1789" s="57"/>
      <c r="P1789" s="57"/>
      <c r="Q1789" s="57"/>
      <c r="R1789" s="57"/>
      <c r="S1789" s="61"/>
      <c r="T1789" s="57"/>
      <c r="U1789" s="57"/>
      <c r="V1789" s="57"/>
      <c r="W1789" s="57"/>
      <c r="X1789" s="57"/>
      <c r="Y1789" s="57"/>
      <c r="Z1789" s="57"/>
      <c r="AA1789" s="57"/>
      <c r="AB1789" s="57"/>
      <c r="AC1789" s="57"/>
      <c r="AD1789" s="57"/>
      <c r="AE1789" s="57"/>
      <c r="AF1789" s="57"/>
      <c r="AG1789" s="57"/>
      <c r="AH1789" s="57"/>
      <c r="AI1789" s="57"/>
      <c r="AJ1789" s="57"/>
      <c r="AK1789" s="57"/>
      <c r="AL1789" s="57"/>
      <c r="AM1789" s="57"/>
      <c r="AN1789" s="57"/>
      <c r="AO1789" s="57"/>
      <c r="AP1789" s="57"/>
      <c r="AQ1789" s="57"/>
      <c r="AR1789" s="57"/>
      <c r="AS1789" s="57"/>
      <c r="AT1789" s="57"/>
      <c r="AU1789" s="57"/>
      <c r="AV1789" s="57"/>
      <c r="AW1789" s="57"/>
      <c r="AX1789" s="57"/>
      <c r="AY1789" s="57"/>
      <c r="AZ1789" s="57"/>
      <c r="BA1789" s="57"/>
      <c r="BB1789" s="57"/>
      <c r="BC1789" s="57"/>
      <c r="BD1789" s="57"/>
      <c r="BE1789" s="57"/>
      <c r="BF1789" s="57"/>
    </row>
    <row r="1790" spans="1:58" s="52" customFormat="1" x14ac:dyDescent="0.25">
      <c r="A1790" s="53"/>
      <c r="B1790" s="60"/>
      <c r="C1790" s="57">
        <f t="shared" si="132"/>
        <v>0</v>
      </c>
      <c r="D1790" s="56"/>
      <c r="E1790" s="57">
        <f>[1]DETAY!$A$2</f>
        <v>0</v>
      </c>
      <c r="F1790" s="90">
        <f t="shared" si="133"/>
        <v>0</v>
      </c>
      <c r="G1790" s="92">
        <f t="shared" si="134"/>
        <v>0</v>
      </c>
      <c r="H1790" s="62" t="e">
        <f t="shared" si="135"/>
        <v>#DIV/0!</v>
      </c>
      <c r="I1790" s="57"/>
      <c r="J1790" s="57"/>
      <c r="K1790" s="57"/>
      <c r="L1790" s="57"/>
      <c r="M1790" s="58"/>
      <c r="N1790" s="57"/>
      <c r="O1790" s="57"/>
      <c r="P1790" s="57"/>
      <c r="Q1790" s="57"/>
      <c r="R1790" s="57"/>
      <c r="S1790" s="61"/>
      <c r="T1790" s="57"/>
      <c r="U1790" s="57"/>
      <c r="V1790" s="57"/>
      <c r="W1790" s="57"/>
      <c r="X1790" s="57"/>
      <c r="Y1790" s="57"/>
      <c r="Z1790" s="57"/>
      <c r="AA1790" s="57"/>
      <c r="AB1790" s="57"/>
      <c r="AC1790" s="57"/>
      <c r="AD1790" s="57"/>
      <c r="AE1790" s="57"/>
      <c r="AF1790" s="57"/>
      <c r="AG1790" s="57"/>
      <c r="AH1790" s="57"/>
      <c r="AI1790" s="57"/>
      <c r="AJ1790" s="57"/>
      <c r="AK1790" s="57"/>
      <c r="AL1790" s="57"/>
      <c r="AM1790" s="57"/>
      <c r="AN1790" s="57"/>
      <c r="AO1790" s="57"/>
      <c r="AP1790" s="57"/>
      <c r="AQ1790" s="57"/>
      <c r="AR1790" s="57"/>
      <c r="AS1790" s="57"/>
      <c r="AT1790" s="57"/>
      <c r="AU1790" s="57"/>
      <c r="AV1790" s="57"/>
      <c r="AW1790" s="57"/>
      <c r="AX1790" s="57"/>
      <c r="AY1790" s="57"/>
      <c r="AZ1790" s="57"/>
      <c r="BA1790" s="57"/>
      <c r="BB1790" s="57"/>
      <c r="BC1790" s="57"/>
      <c r="BD1790" s="57"/>
      <c r="BE1790" s="57"/>
      <c r="BF1790" s="57"/>
    </row>
    <row r="1791" spans="1:58" s="52" customFormat="1" x14ac:dyDescent="0.25">
      <c r="A1791" s="53"/>
      <c r="B1791" s="60"/>
      <c r="C1791" s="57">
        <f t="shared" si="132"/>
        <v>0</v>
      </c>
      <c r="D1791" s="56"/>
      <c r="E1791" s="57">
        <f>[1]DETAY!$A$2</f>
        <v>0</v>
      </c>
      <c r="F1791" s="90">
        <f t="shared" si="133"/>
        <v>0</v>
      </c>
      <c r="G1791" s="92">
        <f t="shared" si="134"/>
        <v>0</v>
      </c>
      <c r="H1791" s="62" t="e">
        <f t="shared" si="135"/>
        <v>#DIV/0!</v>
      </c>
      <c r="I1791" s="57"/>
      <c r="J1791" s="57"/>
      <c r="K1791" s="57"/>
      <c r="L1791" s="57"/>
      <c r="M1791" s="58"/>
      <c r="N1791" s="57"/>
      <c r="O1791" s="57"/>
      <c r="P1791" s="57"/>
      <c r="Q1791" s="57"/>
      <c r="R1791" s="57"/>
      <c r="S1791" s="61"/>
      <c r="T1791" s="57"/>
      <c r="U1791" s="57"/>
      <c r="V1791" s="57"/>
      <c r="W1791" s="57"/>
      <c r="X1791" s="57"/>
      <c r="Y1791" s="57"/>
      <c r="Z1791" s="57"/>
      <c r="AA1791" s="57"/>
      <c r="AB1791" s="57"/>
      <c r="AC1791" s="57"/>
      <c r="AD1791" s="57"/>
      <c r="AE1791" s="57"/>
      <c r="AF1791" s="57"/>
      <c r="AG1791" s="57"/>
      <c r="AH1791" s="57"/>
      <c r="AI1791" s="57"/>
      <c r="AJ1791" s="57"/>
      <c r="AK1791" s="57"/>
      <c r="AL1791" s="57"/>
      <c r="AM1791" s="57"/>
      <c r="AN1791" s="57"/>
      <c r="AO1791" s="57"/>
      <c r="AP1791" s="57"/>
      <c r="AQ1791" s="57"/>
      <c r="AR1791" s="57"/>
      <c r="AS1791" s="57"/>
      <c r="AT1791" s="57"/>
      <c r="AU1791" s="57"/>
      <c r="AV1791" s="57"/>
      <c r="AW1791" s="57"/>
      <c r="AX1791" s="57"/>
      <c r="AY1791" s="57"/>
      <c r="AZ1791" s="57"/>
      <c r="BA1791" s="57"/>
      <c r="BB1791" s="57"/>
      <c r="BC1791" s="57"/>
      <c r="BD1791" s="57"/>
      <c r="BE1791" s="57"/>
      <c r="BF1791" s="57"/>
    </row>
    <row r="1792" spans="1:58" s="52" customFormat="1" x14ac:dyDescent="0.25">
      <c r="A1792" s="53"/>
      <c r="B1792" s="60"/>
      <c r="C1792" s="57">
        <f t="shared" si="132"/>
        <v>0</v>
      </c>
      <c r="D1792" s="56"/>
      <c r="E1792" s="57">
        <f>[1]DETAY!$A$2</f>
        <v>0</v>
      </c>
      <c r="F1792" s="90">
        <f t="shared" si="133"/>
        <v>0</v>
      </c>
      <c r="G1792" s="92">
        <f t="shared" si="134"/>
        <v>0</v>
      </c>
      <c r="H1792" s="62" t="e">
        <f t="shared" si="135"/>
        <v>#DIV/0!</v>
      </c>
      <c r="I1792" s="57"/>
      <c r="J1792" s="57"/>
      <c r="K1792" s="57"/>
      <c r="L1792" s="57"/>
      <c r="M1792" s="58"/>
      <c r="N1792" s="57"/>
      <c r="O1792" s="57"/>
      <c r="P1792" s="57"/>
      <c r="Q1792" s="57"/>
      <c r="R1792" s="57"/>
      <c r="S1792" s="61"/>
      <c r="T1792" s="57"/>
      <c r="U1792" s="57"/>
      <c r="V1792" s="57"/>
      <c r="W1792" s="57"/>
      <c r="X1792" s="57"/>
      <c r="Y1792" s="57"/>
      <c r="Z1792" s="57"/>
      <c r="AA1792" s="57"/>
      <c r="AB1792" s="57"/>
      <c r="AC1792" s="57"/>
      <c r="AD1792" s="57"/>
      <c r="AE1792" s="57"/>
      <c r="AF1792" s="57"/>
      <c r="AG1792" s="57"/>
      <c r="AH1792" s="57"/>
      <c r="AI1792" s="57"/>
      <c r="AJ1792" s="57"/>
      <c r="AK1792" s="57"/>
      <c r="AL1792" s="57"/>
      <c r="AM1792" s="57"/>
      <c r="AN1792" s="57"/>
      <c r="AO1792" s="57"/>
      <c r="AP1792" s="57"/>
      <c r="AQ1792" s="57"/>
      <c r="AR1792" s="57"/>
      <c r="AS1792" s="57"/>
      <c r="AT1792" s="57"/>
      <c r="AU1792" s="57"/>
      <c r="AV1792" s="57"/>
      <c r="AW1792" s="57"/>
      <c r="AX1792" s="57"/>
      <c r="AY1792" s="57"/>
      <c r="AZ1792" s="57"/>
      <c r="BA1792" s="57"/>
      <c r="BB1792" s="57"/>
      <c r="BC1792" s="57"/>
      <c r="BD1792" s="57"/>
      <c r="BE1792" s="57"/>
      <c r="BF1792" s="57"/>
    </row>
    <row r="1793" spans="1:58" s="52" customFormat="1" x14ac:dyDescent="0.25">
      <c r="A1793" s="53"/>
      <c r="B1793" s="60"/>
      <c r="C1793" s="57">
        <f t="shared" si="132"/>
        <v>0</v>
      </c>
      <c r="D1793" s="56"/>
      <c r="E1793" s="57">
        <f>[1]DETAY!$A$2</f>
        <v>0</v>
      </c>
      <c r="F1793" s="90">
        <f t="shared" si="133"/>
        <v>0</v>
      </c>
      <c r="G1793" s="92">
        <f t="shared" si="134"/>
        <v>0</v>
      </c>
      <c r="H1793" s="62" t="e">
        <f t="shared" si="135"/>
        <v>#DIV/0!</v>
      </c>
      <c r="I1793" s="57"/>
      <c r="J1793" s="57"/>
      <c r="K1793" s="57"/>
      <c r="L1793" s="57"/>
      <c r="M1793" s="58"/>
      <c r="N1793" s="57"/>
      <c r="O1793" s="57"/>
      <c r="P1793" s="57"/>
      <c r="Q1793" s="57"/>
      <c r="R1793" s="57"/>
      <c r="S1793" s="61"/>
      <c r="T1793" s="57"/>
      <c r="U1793" s="57"/>
      <c r="V1793" s="57"/>
      <c r="W1793" s="57"/>
      <c r="X1793" s="57"/>
      <c r="Y1793" s="57"/>
      <c r="Z1793" s="57"/>
      <c r="AA1793" s="57"/>
      <c r="AB1793" s="57"/>
      <c r="AC1793" s="57"/>
      <c r="AD1793" s="57"/>
      <c r="AE1793" s="57"/>
      <c r="AF1793" s="57"/>
      <c r="AG1793" s="57"/>
      <c r="AH1793" s="57"/>
      <c r="AI1793" s="57"/>
      <c r="AJ1793" s="57"/>
      <c r="AK1793" s="57"/>
      <c r="AL1793" s="57"/>
      <c r="AM1793" s="57"/>
      <c r="AN1793" s="57"/>
      <c r="AO1793" s="57"/>
      <c r="AP1793" s="57"/>
      <c r="AQ1793" s="57"/>
      <c r="AR1793" s="57"/>
      <c r="AS1793" s="57"/>
      <c r="AT1793" s="57"/>
      <c r="AU1793" s="57"/>
      <c r="AV1793" s="57"/>
      <c r="AW1793" s="57"/>
      <c r="AX1793" s="57"/>
      <c r="AY1793" s="57"/>
      <c r="AZ1793" s="57"/>
      <c r="BA1793" s="57"/>
      <c r="BB1793" s="57"/>
      <c r="BC1793" s="57"/>
      <c r="BD1793" s="57"/>
      <c r="BE1793" s="57"/>
      <c r="BF1793" s="57"/>
    </row>
    <row r="1794" spans="1:58" s="52" customFormat="1" x14ac:dyDescent="0.25">
      <c r="A1794" s="53"/>
      <c r="B1794" s="60"/>
      <c r="C1794" s="57">
        <f t="shared" si="132"/>
        <v>0</v>
      </c>
      <c r="D1794" s="56"/>
      <c r="E1794" s="57">
        <f>[1]DETAY!$A$2</f>
        <v>0</v>
      </c>
      <c r="F1794" s="90">
        <f t="shared" si="133"/>
        <v>0</v>
      </c>
      <c r="G1794" s="92">
        <f t="shared" si="134"/>
        <v>0</v>
      </c>
      <c r="H1794" s="62" t="e">
        <f t="shared" si="135"/>
        <v>#DIV/0!</v>
      </c>
      <c r="I1794" s="57"/>
      <c r="J1794" s="57"/>
      <c r="K1794" s="57"/>
      <c r="L1794" s="57"/>
      <c r="M1794" s="58"/>
      <c r="N1794" s="57"/>
      <c r="O1794" s="57"/>
      <c r="P1794" s="57"/>
      <c r="Q1794" s="57"/>
      <c r="R1794" s="57"/>
      <c r="S1794" s="61"/>
      <c r="T1794" s="57"/>
      <c r="U1794" s="57"/>
      <c r="V1794" s="57"/>
      <c r="W1794" s="57"/>
      <c r="X1794" s="57"/>
      <c r="Y1794" s="57"/>
      <c r="Z1794" s="57"/>
      <c r="AA1794" s="57"/>
      <c r="AB1794" s="57"/>
      <c r="AC1794" s="57"/>
      <c r="AD1794" s="57"/>
      <c r="AE1794" s="57"/>
      <c r="AF1794" s="57"/>
      <c r="AG1794" s="57"/>
      <c r="AH1794" s="57"/>
      <c r="AI1794" s="57"/>
      <c r="AJ1794" s="57"/>
      <c r="AK1794" s="57"/>
      <c r="AL1794" s="57"/>
      <c r="AM1794" s="57"/>
      <c r="AN1794" s="57"/>
      <c r="AO1794" s="57"/>
      <c r="AP1794" s="57"/>
      <c r="AQ1794" s="57"/>
      <c r="AR1794" s="57"/>
      <c r="AS1794" s="57"/>
      <c r="AT1794" s="57"/>
      <c r="AU1794" s="57"/>
      <c r="AV1794" s="57"/>
      <c r="AW1794" s="57"/>
      <c r="AX1794" s="57"/>
      <c r="AY1794" s="57"/>
      <c r="AZ1794" s="57"/>
      <c r="BA1794" s="57"/>
      <c r="BB1794" s="57"/>
      <c r="BC1794" s="57"/>
      <c r="BD1794" s="57"/>
      <c r="BE1794" s="57"/>
      <c r="BF1794" s="57"/>
    </row>
    <row r="1795" spans="1:58" s="52" customFormat="1" x14ac:dyDescent="0.25">
      <c r="A1795" s="53"/>
      <c r="B1795" s="60"/>
      <c r="C1795" s="57">
        <f t="shared" si="132"/>
        <v>0</v>
      </c>
      <c r="D1795" s="56"/>
      <c r="E1795" s="57">
        <f>[1]DETAY!$A$2</f>
        <v>0</v>
      </c>
      <c r="F1795" s="90">
        <f t="shared" si="133"/>
        <v>0</v>
      </c>
      <c r="G1795" s="92">
        <f t="shared" si="134"/>
        <v>0</v>
      </c>
      <c r="H1795" s="62" t="e">
        <f t="shared" si="135"/>
        <v>#DIV/0!</v>
      </c>
      <c r="I1795" s="57"/>
      <c r="J1795" s="57"/>
      <c r="K1795" s="57"/>
      <c r="L1795" s="57"/>
      <c r="M1795" s="58"/>
      <c r="N1795" s="57"/>
      <c r="O1795" s="57"/>
      <c r="P1795" s="57"/>
      <c r="Q1795" s="57"/>
      <c r="R1795" s="57"/>
      <c r="S1795" s="61"/>
      <c r="T1795" s="57"/>
      <c r="U1795" s="57"/>
      <c r="V1795" s="57"/>
      <c r="W1795" s="57"/>
      <c r="X1795" s="57"/>
      <c r="Y1795" s="57"/>
      <c r="Z1795" s="57"/>
      <c r="AA1795" s="57"/>
      <c r="AB1795" s="57"/>
      <c r="AC1795" s="57"/>
      <c r="AD1795" s="57"/>
      <c r="AE1795" s="57"/>
      <c r="AF1795" s="57"/>
      <c r="AG1795" s="57"/>
      <c r="AH1795" s="57"/>
      <c r="AI1795" s="57"/>
      <c r="AJ1795" s="57"/>
      <c r="AK1795" s="57"/>
      <c r="AL1795" s="57"/>
      <c r="AM1795" s="57"/>
      <c r="AN1795" s="57"/>
      <c r="AO1795" s="57"/>
      <c r="AP1795" s="57"/>
      <c r="AQ1795" s="57"/>
      <c r="AR1795" s="57"/>
      <c r="AS1795" s="57"/>
      <c r="AT1795" s="57"/>
      <c r="AU1795" s="57"/>
      <c r="AV1795" s="57"/>
      <c r="AW1795" s="57"/>
      <c r="AX1795" s="57"/>
      <c r="AY1795" s="57"/>
      <c r="AZ1795" s="57"/>
      <c r="BA1795" s="57"/>
      <c r="BB1795" s="57"/>
      <c r="BC1795" s="57"/>
      <c r="BD1795" s="57"/>
      <c r="BE1795" s="57"/>
      <c r="BF1795" s="57"/>
    </row>
    <row r="1796" spans="1:58" s="52" customFormat="1" x14ac:dyDescent="0.25">
      <c r="A1796" s="53"/>
      <c r="B1796" s="60"/>
      <c r="C1796" s="57">
        <f t="shared" si="132"/>
        <v>0</v>
      </c>
      <c r="D1796" s="56"/>
      <c r="E1796" s="57">
        <f>[1]DETAY!$A$2</f>
        <v>0</v>
      </c>
      <c r="F1796" s="90">
        <f t="shared" si="133"/>
        <v>0</v>
      </c>
      <c r="G1796" s="92">
        <f t="shared" si="134"/>
        <v>0</v>
      </c>
      <c r="H1796" s="62" t="e">
        <f t="shared" si="135"/>
        <v>#DIV/0!</v>
      </c>
      <c r="I1796" s="57"/>
      <c r="J1796" s="57"/>
      <c r="K1796" s="57"/>
      <c r="L1796" s="57"/>
      <c r="M1796" s="58"/>
      <c r="N1796" s="57"/>
      <c r="O1796" s="57"/>
      <c r="P1796" s="57"/>
      <c r="Q1796" s="57"/>
      <c r="R1796" s="57"/>
      <c r="S1796" s="61"/>
      <c r="T1796" s="57"/>
      <c r="U1796" s="57"/>
      <c r="V1796" s="57"/>
      <c r="W1796" s="57"/>
      <c r="X1796" s="57"/>
      <c r="Y1796" s="57"/>
      <c r="Z1796" s="57"/>
      <c r="AA1796" s="57"/>
      <c r="AB1796" s="57"/>
      <c r="AC1796" s="57"/>
      <c r="AD1796" s="57"/>
      <c r="AE1796" s="57"/>
      <c r="AF1796" s="57"/>
      <c r="AG1796" s="57"/>
      <c r="AH1796" s="57"/>
      <c r="AI1796" s="57"/>
      <c r="AJ1796" s="57"/>
      <c r="AK1796" s="57"/>
      <c r="AL1796" s="57"/>
      <c r="AM1796" s="57"/>
      <c r="AN1796" s="57"/>
      <c r="AO1796" s="57"/>
      <c r="AP1796" s="57"/>
      <c r="AQ1796" s="57"/>
      <c r="AR1796" s="57"/>
      <c r="AS1796" s="57"/>
      <c r="AT1796" s="57"/>
      <c r="AU1796" s="57"/>
      <c r="AV1796" s="57"/>
      <c r="AW1796" s="57"/>
      <c r="AX1796" s="57"/>
      <c r="AY1796" s="57"/>
      <c r="AZ1796" s="57"/>
      <c r="BA1796" s="57"/>
      <c r="BB1796" s="57"/>
      <c r="BC1796" s="57"/>
      <c r="BD1796" s="57"/>
      <c r="BE1796" s="57"/>
      <c r="BF1796" s="57"/>
    </row>
    <row r="1797" spans="1:58" s="52" customFormat="1" x14ac:dyDescent="0.25">
      <c r="A1797" s="53"/>
      <c r="B1797" s="60"/>
      <c r="C1797" s="57">
        <f t="shared" si="132"/>
        <v>0</v>
      </c>
      <c r="D1797" s="56"/>
      <c r="E1797" s="57">
        <f>[1]DETAY!$A$2</f>
        <v>0</v>
      </c>
      <c r="F1797" s="90">
        <f t="shared" si="133"/>
        <v>0</v>
      </c>
      <c r="G1797" s="92">
        <f t="shared" si="134"/>
        <v>0</v>
      </c>
      <c r="H1797" s="62" t="e">
        <f t="shared" si="135"/>
        <v>#DIV/0!</v>
      </c>
      <c r="I1797" s="57"/>
      <c r="J1797" s="57"/>
      <c r="K1797" s="57"/>
      <c r="L1797" s="57"/>
      <c r="M1797" s="58"/>
      <c r="N1797" s="57"/>
      <c r="O1797" s="57"/>
      <c r="P1797" s="57"/>
      <c r="Q1797" s="57"/>
      <c r="R1797" s="57"/>
      <c r="S1797" s="61"/>
      <c r="T1797" s="57"/>
      <c r="U1797" s="57"/>
      <c r="V1797" s="57"/>
      <c r="W1797" s="57"/>
      <c r="X1797" s="57"/>
      <c r="Y1797" s="57"/>
      <c r="Z1797" s="57"/>
      <c r="AA1797" s="57"/>
      <c r="AB1797" s="57"/>
      <c r="AC1797" s="57"/>
      <c r="AD1797" s="57"/>
      <c r="AE1797" s="57"/>
      <c r="AF1797" s="57"/>
      <c r="AG1797" s="57"/>
      <c r="AH1797" s="57"/>
      <c r="AI1797" s="57"/>
      <c r="AJ1797" s="57"/>
      <c r="AK1797" s="57"/>
      <c r="AL1797" s="57"/>
      <c r="AM1797" s="57"/>
      <c r="AN1797" s="57"/>
      <c r="AO1797" s="57"/>
      <c r="AP1797" s="57"/>
      <c r="AQ1797" s="57"/>
      <c r="AR1797" s="57"/>
      <c r="AS1797" s="57"/>
      <c r="AT1797" s="57"/>
      <c r="AU1797" s="57"/>
      <c r="AV1797" s="57"/>
      <c r="AW1797" s="57"/>
      <c r="AX1797" s="57"/>
      <c r="AY1797" s="57"/>
      <c r="AZ1797" s="57"/>
      <c r="BA1797" s="57"/>
      <c r="BB1797" s="57"/>
      <c r="BC1797" s="57"/>
      <c r="BD1797" s="57"/>
      <c r="BE1797" s="57"/>
      <c r="BF1797" s="57"/>
    </row>
    <row r="1798" spans="1:58" s="52" customFormat="1" x14ac:dyDescent="0.25">
      <c r="A1798" s="53"/>
      <c r="B1798" s="60"/>
      <c r="C1798" s="57">
        <f t="shared" si="132"/>
        <v>0</v>
      </c>
      <c r="D1798" s="56"/>
      <c r="E1798" s="57">
        <f>[1]DETAY!$A$2</f>
        <v>0</v>
      </c>
      <c r="F1798" s="90">
        <f t="shared" si="133"/>
        <v>0</v>
      </c>
      <c r="G1798" s="92">
        <f t="shared" si="134"/>
        <v>0</v>
      </c>
      <c r="H1798" s="62" t="e">
        <f t="shared" si="135"/>
        <v>#DIV/0!</v>
      </c>
      <c r="I1798" s="57"/>
      <c r="J1798" s="57"/>
      <c r="K1798" s="57"/>
      <c r="L1798" s="57"/>
      <c r="M1798" s="58"/>
      <c r="N1798" s="57"/>
      <c r="O1798" s="57"/>
      <c r="P1798" s="57"/>
      <c r="Q1798" s="57"/>
      <c r="R1798" s="57"/>
      <c r="S1798" s="61"/>
      <c r="T1798" s="57"/>
      <c r="U1798" s="57"/>
      <c r="V1798" s="57"/>
      <c r="W1798" s="57"/>
      <c r="X1798" s="57"/>
      <c r="Y1798" s="57"/>
      <c r="Z1798" s="57"/>
      <c r="AA1798" s="57"/>
      <c r="AB1798" s="57"/>
      <c r="AC1798" s="57"/>
      <c r="AD1798" s="57"/>
      <c r="AE1798" s="57"/>
      <c r="AF1798" s="57"/>
      <c r="AG1798" s="57"/>
      <c r="AH1798" s="57"/>
      <c r="AI1798" s="57"/>
      <c r="AJ1798" s="57"/>
      <c r="AK1798" s="57"/>
      <c r="AL1798" s="57"/>
      <c r="AM1798" s="57"/>
      <c r="AN1798" s="57"/>
      <c r="AO1798" s="57"/>
      <c r="AP1798" s="57"/>
      <c r="AQ1798" s="57"/>
      <c r="AR1798" s="57"/>
      <c r="AS1798" s="57"/>
      <c r="AT1798" s="57"/>
      <c r="AU1798" s="57"/>
      <c r="AV1798" s="57"/>
      <c r="AW1798" s="57"/>
      <c r="AX1798" s="57"/>
      <c r="AY1798" s="57"/>
      <c r="AZ1798" s="57"/>
      <c r="BA1798" s="57"/>
      <c r="BB1798" s="57"/>
      <c r="BC1798" s="57"/>
      <c r="BD1798" s="57"/>
      <c r="BE1798" s="57"/>
      <c r="BF1798" s="57"/>
    </row>
    <row r="1799" spans="1:58" s="52" customFormat="1" x14ac:dyDescent="0.25">
      <c r="A1799" s="53"/>
      <c r="B1799" s="60"/>
      <c r="C1799" s="57">
        <f t="shared" si="132"/>
        <v>0</v>
      </c>
      <c r="D1799" s="56"/>
      <c r="E1799" s="57">
        <f>[1]DETAY!$A$2</f>
        <v>0</v>
      </c>
      <c r="F1799" s="90">
        <f t="shared" si="133"/>
        <v>0</v>
      </c>
      <c r="G1799" s="92">
        <f t="shared" si="134"/>
        <v>0</v>
      </c>
      <c r="H1799" s="62" t="e">
        <f t="shared" si="135"/>
        <v>#DIV/0!</v>
      </c>
      <c r="I1799" s="57"/>
      <c r="J1799" s="57"/>
      <c r="K1799" s="57"/>
      <c r="L1799" s="57"/>
      <c r="M1799" s="58"/>
      <c r="N1799" s="57"/>
      <c r="O1799" s="57"/>
      <c r="P1799" s="57"/>
      <c r="Q1799" s="57"/>
      <c r="R1799" s="57"/>
      <c r="S1799" s="61"/>
      <c r="T1799" s="57"/>
      <c r="U1799" s="57"/>
      <c r="V1799" s="57"/>
      <c r="W1799" s="57"/>
      <c r="X1799" s="57"/>
      <c r="Y1799" s="57"/>
      <c r="Z1799" s="57"/>
      <c r="AA1799" s="57"/>
      <c r="AB1799" s="57"/>
      <c r="AC1799" s="57"/>
      <c r="AD1799" s="57"/>
      <c r="AE1799" s="57"/>
      <c r="AF1799" s="57"/>
      <c r="AG1799" s="57"/>
      <c r="AH1799" s="57"/>
      <c r="AI1799" s="57"/>
      <c r="AJ1799" s="57"/>
      <c r="AK1799" s="57"/>
      <c r="AL1799" s="57"/>
      <c r="AM1799" s="57"/>
      <c r="AN1799" s="57"/>
      <c r="AO1799" s="57"/>
      <c r="AP1799" s="57"/>
      <c r="AQ1799" s="57"/>
      <c r="AR1799" s="57"/>
      <c r="AS1799" s="57"/>
      <c r="AT1799" s="57"/>
      <c r="AU1799" s="57"/>
      <c r="AV1799" s="57"/>
      <c r="AW1799" s="57"/>
      <c r="AX1799" s="57"/>
      <c r="AY1799" s="57"/>
      <c r="AZ1799" s="57"/>
      <c r="BA1799" s="57"/>
      <c r="BB1799" s="57"/>
      <c r="BC1799" s="57"/>
      <c r="BD1799" s="57"/>
      <c r="BE1799" s="57"/>
      <c r="BF1799" s="57"/>
    </row>
    <row r="1800" spans="1:58" s="52" customFormat="1" x14ac:dyDescent="0.25">
      <c r="A1800" s="53"/>
      <c r="B1800" s="60"/>
      <c r="C1800" s="57">
        <f t="shared" ref="C1800:C1863" si="136">WEEKNUM(B1800)</f>
        <v>0</v>
      </c>
      <c r="D1800" s="56"/>
      <c r="E1800" s="57">
        <f>[1]DETAY!$A$2</f>
        <v>0</v>
      </c>
      <c r="F1800" s="90">
        <f t="shared" ref="F1800:F1863" si="137">D1800-G1800</f>
        <v>0</v>
      </c>
      <c r="G1800" s="92">
        <f t="shared" ref="G1800:G1863" si="138">SUBTOTAL(9,I1800:BD1800)</f>
        <v>0</v>
      </c>
      <c r="H1800" s="62" t="e">
        <f t="shared" ref="H1800:H1863" si="139">F1800/D1800</f>
        <v>#DIV/0!</v>
      </c>
      <c r="I1800" s="57"/>
      <c r="J1800" s="57"/>
      <c r="K1800" s="57"/>
      <c r="L1800" s="57"/>
      <c r="M1800" s="58"/>
      <c r="N1800" s="57"/>
      <c r="O1800" s="57"/>
      <c r="P1800" s="57"/>
      <c r="Q1800" s="57"/>
      <c r="R1800" s="57"/>
      <c r="S1800" s="61"/>
      <c r="T1800" s="57"/>
      <c r="U1800" s="57"/>
      <c r="V1800" s="57"/>
      <c r="W1800" s="57"/>
      <c r="X1800" s="57"/>
      <c r="Y1800" s="57"/>
      <c r="Z1800" s="57"/>
      <c r="AA1800" s="57"/>
      <c r="AB1800" s="57"/>
      <c r="AC1800" s="57"/>
      <c r="AD1800" s="57"/>
      <c r="AE1800" s="57"/>
      <c r="AF1800" s="57"/>
      <c r="AG1800" s="57"/>
      <c r="AH1800" s="57"/>
      <c r="AI1800" s="57"/>
      <c r="AJ1800" s="57"/>
      <c r="AK1800" s="57"/>
      <c r="AL1800" s="57"/>
      <c r="AM1800" s="57"/>
      <c r="AN1800" s="57"/>
      <c r="AO1800" s="57"/>
      <c r="AP1800" s="57"/>
      <c r="AQ1800" s="57"/>
      <c r="AR1800" s="57"/>
      <c r="AS1800" s="57"/>
      <c r="AT1800" s="57"/>
      <c r="AU1800" s="57"/>
      <c r="AV1800" s="57"/>
      <c r="AW1800" s="57"/>
      <c r="AX1800" s="57"/>
      <c r="AY1800" s="57"/>
      <c r="AZ1800" s="57"/>
      <c r="BA1800" s="57"/>
      <c r="BB1800" s="57"/>
      <c r="BC1800" s="57"/>
      <c r="BD1800" s="57"/>
      <c r="BE1800" s="57"/>
      <c r="BF1800" s="57"/>
    </row>
    <row r="1801" spans="1:58" s="52" customFormat="1" x14ac:dyDescent="0.25">
      <c r="A1801" s="53"/>
      <c r="B1801" s="60"/>
      <c r="C1801" s="57">
        <f t="shared" si="136"/>
        <v>0</v>
      </c>
      <c r="D1801" s="56"/>
      <c r="E1801" s="57">
        <f>[1]DETAY!$A$2</f>
        <v>0</v>
      </c>
      <c r="F1801" s="90">
        <f t="shared" si="137"/>
        <v>0</v>
      </c>
      <c r="G1801" s="92">
        <f t="shared" si="138"/>
        <v>0</v>
      </c>
      <c r="H1801" s="62" t="e">
        <f t="shared" si="139"/>
        <v>#DIV/0!</v>
      </c>
      <c r="I1801" s="57"/>
      <c r="J1801" s="57"/>
      <c r="K1801" s="57"/>
      <c r="L1801" s="57"/>
      <c r="M1801" s="58"/>
      <c r="N1801" s="57"/>
      <c r="O1801" s="57"/>
      <c r="P1801" s="57"/>
      <c r="Q1801" s="57"/>
      <c r="R1801" s="57"/>
      <c r="S1801" s="61"/>
      <c r="T1801" s="57"/>
      <c r="U1801" s="57"/>
      <c r="V1801" s="57"/>
      <c r="W1801" s="57"/>
      <c r="X1801" s="57"/>
      <c r="Y1801" s="57"/>
      <c r="Z1801" s="57"/>
      <c r="AA1801" s="57"/>
      <c r="AB1801" s="57"/>
      <c r="AC1801" s="57"/>
      <c r="AD1801" s="57"/>
      <c r="AE1801" s="57"/>
      <c r="AF1801" s="57"/>
      <c r="AG1801" s="57"/>
      <c r="AH1801" s="57"/>
      <c r="AI1801" s="57"/>
      <c r="AJ1801" s="57"/>
      <c r="AK1801" s="57"/>
      <c r="AL1801" s="57"/>
      <c r="AM1801" s="57"/>
      <c r="AN1801" s="57"/>
      <c r="AO1801" s="57"/>
      <c r="AP1801" s="57"/>
      <c r="AQ1801" s="57"/>
      <c r="AR1801" s="57"/>
      <c r="AS1801" s="57"/>
      <c r="AT1801" s="57"/>
      <c r="AU1801" s="57"/>
      <c r="AV1801" s="57"/>
      <c r="AW1801" s="57"/>
      <c r="AX1801" s="57"/>
      <c r="AY1801" s="57"/>
      <c r="AZ1801" s="57"/>
      <c r="BA1801" s="57"/>
      <c r="BB1801" s="57"/>
      <c r="BC1801" s="57"/>
      <c r="BD1801" s="57"/>
      <c r="BE1801" s="57"/>
      <c r="BF1801" s="57"/>
    </row>
    <row r="1802" spans="1:58" s="52" customFormat="1" x14ac:dyDescent="0.25">
      <c r="A1802" s="53"/>
      <c r="B1802" s="60"/>
      <c r="C1802" s="57">
        <f t="shared" si="136"/>
        <v>0</v>
      </c>
      <c r="D1802" s="56"/>
      <c r="E1802" s="57">
        <f>[1]DETAY!$A$2</f>
        <v>0</v>
      </c>
      <c r="F1802" s="90">
        <f t="shared" si="137"/>
        <v>0</v>
      </c>
      <c r="G1802" s="92">
        <f t="shared" si="138"/>
        <v>0</v>
      </c>
      <c r="H1802" s="62" t="e">
        <f t="shared" si="139"/>
        <v>#DIV/0!</v>
      </c>
      <c r="I1802" s="57"/>
      <c r="J1802" s="57"/>
      <c r="K1802" s="57"/>
      <c r="L1802" s="57"/>
      <c r="M1802" s="58"/>
      <c r="N1802" s="57"/>
      <c r="O1802" s="57"/>
      <c r="P1802" s="57"/>
      <c r="Q1802" s="57"/>
      <c r="R1802" s="57"/>
      <c r="S1802" s="61"/>
      <c r="T1802" s="57"/>
      <c r="U1802" s="57"/>
      <c r="V1802" s="57"/>
      <c r="W1802" s="57"/>
      <c r="X1802" s="57"/>
      <c r="Y1802" s="57"/>
      <c r="Z1802" s="57"/>
      <c r="AA1802" s="57"/>
      <c r="AB1802" s="57"/>
      <c r="AC1802" s="57"/>
      <c r="AD1802" s="57"/>
      <c r="AE1802" s="57"/>
      <c r="AF1802" s="57"/>
      <c r="AG1802" s="57"/>
      <c r="AH1802" s="57"/>
      <c r="AI1802" s="57"/>
      <c r="AJ1802" s="57"/>
      <c r="AK1802" s="57"/>
      <c r="AL1802" s="57"/>
      <c r="AM1802" s="57"/>
      <c r="AN1802" s="57"/>
      <c r="AO1802" s="57"/>
      <c r="AP1802" s="57"/>
      <c r="AQ1802" s="57"/>
      <c r="AR1802" s="57"/>
      <c r="AS1802" s="57"/>
      <c r="AT1802" s="57"/>
      <c r="AU1802" s="57"/>
      <c r="AV1802" s="57"/>
      <c r="AW1802" s="57"/>
      <c r="AX1802" s="57"/>
      <c r="AY1802" s="57"/>
      <c r="AZ1802" s="57"/>
      <c r="BA1802" s="57"/>
      <c r="BB1802" s="57"/>
      <c r="BC1802" s="57"/>
      <c r="BD1802" s="57"/>
      <c r="BE1802" s="57"/>
      <c r="BF1802" s="57"/>
    </row>
    <row r="1803" spans="1:58" s="52" customFormat="1" x14ac:dyDescent="0.25">
      <c r="A1803" s="53"/>
      <c r="B1803" s="60"/>
      <c r="C1803" s="57">
        <f t="shared" si="136"/>
        <v>0</v>
      </c>
      <c r="D1803" s="56"/>
      <c r="E1803" s="57">
        <f>[1]DETAY!$A$2</f>
        <v>0</v>
      </c>
      <c r="F1803" s="90">
        <f t="shared" si="137"/>
        <v>0</v>
      </c>
      <c r="G1803" s="92">
        <f t="shared" si="138"/>
        <v>0</v>
      </c>
      <c r="H1803" s="62" t="e">
        <f t="shared" si="139"/>
        <v>#DIV/0!</v>
      </c>
      <c r="I1803" s="57"/>
      <c r="J1803" s="57"/>
      <c r="K1803" s="57"/>
      <c r="L1803" s="57"/>
      <c r="M1803" s="58"/>
      <c r="N1803" s="57"/>
      <c r="O1803" s="57"/>
      <c r="P1803" s="57"/>
      <c r="Q1803" s="57"/>
      <c r="R1803" s="57"/>
      <c r="S1803" s="61"/>
      <c r="T1803" s="57"/>
      <c r="U1803" s="57"/>
      <c r="V1803" s="57"/>
      <c r="W1803" s="57"/>
      <c r="X1803" s="57"/>
      <c r="Y1803" s="57"/>
      <c r="Z1803" s="57"/>
      <c r="AA1803" s="57"/>
      <c r="AB1803" s="57"/>
      <c r="AC1803" s="57"/>
      <c r="AD1803" s="57"/>
      <c r="AE1803" s="57"/>
      <c r="AF1803" s="57"/>
      <c r="AG1803" s="57"/>
      <c r="AH1803" s="57"/>
      <c r="AI1803" s="57"/>
      <c r="AJ1803" s="57"/>
      <c r="AK1803" s="57"/>
      <c r="AL1803" s="57"/>
      <c r="AM1803" s="57"/>
      <c r="AN1803" s="57"/>
      <c r="AO1803" s="57"/>
      <c r="AP1803" s="57"/>
      <c r="AQ1803" s="57"/>
      <c r="AR1803" s="57"/>
      <c r="AS1803" s="57"/>
      <c r="AT1803" s="57"/>
      <c r="AU1803" s="57"/>
      <c r="AV1803" s="57"/>
      <c r="AW1803" s="57"/>
      <c r="AX1803" s="57"/>
      <c r="AY1803" s="57"/>
      <c r="AZ1803" s="57"/>
      <c r="BA1803" s="57"/>
      <c r="BB1803" s="57"/>
      <c r="BC1803" s="57"/>
      <c r="BD1803" s="57"/>
      <c r="BE1803" s="57"/>
      <c r="BF1803" s="57"/>
    </row>
    <row r="1804" spans="1:58" s="52" customFormat="1" x14ac:dyDescent="0.25">
      <c r="A1804" s="53"/>
      <c r="B1804" s="60"/>
      <c r="C1804" s="57">
        <f t="shared" si="136"/>
        <v>0</v>
      </c>
      <c r="D1804" s="56"/>
      <c r="E1804" s="57">
        <f>[1]DETAY!$A$2</f>
        <v>0</v>
      </c>
      <c r="F1804" s="90">
        <f t="shared" si="137"/>
        <v>0</v>
      </c>
      <c r="G1804" s="92">
        <f t="shared" si="138"/>
        <v>0</v>
      </c>
      <c r="H1804" s="62" t="e">
        <f t="shared" si="139"/>
        <v>#DIV/0!</v>
      </c>
      <c r="I1804" s="57"/>
      <c r="J1804" s="57"/>
      <c r="K1804" s="57"/>
      <c r="L1804" s="57"/>
      <c r="M1804" s="58"/>
      <c r="N1804" s="57"/>
      <c r="O1804" s="57"/>
      <c r="P1804" s="57"/>
      <c r="Q1804" s="57"/>
      <c r="R1804" s="57"/>
      <c r="S1804" s="61"/>
      <c r="T1804" s="57"/>
      <c r="U1804" s="57"/>
      <c r="V1804" s="57"/>
      <c r="W1804" s="57"/>
      <c r="X1804" s="57"/>
      <c r="Y1804" s="57"/>
      <c r="Z1804" s="57"/>
      <c r="AA1804" s="57"/>
      <c r="AB1804" s="57"/>
      <c r="AC1804" s="57"/>
      <c r="AD1804" s="57"/>
      <c r="AE1804" s="57"/>
      <c r="AF1804" s="57"/>
      <c r="AG1804" s="57"/>
      <c r="AH1804" s="57"/>
      <c r="AI1804" s="57"/>
      <c r="AJ1804" s="57"/>
      <c r="AK1804" s="57"/>
      <c r="AL1804" s="57"/>
      <c r="AM1804" s="57"/>
      <c r="AN1804" s="57"/>
      <c r="AO1804" s="57"/>
      <c r="AP1804" s="57"/>
      <c r="AQ1804" s="57"/>
      <c r="AR1804" s="57"/>
      <c r="AS1804" s="57"/>
      <c r="AT1804" s="57"/>
      <c r="AU1804" s="57"/>
      <c r="AV1804" s="57"/>
      <c r="AW1804" s="57"/>
      <c r="AX1804" s="57"/>
      <c r="AY1804" s="57"/>
      <c r="AZ1804" s="57"/>
      <c r="BA1804" s="57"/>
      <c r="BB1804" s="57"/>
      <c r="BC1804" s="57"/>
      <c r="BD1804" s="57"/>
      <c r="BE1804" s="57"/>
      <c r="BF1804" s="57"/>
    </row>
    <row r="1805" spans="1:58" x14ac:dyDescent="0.25">
      <c r="A1805" s="53"/>
      <c r="B1805" s="60"/>
      <c r="C1805" s="57">
        <f t="shared" si="136"/>
        <v>0</v>
      </c>
      <c r="D1805" s="56"/>
      <c r="E1805" s="57">
        <f>[1]DETAY!$A$2</f>
        <v>0</v>
      </c>
      <c r="F1805" s="90">
        <f t="shared" si="137"/>
        <v>0</v>
      </c>
      <c r="G1805" s="92">
        <f t="shared" si="138"/>
        <v>0</v>
      </c>
      <c r="H1805" s="62" t="e">
        <f t="shared" si="139"/>
        <v>#DIV/0!</v>
      </c>
      <c r="I1805" s="57"/>
      <c r="J1805" s="57"/>
      <c r="K1805" s="57"/>
      <c r="L1805" s="57"/>
      <c r="M1805" s="58"/>
      <c r="N1805" s="57"/>
      <c r="O1805" s="57"/>
      <c r="P1805" s="57"/>
      <c r="Q1805" s="57"/>
      <c r="R1805" s="57"/>
      <c r="S1805" s="61"/>
      <c r="T1805" s="57"/>
      <c r="U1805" s="57"/>
      <c r="V1805" s="57"/>
      <c r="W1805" s="57"/>
      <c r="X1805" s="57"/>
      <c r="Y1805" s="57"/>
      <c r="Z1805" s="57"/>
      <c r="AA1805" s="57"/>
      <c r="AB1805" s="57"/>
      <c r="AC1805" s="57"/>
      <c r="AD1805" s="57"/>
      <c r="AE1805" s="57"/>
      <c r="AF1805" s="57"/>
      <c r="AG1805" s="57"/>
      <c r="AH1805" s="57"/>
      <c r="AI1805" s="57"/>
      <c r="AJ1805" s="57"/>
      <c r="AK1805" s="57"/>
      <c r="AL1805" s="57"/>
      <c r="AM1805" s="57"/>
      <c r="AN1805" s="57"/>
      <c r="AO1805" s="57"/>
      <c r="AP1805" s="57"/>
      <c r="AQ1805" s="57"/>
      <c r="AR1805" s="57"/>
      <c r="AS1805" s="57"/>
      <c r="AT1805" s="57"/>
      <c r="AU1805" s="57"/>
      <c r="AV1805" s="57"/>
      <c r="AW1805" s="57"/>
      <c r="AX1805" s="57"/>
      <c r="AY1805" s="57"/>
      <c r="AZ1805" s="57"/>
      <c r="BA1805" s="57"/>
      <c r="BB1805" s="57"/>
      <c r="BC1805" s="57"/>
      <c r="BD1805" s="57"/>
      <c r="BE1805" s="57"/>
      <c r="BF1805" s="57"/>
    </row>
    <row r="1806" spans="1:58" x14ac:dyDescent="0.25">
      <c r="A1806" s="53"/>
      <c r="B1806" s="60"/>
      <c r="C1806" s="57">
        <f t="shared" si="136"/>
        <v>0</v>
      </c>
      <c r="D1806" s="56"/>
      <c r="E1806" s="57">
        <f>[1]DETAY!$A$2</f>
        <v>0</v>
      </c>
      <c r="F1806" s="90">
        <f t="shared" si="137"/>
        <v>0</v>
      </c>
      <c r="G1806" s="92">
        <f t="shared" si="138"/>
        <v>0</v>
      </c>
      <c r="H1806" s="62" t="e">
        <f t="shared" si="139"/>
        <v>#DIV/0!</v>
      </c>
      <c r="I1806" s="57"/>
      <c r="J1806" s="57"/>
      <c r="K1806" s="57"/>
      <c r="L1806" s="57"/>
      <c r="M1806" s="58"/>
      <c r="N1806" s="57"/>
      <c r="O1806" s="57"/>
      <c r="P1806" s="57"/>
      <c r="Q1806" s="57"/>
      <c r="R1806" s="57"/>
      <c r="S1806" s="61"/>
      <c r="T1806" s="57"/>
      <c r="U1806" s="57"/>
      <c r="V1806" s="57"/>
      <c r="W1806" s="57"/>
      <c r="X1806" s="57"/>
      <c r="Y1806" s="57"/>
      <c r="Z1806" s="57"/>
      <c r="AA1806" s="57"/>
      <c r="AB1806" s="57"/>
      <c r="AC1806" s="57"/>
      <c r="AD1806" s="57"/>
      <c r="AE1806" s="57"/>
      <c r="AF1806" s="57"/>
      <c r="AG1806" s="57"/>
      <c r="AH1806" s="57"/>
      <c r="AI1806" s="57"/>
      <c r="AJ1806" s="57"/>
      <c r="AK1806" s="57"/>
      <c r="AL1806" s="57"/>
      <c r="AM1806" s="57"/>
      <c r="AN1806" s="57"/>
      <c r="AO1806" s="57"/>
      <c r="AP1806" s="57"/>
      <c r="AQ1806" s="57"/>
      <c r="AR1806" s="57"/>
      <c r="AS1806" s="57"/>
      <c r="AT1806" s="57"/>
      <c r="AU1806" s="57"/>
      <c r="AV1806" s="57"/>
      <c r="AW1806" s="57"/>
      <c r="AX1806" s="57"/>
      <c r="AY1806" s="57"/>
      <c r="AZ1806" s="57"/>
      <c r="BA1806" s="57"/>
      <c r="BB1806" s="57"/>
      <c r="BC1806" s="57"/>
      <c r="BD1806" s="57"/>
      <c r="BE1806" s="57"/>
      <c r="BF1806" s="57"/>
    </row>
    <row r="1807" spans="1:58" x14ac:dyDescent="0.25">
      <c r="A1807" s="53"/>
      <c r="B1807" s="60"/>
      <c r="C1807" s="57">
        <f t="shared" si="136"/>
        <v>0</v>
      </c>
      <c r="D1807" s="56"/>
      <c r="E1807" s="57">
        <f>[1]DETAY!$A$2</f>
        <v>0</v>
      </c>
      <c r="F1807" s="90">
        <f t="shared" si="137"/>
        <v>0</v>
      </c>
      <c r="G1807" s="92">
        <f t="shared" si="138"/>
        <v>0</v>
      </c>
      <c r="H1807" s="62" t="e">
        <f t="shared" si="139"/>
        <v>#DIV/0!</v>
      </c>
      <c r="I1807" s="57"/>
      <c r="J1807" s="57"/>
      <c r="K1807" s="57"/>
      <c r="L1807" s="57"/>
      <c r="M1807" s="58"/>
      <c r="N1807" s="57"/>
      <c r="O1807" s="57"/>
      <c r="P1807" s="57"/>
      <c r="Q1807" s="57"/>
      <c r="R1807" s="57"/>
      <c r="S1807" s="61"/>
      <c r="T1807" s="57"/>
      <c r="U1807" s="57"/>
      <c r="V1807" s="57"/>
      <c r="W1807" s="57"/>
      <c r="X1807" s="57"/>
      <c r="Y1807" s="57"/>
      <c r="Z1807" s="57"/>
      <c r="AA1807" s="57"/>
      <c r="AB1807" s="57"/>
      <c r="AC1807" s="57"/>
      <c r="AD1807" s="57"/>
      <c r="AE1807" s="57"/>
      <c r="AF1807" s="57"/>
      <c r="AG1807" s="57"/>
      <c r="AH1807" s="57"/>
      <c r="AI1807" s="57"/>
      <c r="AJ1807" s="57"/>
      <c r="AK1807" s="57"/>
      <c r="AL1807" s="57"/>
      <c r="AM1807" s="57"/>
      <c r="AN1807" s="57"/>
      <c r="AO1807" s="57"/>
      <c r="AP1807" s="57"/>
      <c r="AQ1807" s="57"/>
      <c r="AR1807" s="57"/>
      <c r="AS1807" s="57"/>
      <c r="AT1807" s="57"/>
      <c r="AU1807" s="57"/>
      <c r="AV1807" s="57"/>
      <c r="AW1807" s="57"/>
      <c r="AX1807" s="57"/>
      <c r="AY1807" s="57"/>
      <c r="AZ1807" s="57"/>
      <c r="BA1807" s="57"/>
      <c r="BB1807" s="57"/>
      <c r="BC1807" s="57"/>
      <c r="BD1807" s="57"/>
      <c r="BE1807" s="57"/>
      <c r="BF1807" s="57"/>
    </row>
    <row r="1808" spans="1:58" x14ac:dyDescent="0.25">
      <c r="A1808" s="53"/>
      <c r="B1808" s="60"/>
      <c r="C1808" s="57">
        <f t="shared" si="136"/>
        <v>0</v>
      </c>
      <c r="D1808" s="56"/>
      <c r="E1808" s="57">
        <f>[1]DETAY!$A$2</f>
        <v>0</v>
      </c>
      <c r="F1808" s="90">
        <f t="shared" si="137"/>
        <v>0</v>
      </c>
      <c r="G1808" s="92">
        <f t="shared" si="138"/>
        <v>0</v>
      </c>
      <c r="H1808" s="62" t="e">
        <f t="shared" si="139"/>
        <v>#DIV/0!</v>
      </c>
      <c r="I1808" s="57"/>
      <c r="J1808" s="57"/>
      <c r="K1808" s="57"/>
      <c r="L1808" s="57"/>
      <c r="M1808" s="58"/>
      <c r="N1808" s="57"/>
      <c r="O1808" s="57"/>
      <c r="P1808" s="57"/>
      <c r="Q1808" s="57"/>
      <c r="R1808" s="57"/>
      <c r="S1808" s="61"/>
      <c r="T1808" s="57"/>
      <c r="U1808" s="57"/>
      <c r="V1808" s="57"/>
      <c r="W1808" s="57"/>
      <c r="X1808" s="57"/>
      <c r="Y1808" s="57"/>
      <c r="Z1808" s="57"/>
      <c r="AA1808" s="57"/>
      <c r="AB1808" s="57"/>
      <c r="AC1808" s="57"/>
      <c r="AD1808" s="57"/>
      <c r="AE1808" s="57"/>
      <c r="AF1808" s="57"/>
      <c r="AG1808" s="57"/>
      <c r="AH1808" s="57"/>
      <c r="AI1808" s="57"/>
      <c r="AJ1808" s="57"/>
      <c r="AK1808" s="57"/>
      <c r="AL1808" s="57"/>
      <c r="AM1808" s="57"/>
      <c r="AN1808" s="57"/>
      <c r="AO1808" s="57"/>
      <c r="AP1808" s="57"/>
      <c r="AQ1808" s="57"/>
      <c r="AR1808" s="57"/>
      <c r="AS1808" s="57"/>
      <c r="AT1808" s="57"/>
      <c r="AU1808" s="57"/>
      <c r="AV1808" s="57"/>
      <c r="AW1808" s="57"/>
      <c r="AX1808" s="57"/>
      <c r="AY1808" s="57"/>
      <c r="AZ1808" s="57"/>
      <c r="BA1808" s="57"/>
      <c r="BB1808" s="57"/>
      <c r="BC1808" s="57"/>
      <c r="BD1808" s="57"/>
      <c r="BE1808" s="57"/>
      <c r="BF1808" s="57"/>
    </row>
    <row r="1809" spans="1:58" x14ac:dyDescent="0.25">
      <c r="A1809" s="53"/>
      <c r="B1809" s="60"/>
      <c r="C1809" s="57">
        <f t="shared" si="136"/>
        <v>0</v>
      </c>
      <c r="D1809" s="56"/>
      <c r="E1809" s="57">
        <f>[1]DETAY!$A$2</f>
        <v>0</v>
      </c>
      <c r="F1809" s="90">
        <f t="shared" si="137"/>
        <v>0</v>
      </c>
      <c r="G1809" s="92">
        <f t="shared" si="138"/>
        <v>0</v>
      </c>
      <c r="H1809" s="62" t="e">
        <f t="shared" si="139"/>
        <v>#DIV/0!</v>
      </c>
      <c r="I1809" s="57"/>
      <c r="J1809" s="57"/>
      <c r="K1809" s="57"/>
      <c r="L1809" s="57"/>
      <c r="M1809" s="58"/>
      <c r="N1809" s="57"/>
      <c r="O1809" s="57"/>
      <c r="P1809" s="57"/>
      <c r="Q1809" s="57"/>
      <c r="R1809" s="57"/>
      <c r="S1809" s="61"/>
      <c r="T1809" s="57"/>
      <c r="U1809" s="57"/>
      <c r="V1809" s="57"/>
      <c r="W1809" s="57"/>
      <c r="X1809" s="57"/>
      <c r="Y1809" s="57"/>
      <c r="Z1809" s="57"/>
      <c r="AA1809" s="57"/>
      <c r="AB1809" s="57"/>
      <c r="AC1809" s="57"/>
      <c r="AD1809" s="57"/>
      <c r="AE1809" s="57"/>
      <c r="AF1809" s="57"/>
      <c r="AG1809" s="57"/>
      <c r="AH1809" s="57"/>
      <c r="AI1809" s="57"/>
      <c r="AJ1809" s="57"/>
      <c r="AK1809" s="57"/>
      <c r="AL1809" s="57"/>
      <c r="AM1809" s="57"/>
      <c r="AN1809" s="57"/>
      <c r="AO1809" s="57"/>
      <c r="AP1809" s="57"/>
      <c r="AQ1809" s="57"/>
      <c r="AR1809" s="57"/>
      <c r="AS1809" s="57"/>
      <c r="AT1809" s="57"/>
      <c r="AU1809" s="57"/>
      <c r="AV1809" s="57"/>
      <c r="AW1809" s="57"/>
      <c r="AX1809" s="57"/>
      <c r="AY1809" s="57"/>
      <c r="AZ1809" s="57"/>
      <c r="BA1809" s="57"/>
      <c r="BB1809" s="57"/>
      <c r="BC1809" s="57"/>
      <c r="BD1809" s="57"/>
      <c r="BE1809" s="57"/>
      <c r="BF1809" s="57"/>
    </row>
    <row r="1810" spans="1:58" x14ac:dyDescent="0.25">
      <c r="A1810" s="53"/>
      <c r="B1810" s="60"/>
      <c r="C1810" s="57">
        <f t="shared" si="136"/>
        <v>0</v>
      </c>
      <c r="D1810" s="56"/>
      <c r="E1810" s="57">
        <f>[1]DETAY!$A$2</f>
        <v>0</v>
      </c>
      <c r="F1810" s="90">
        <f t="shared" si="137"/>
        <v>0</v>
      </c>
      <c r="G1810" s="92">
        <f t="shared" si="138"/>
        <v>0</v>
      </c>
      <c r="H1810" s="62" t="e">
        <f t="shared" si="139"/>
        <v>#DIV/0!</v>
      </c>
      <c r="I1810" s="57"/>
      <c r="J1810" s="57"/>
      <c r="K1810" s="57"/>
      <c r="L1810" s="57"/>
      <c r="M1810" s="58"/>
      <c r="N1810" s="57"/>
      <c r="O1810" s="57"/>
      <c r="P1810" s="57"/>
      <c r="Q1810" s="57"/>
      <c r="R1810" s="57"/>
      <c r="S1810" s="61"/>
      <c r="T1810" s="57"/>
      <c r="U1810" s="57"/>
      <c r="V1810" s="57"/>
      <c r="W1810" s="57"/>
      <c r="X1810" s="57"/>
      <c r="Y1810" s="57"/>
      <c r="Z1810" s="57"/>
      <c r="AA1810" s="57"/>
      <c r="AB1810" s="57"/>
      <c r="AC1810" s="57"/>
      <c r="AD1810" s="57"/>
      <c r="AE1810" s="57"/>
      <c r="AF1810" s="57"/>
      <c r="AG1810" s="57"/>
      <c r="AH1810" s="57"/>
      <c r="AI1810" s="57"/>
      <c r="AJ1810" s="57"/>
      <c r="AK1810" s="57"/>
      <c r="AL1810" s="57"/>
      <c r="AM1810" s="57"/>
      <c r="AN1810" s="57"/>
      <c r="AO1810" s="57"/>
      <c r="AP1810" s="57"/>
      <c r="AQ1810" s="57"/>
      <c r="AR1810" s="57"/>
      <c r="AS1810" s="57"/>
      <c r="AT1810" s="57"/>
      <c r="AU1810" s="57"/>
      <c r="AV1810" s="57"/>
      <c r="AW1810" s="57"/>
      <c r="AX1810" s="57"/>
      <c r="AY1810" s="57"/>
      <c r="AZ1810" s="57"/>
      <c r="BA1810" s="57"/>
      <c r="BB1810" s="57"/>
      <c r="BC1810" s="57"/>
      <c r="BD1810" s="57"/>
      <c r="BE1810" s="57"/>
      <c r="BF1810" s="57"/>
    </row>
    <row r="1811" spans="1:58" x14ac:dyDescent="0.25">
      <c r="A1811" s="53"/>
      <c r="B1811" s="60"/>
      <c r="C1811" s="57">
        <f t="shared" si="136"/>
        <v>0</v>
      </c>
      <c r="D1811" s="56"/>
      <c r="E1811" s="57">
        <f>[1]DETAY!$A$2</f>
        <v>0</v>
      </c>
      <c r="F1811" s="90">
        <f t="shared" si="137"/>
        <v>0</v>
      </c>
      <c r="G1811" s="92">
        <f t="shared" si="138"/>
        <v>0</v>
      </c>
      <c r="H1811" s="62" t="e">
        <f t="shared" si="139"/>
        <v>#DIV/0!</v>
      </c>
      <c r="I1811" s="57"/>
      <c r="J1811" s="57"/>
      <c r="K1811" s="57"/>
      <c r="L1811" s="57"/>
      <c r="M1811" s="58"/>
      <c r="N1811" s="57"/>
      <c r="O1811" s="57"/>
      <c r="P1811" s="57"/>
      <c r="Q1811" s="57"/>
      <c r="R1811" s="57"/>
      <c r="S1811" s="61"/>
      <c r="T1811" s="57"/>
      <c r="U1811" s="57"/>
      <c r="V1811" s="57"/>
      <c r="W1811" s="57"/>
      <c r="X1811" s="57"/>
      <c r="Y1811" s="57"/>
      <c r="Z1811" s="57"/>
      <c r="AA1811" s="57"/>
      <c r="AB1811" s="57"/>
      <c r="AC1811" s="57"/>
      <c r="AD1811" s="57"/>
      <c r="AE1811" s="57"/>
      <c r="AF1811" s="57"/>
      <c r="AG1811" s="57"/>
      <c r="AH1811" s="57"/>
      <c r="AI1811" s="57"/>
      <c r="AJ1811" s="57"/>
      <c r="AK1811" s="57"/>
      <c r="AL1811" s="57"/>
      <c r="AM1811" s="57"/>
      <c r="AN1811" s="57"/>
      <c r="AO1811" s="57"/>
      <c r="AP1811" s="57"/>
      <c r="AQ1811" s="57"/>
      <c r="AR1811" s="57"/>
      <c r="AS1811" s="57"/>
      <c r="AT1811" s="57"/>
      <c r="AU1811" s="57"/>
      <c r="AV1811" s="57"/>
      <c r="AW1811" s="57"/>
      <c r="AX1811" s="57"/>
      <c r="AY1811" s="57"/>
      <c r="AZ1811" s="57"/>
      <c r="BA1811" s="57"/>
      <c r="BB1811" s="57"/>
      <c r="BC1811" s="57"/>
      <c r="BD1811" s="57"/>
      <c r="BE1811" s="57"/>
      <c r="BF1811" s="57"/>
    </row>
    <row r="1812" spans="1:58" x14ac:dyDescent="0.25">
      <c r="A1812" s="53"/>
      <c r="B1812" s="60"/>
      <c r="C1812" s="57">
        <f t="shared" si="136"/>
        <v>0</v>
      </c>
      <c r="D1812" s="56"/>
      <c r="E1812" s="57">
        <f>[1]DETAY!$A$2</f>
        <v>0</v>
      </c>
      <c r="F1812" s="90">
        <f t="shared" si="137"/>
        <v>0</v>
      </c>
      <c r="G1812" s="92">
        <f t="shared" si="138"/>
        <v>0</v>
      </c>
      <c r="H1812" s="62" t="e">
        <f t="shared" si="139"/>
        <v>#DIV/0!</v>
      </c>
      <c r="I1812" s="57"/>
      <c r="J1812" s="57"/>
      <c r="K1812" s="57"/>
      <c r="L1812" s="57"/>
      <c r="M1812" s="58"/>
      <c r="N1812" s="57"/>
      <c r="O1812" s="57"/>
      <c r="P1812" s="57"/>
      <c r="Q1812" s="57"/>
      <c r="R1812" s="57"/>
      <c r="S1812" s="61"/>
      <c r="T1812" s="57"/>
      <c r="U1812" s="57"/>
      <c r="V1812" s="57"/>
      <c r="W1812" s="57"/>
      <c r="X1812" s="57"/>
      <c r="Y1812" s="57"/>
      <c r="Z1812" s="57"/>
      <c r="AA1812" s="57"/>
      <c r="AB1812" s="57"/>
      <c r="AC1812" s="57"/>
      <c r="AD1812" s="57"/>
      <c r="AE1812" s="57"/>
      <c r="AF1812" s="57"/>
      <c r="AG1812" s="57"/>
      <c r="AH1812" s="57"/>
      <c r="AI1812" s="57"/>
      <c r="AJ1812" s="57"/>
      <c r="AK1812" s="57"/>
      <c r="AL1812" s="57"/>
      <c r="AM1812" s="57"/>
      <c r="AN1812" s="57"/>
      <c r="AO1812" s="57"/>
      <c r="AP1812" s="57"/>
      <c r="AQ1812" s="57"/>
      <c r="AR1812" s="57"/>
      <c r="AS1812" s="57"/>
      <c r="AT1812" s="57"/>
      <c r="AU1812" s="57"/>
      <c r="AV1812" s="57"/>
      <c r="AW1812" s="57"/>
      <c r="AX1812" s="57"/>
      <c r="AY1812" s="57"/>
      <c r="AZ1812" s="57"/>
      <c r="BA1812" s="57"/>
      <c r="BB1812" s="57"/>
      <c r="BC1812" s="57"/>
      <c r="BD1812" s="57"/>
      <c r="BE1812" s="57"/>
      <c r="BF1812" s="57"/>
    </row>
    <row r="1813" spans="1:58" x14ac:dyDescent="0.25">
      <c r="A1813" s="53"/>
      <c r="B1813" s="60"/>
      <c r="C1813" s="57">
        <f t="shared" si="136"/>
        <v>0</v>
      </c>
      <c r="D1813" s="56"/>
      <c r="E1813" s="57">
        <f>[1]DETAY!$A$2</f>
        <v>0</v>
      </c>
      <c r="F1813" s="90">
        <f t="shared" si="137"/>
        <v>0</v>
      </c>
      <c r="G1813" s="92">
        <f t="shared" si="138"/>
        <v>0</v>
      </c>
      <c r="H1813" s="62" t="e">
        <f t="shared" si="139"/>
        <v>#DIV/0!</v>
      </c>
      <c r="I1813" s="57"/>
      <c r="J1813" s="57"/>
      <c r="K1813" s="57"/>
      <c r="L1813" s="57"/>
      <c r="M1813" s="58"/>
      <c r="N1813" s="57"/>
      <c r="O1813" s="57"/>
      <c r="P1813" s="57"/>
      <c r="Q1813" s="57"/>
      <c r="R1813" s="57"/>
      <c r="S1813" s="61"/>
      <c r="T1813" s="57"/>
      <c r="U1813" s="57"/>
      <c r="V1813" s="57"/>
      <c r="W1813" s="57"/>
      <c r="X1813" s="57"/>
      <c r="Y1813" s="57"/>
      <c r="Z1813" s="57"/>
      <c r="AA1813" s="57"/>
      <c r="AB1813" s="57"/>
      <c r="AC1813" s="57"/>
      <c r="AD1813" s="57"/>
      <c r="AE1813" s="57"/>
      <c r="AF1813" s="57"/>
      <c r="AG1813" s="57"/>
      <c r="AH1813" s="57"/>
      <c r="AI1813" s="57"/>
      <c r="AJ1813" s="57"/>
      <c r="AK1813" s="57"/>
      <c r="AL1813" s="57"/>
      <c r="AM1813" s="57"/>
      <c r="AN1813" s="57"/>
      <c r="AO1813" s="57"/>
      <c r="AP1813" s="57"/>
      <c r="AQ1813" s="57"/>
      <c r="AR1813" s="57"/>
      <c r="AS1813" s="57"/>
      <c r="AT1813" s="57"/>
      <c r="AU1813" s="57"/>
      <c r="AV1813" s="57"/>
      <c r="AW1813" s="57"/>
      <c r="AX1813" s="57"/>
      <c r="AY1813" s="57"/>
      <c r="AZ1813" s="57"/>
      <c r="BA1813" s="57"/>
      <c r="BB1813" s="57"/>
      <c r="BC1813" s="57"/>
      <c r="BD1813" s="57"/>
      <c r="BE1813" s="57"/>
      <c r="BF1813" s="57"/>
    </row>
    <row r="1814" spans="1:58" x14ac:dyDescent="0.25">
      <c r="A1814" s="53"/>
      <c r="B1814" s="60"/>
      <c r="C1814" s="57">
        <f t="shared" si="136"/>
        <v>0</v>
      </c>
      <c r="D1814" s="56"/>
      <c r="E1814" s="57">
        <f>[1]DETAY!$A$2</f>
        <v>0</v>
      </c>
      <c r="F1814" s="90">
        <f t="shared" si="137"/>
        <v>0</v>
      </c>
      <c r="G1814" s="92">
        <f t="shared" si="138"/>
        <v>0</v>
      </c>
      <c r="H1814" s="62" t="e">
        <f t="shared" si="139"/>
        <v>#DIV/0!</v>
      </c>
      <c r="I1814" s="57"/>
      <c r="J1814" s="57"/>
      <c r="K1814" s="57"/>
      <c r="L1814" s="57"/>
      <c r="M1814" s="58"/>
      <c r="N1814" s="57"/>
      <c r="O1814" s="57"/>
      <c r="P1814" s="57"/>
      <c r="Q1814" s="57"/>
      <c r="R1814" s="57"/>
      <c r="S1814" s="61"/>
      <c r="T1814" s="57"/>
      <c r="U1814" s="57"/>
      <c r="V1814" s="57"/>
      <c r="W1814" s="57"/>
      <c r="X1814" s="57"/>
      <c r="Y1814" s="57"/>
      <c r="Z1814" s="57"/>
      <c r="AA1814" s="57"/>
      <c r="AB1814" s="57"/>
      <c r="AC1814" s="57"/>
      <c r="AD1814" s="57"/>
      <c r="AE1814" s="57"/>
      <c r="AF1814" s="57"/>
      <c r="AG1814" s="57"/>
      <c r="AH1814" s="57"/>
      <c r="AI1814" s="57"/>
      <c r="AJ1814" s="57"/>
      <c r="AK1814" s="57"/>
      <c r="AL1814" s="57"/>
      <c r="AM1814" s="57"/>
      <c r="AN1814" s="57"/>
      <c r="AO1814" s="57"/>
      <c r="AP1814" s="57"/>
      <c r="AQ1814" s="57"/>
      <c r="AR1814" s="57"/>
      <c r="AS1814" s="57"/>
      <c r="AT1814" s="57"/>
      <c r="AU1814" s="57"/>
      <c r="AV1814" s="57"/>
      <c r="AW1814" s="57"/>
      <c r="AX1814" s="57"/>
      <c r="AY1814" s="57"/>
      <c r="AZ1814" s="57"/>
      <c r="BA1814" s="57"/>
      <c r="BB1814" s="57"/>
      <c r="BC1814" s="57"/>
      <c r="BD1814" s="57"/>
      <c r="BE1814" s="57"/>
      <c r="BF1814" s="57"/>
    </row>
    <row r="1815" spans="1:58" x14ac:dyDescent="0.25">
      <c r="A1815" s="53"/>
      <c r="B1815" s="60"/>
      <c r="C1815" s="57">
        <f t="shared" si="136"/>
        <v>0</v>
      </c>
      <c r="D1815" s="56"/>
      <c r="E1815" s="57">
        <f>[1]DETAY!$A$2</f>
        <v>0</v>
      </c>
      <c r="F1815" s="90">
        <f t="shared" si="137"/>
        <v>0</v>
      </c>
      <c r="G1815" s="92">
        <f t="shared" si="138"/>
        <v>0</v>
      </c>
      <c r="H1815" s="62" t="e">
        <f t="shared" si="139"/>
        <v>#DIV/0!</v>
      </c>
      <c r="I1815" s="57"/>
      <c r="J1815" s="57"/>
      <c r="K1815" s="57"/>
      <c r="L1815" s="57"/>
      <c r="M1815" s="58"/>
      <c r="N1815" s="57"/>
      <c r="O1815" s="57"/>
      <c r="P1815" s="57"/>
      <c r="Q1815" s="57"/>
      <c r="R1815" s="57"/>
      <c r="S1815" s="61"/>
      <c r="T1815" s="57"/>
      <c r="U1815" s="57"/>
      <c r="V1815" s="57"/>
      <c r="W1815" s="57"/>
      <c r="X1815" s="57"/>
      <c r="Y1815" s="57"/>
      <c r="Z1815" s="57"/>
      <c r="AA1815" s="57"/>
      <c r="AB1815" s="57"/>
      <c r="AC1815" s="57"/>
      <c r="AD1815" s="57"/>
      <c r="AE1815" s="57"/>
      <c r="AF1815" s="57"/>
      <c r="AG1815" s="57"/>
      <c r="AH1815" s="57"/>
      <c r="AI1815" s="57"/>
      <c r="AJ1815" s="57"/>
      <c r="AK1815" s="57"/>
      <c r="AL1815" s="57"/>
      <c r="AM1815" s="57"/>
      <c r="AN1815" s="57"/>
      <c r="AO1815" s="57"/>
      <c r="AP1815" s="57"/>
      <c r="AQ1815" s="57"/>
      <c r="AR1815" s="57"/>
      <c r="AS1815" s="57"/>
      <c r="AT1815" s="57"/>
      <c r="AU1815" s="57"/>
      <c r="AV1815" s="57"/>
      <c r="AW1815" s="57"/>
      <c r="AX1815" s="57"/>
      <c r="AY1815" s="57"/>
      <c r="AZ1815" s="57"/>
      <c r="BA1815" s="57"/>
      <c r="BB1815" s="57"/>
      <c r="BC1815" s="57"/>
      <c r="BD1815" s="57"/>
      <c r="BE1815" s="57"/>
      <c r="BF1815" s="57"/>
    </row>
    <row r="1816" spans="1:58" x14ac:dyDescent="0.25">
      <c r="A1816" s="53"/>
      <c r="B1816" s="60"/>
      <c r="C1816" s="57">
        <f t="shared" si="136"/>
        <v>0</v>
      </c>
      <c r="D1816" s="56"/>
      <c r="E1816" s="57">
        <f>[1]DETAY!$A$2</f>
        <v>0</v>
      </c>
      <c r="F1816" s="90">
        <f t="shared" si="137"/>
        <v>0</v>
      </c>
      <c r="G1816" s="92">
        <f t="shared" si="138"/>
        <v>0</v>
      </c>
      <c r="H1816" s="62" t="e">
        <f t="shared" si="139"/>
        <v>#DIV/0!</v>
      </c>
      <c r="I1816" s="57"/>
      <c r="J1816" s="57"/>
      <c r="K1816" s="57"/>
      <c r="L1816" s="57"/>
      <c r="M1816" s="58"/>
      <c r="N1816" s="57"/>
      <c r="O1816" s="57"/>
      <c r="P1816" s="57"/>
      <c r="Q1816" s="57"/>
      <c r="R1816" s="57"/>
      <c r="S1816" s="61"/>
      <c r="T1816" s="57"/>
      <c r="U1816" s="57"/>
      <c r="V1816" s="57"/>
      <c r="W1816" s="57"/>
      <c r="X1816" s="57"/>
      <c r="Y1816" s="57"/>
      <c r="Z1816" s="57"/>
      <c r="AA1816" s="57"/>
      <c r="AB1816" s="57"/>
      <c r="AC1816" s="57"/>
      <c r="AD1816" s="57"/>
      <c r="AE1816" s="57"/>
      <c r="AF1816" s="57"/>
      <c r="AG1816" s="57"/>
      <c r="AH1816" s="57"/>
      <c r="AI1816" s="57"/>
      <c r="AJ1816" s="57"/>
      <c r="AK1816" s="57"/>
      <c r="AL1816" s="57"/>
      <c r="AM1816" s="57"/>
      <c r="AN1816" s="57"/>
      <c r="AO1816" s="57"/>
      <c r="AP1816" s="57"/>
      <c r="AQ1816" s="57"/>
      <c r="AR1816" s="57"/>
      <c r="AS1816" s="57"/>
      <c r="AT1816" s="57"/>
      <c r="AU1816" s="57"/>
      <c r="AV1816" s="57"/>
      <c r="AW1816" s="57"/>
      <c r="AX1816" s="57"/>
      <c r="AY1816" s="57"/>
      <c r="AZ1816" s="57"/>
      <c r="BA1816" s="57"/>
      <c r="BB1816" s="57"/>
      <c r="BC1816" s="57"/>
      <c r="BD1816" s="57"/>
      <c r="BE1816" s="57"/>
      <c r="BF1816" s="57"/>
    </row>
    <row r="1817" spans="1:58" x14ac:dyDescent="0.25">
      <c r="A1817" s="53"/>
      <c r="B1817" s="60"/>
      <c r="C1817" s="57">
        <f t="shared" si="136"/>
        <v>0</v>
      </c>
      <c r="D1817" s="56"/>
      <c r="E1817" s="57">
        <f>[1]DETAY!$A$2</f>
        <v>0</v>
      </c>
      <c r="F1817" s="90">
        <f t="shared" si="137"/>
        <v>0</v>
      </c>
      <c r="G1817" s="92">
        <f t="shared" si="138"/>
        <v>0</v>
      </c>
      <c r="H1817" s="62" t="e">
        <f t="shared" si="139"/>
        <v>#DIV/0!</v>
      </c>
      <c r="I1817" s="57"/>
      <c r="J1817" s="57"/>
      <c r="K1817" s="57"/>
      <c r="L1817" s="57"/>
      <c r="M1817" s="58"/>
      <c r="N1817" s="57"/>
      <c r="O1817" s="57"/>
      <c r="P1817" s="57"/>
      <c r="Q1817" s="57"/>
      <c r="R1817" s="57"/>
      <c r="S1817" s="61"/>
      <c r="T1817" s="57"/>
      <c r="U1817" s="57"/>
      <c r="V1817" s="57"/>
      <c r="W1817" s="57"/>
      <c r="X1817" s="57"/>
      <c r="Y1817" s="57"/>
      <c r="Z1817" s="57"/>
      <c r="AA1817" s="57"/>
      <c r="AB1817" s="57"/>
      <c r="AC1817" s="57"/>
      <c r="AD1817" s="57"/>
      <c r="AE1817" s="57"/>
      <c r="AF1817" s="57"/>
      <c r="AG1817" s="57"/>
      <c r="AH1817" s="57"/>
      <c r="AI1817" s="57"/>
      <c r="AJ1817" s="57"/>
      <c r="AK1817" s="57"/>
      <c r="AL1817" s="57"/>
      <c r="AM1817" s="57"/>
      <c r="AN1817" s="57"/>
      <c r="AO1817" s="57"/>
      <c r="AP1817" s="57"/>
      <c r="AQ1817" s="57"/>
      <c r="AR1817" s="57"/>
      <c r="AS1817" s="57"/>
      <c r="AT1817" s="57"/>
      <c r="AU1817" s="57"/>
      <c r="AV1817" s="57"/>
      <c r="AW1817" s="57"/>
      <c r="AX1817" s="57"/>
      <c r="AY1817" s="57"/>
      <c r="AZ1817" s="57"/>
      <c r="BA1817" s="57"/>
      <c r="BB1817" s="57"/>
      <c r="BC1817" s="57"/>
      <c r="BD1817" s="57"/>
      <c r="BE1817" s="57"/>
      <c r="BF1817" s="57"/>
    </row>
    <row r="1818" spans="1:58" x14ac:dyDescent="0.25">
      <c r="A1818" s="53"/>
      <c r="B1818" s="60"/>
      <c r="C1818" s="57">
        <f t="shared" si="136"/>
        <v>0</v>
      </c>
      <c r="D1818" s="56"/>
      <c r="E1818" s="57">
        <f>[1]DETAY!$A$2</f>
        <v>0</v>
      </c>
      <c r="F1818" s="90">
        <f t="shared" si="137"/>
        <v>0</v>
      </c>
      <c r="G1818" s="92">
        <f t="shared" si="138"/>
        <v>0</v>
      </c>
      <c r="H1818" s="62" t="e">
        <f t="shared" si="139"/>
        <v>#DIV/0!</v>
      </c>
      <c r="I1818" s="57"/>
      <c r="J1818" s="57"/>
      <c r="K1818" s="57"/>
      <c r="L1818" s="57"/>
      <c r="M1818" s="58"/>
      <c r="N1818" s="57"/>
      <c r="O1818" s="57"/>
      <c r="P1818" s="57"/>
      <c r="Q1818" s="57"/>
      <c r="R1818" s="57"/>
      <c r="S1818" s="61"/>
      <c r="T1818" s="57"/>
      <c r="U1818" s="57"/>
      <c r="V1818" s="57"/>
      <c r="W1818" s="57"/>
      <c r="X1818" s="57"/>
      <c r="Y1818" s="57"/>
      <c r="Z1818" s="57"/>
      <c r="AA1818" s="57"/>
      <c r="AB1818" s="57"/>
      <c r="AC1818" s="57"/>
      <c r="AD1818" s="57"/>
      <c r="AE1818" s="57"/>
      <c r="AF1818" s="57"/>
      <c r="AG1818" s="57"/>
      <c r="AH1818" s="57"/>
      <c r="AI1818" s="57"/>
      <c r="AJ1818" s="57"/>
      <c r="AK1818" s="57"/>
      <c r="AL1818" s="57"/>
      <c r="AM1818" s="57"/>
      <c r="AN1818" s="57"/>
      <c r="AO1818" s="57"/>
      <c r="AP1818" s="57"/>
      <c r="AQ1818" s="57"/>
      <c r="AR1818" s="57"/>
      <c r="AS1818" s="57"/>
      <c r="AT1818" s="57"/>
      <c r="AU1818" s="57"/>
      <c r="AV1818" s="57"/>
      <c r="AW1818" s="57"/>
      <c r="AX1818" s="57"/>
      <c r="AY1818" s="57"/>
      <c r="AZ1818" s="57"/>
      <c r="BA1818" s="57"/>
      <c r="BB1818" s="57"/>
      <c r="BC1818" s="57"/>
      <c r="BD1818" s="57"/>
      <c r="BE1818" s="57"/>
      <c r="BF1818" s="57"/>
    </row>
    <row r="1819" spans="1:58" x14ac:dyDescent="0.25">
      <c r="A1819" s="53"/>
      <c r="B1819" s="60"/>
      <c r="C1819" s="57">
        <f t="shared" si="136"/>
        <v>0</v>
      </c>
      <c r="D1819" s="56"/>
      <c r="E1819" s="57">
        <f>[1]DETAY!$A$2</f>
        <v>0</v>
      </c>
      <c r="F1819" s="90">
        <f t="shared" si="137"/>
        <v>0</v>
      </c>
      <c r="G1819" s="92">
        <f t="shared" si="138"/>
        <v>0</v>
      </c>
      <c r="H1819" s="62" t="e">
        <f t="shared" si="139"/>
        <v>#DIV/0!</v>
      </c>
      <c r="I1819" s="57"/>
      <c r="J1819" s="57"/>
      <c r="K1819" s="57"/>
      <c r="L1819" s="57"/>
      <c r="M1819" s="58"/>
      <c r="N1819" s="57"/>
      <c r="O1819" s="57"/>
      <c r="P1819" s="57"/>
      <c r="Q1819" s="57"/>
      <c r="R1819" s="57"/>
      <c r="S1819" s="61"/>
      <c r="T1819" s="57"/>
      <c r="U1819" s="57"/>
      <c r="V1819" s="57"/>
      <c r="W1819" s="57"/>
      <c r="X1819" s="57"/>
      <c r="Y1819" s="57"/>
      <c r="Z1819" s="57"/>
      <c r="AA1819" s="57"/>
      <c r="AB1819" s="57"/>
      <c r="AC1819" s="57"/>
      <c r="AD1819" s="57"/>
      <c r="AE1819" s="57"/>
      <c r="AF1819" s="57"/>
      <c r="AG1819" s="57"/>
      <c r="AH1819" s="57"/>
      <c r="AI1819" s="57"/>
      <c r="AJ1819" s="57"/>
      <c r="AK1819" s="57"/>
      <c r="AL1819" s="57"/>
      <c r="AM1819" s="57"/>
      <c r="AN1819" s="57"/>
      <c r="AO1819" s="57"/>
      <c r="AP1819" s="57"/>
      <c r="AQ1819" s="57"/>
      <c r="AR1819" s="57"/>
      <c r="AS1819" s="57"/>
      <c r="AT1819" s="57"/>
      <c r="AU1819" s="57"/>
      <c r="AV1819" s="57"/>
      <c r="AW1819" s="57"/>
      <c r="AX1819" s="57"/>
      <c r="AY1819" s="57"/>
      <c r="AZ1819" s="57"/>
      <c r="BA1819" s="57"/>
      <c r="BB1819" s="57"/>
      <c r="BC1819" s="57"/>
      <c r="BD1819" s="57"/>
      <c r="BE1819" s="57"/>
      <c r="BF1819" s="57"/>
    </row>
    <row r="1820" spans="1:58" x14ac:dyDescent="0.25">
      <c r="A1820" s="53"/>
      <c r="B1820" s="60"/>
      <c r="C1820" s="57">
        <f t="shared" si="136"/>
        <v>0</v>
      </c>
      <c r="D1820" s="56"/>
      <c r="E1820" s="57">
        <f>[1]DETAY!$A$2</f>
        <v>0</v>
      </c>
      <c r="F1820" s="90">
        <f t="shared" si="137"/>
        <v>0</v>
      </c>
      <c r="G1820" s="92">
        <f t="shared" si="138"/>
        <v>0</v>
      </c>
      <c r="H1820" s="62" t="e">
        <f t="shared" si="139"/>
        <v>#DIV/0!</v>
      </c>
      <c r="I1820" s="57"/>
      <c r="J1820" s="57"/>
      <c r="K1820" s="57"/>
      <c r="L1820" s="57"/>
      <c r="M1820" s="58"/>
      <c r="N1820" s="57"/>
      <c r="O1820" s="57"/>
      <c r="P1820" s="57"/>
      <c r="Q1820" s="57"/>
      <c r="R1820" s="57"/>
      <c r="S1820" s="61"/>
      <c r="T1820" s="57"/>
      <c r="U1820" s="57"/>
      <c r="V1820" s="57"/>
      <c r="W1820" s="57"/>
      <c r="X1820" s="57"/>
      <c r="Y1820" s="57"/>
      <c r="Z1820" s="57"/>
      <c r="AA1820" s="57"/>
      <c r="AB1820" s="57"/>
      <c r="AC1820" s="57"/>
      <c r="AD1820" s="57"/>
      <c r="AE1820" s="57"/>
      <c r="AF1820" s="57"/>
      <c r="AG1820" s="57"/>
      <c r="AH1820" s="57"/>
      <c r="AI1820" s="57"/>
      <c r="AJ1820" s="57"/>
      <c r="AK1820" s="57"/>
      <c r="AL1820" s="57"/>
      <c r="AM1820" s="57"/>
      <c r="AN1820" s="57"/>
      <c r="AO1820" s="57"/>
      <c r="AP1820" s="57"/>
      <c r="AQ1820" s="57"/>
      <c r="AR1820" s="57"/>
      <c r="AS1820" s="57"/>
      <c r="AT1820" s="57"/>
      <c r="AU1820" s="57"/>
      <c r="AV1820" s="57"/>
      <c r="AW1820" s="57"/>
      <c r="AX1820" s="57"/>
      <c r="AY1820" s="57"/>
      <c r="AZ1820" s="57"/>
      <c r="BA1820" s="57"/>
      <c r="BB1820" s="57"/>
      <c r="BC1820" s="57"/>
      <c r="BD1820" s="57"/>
      <c r="BE1820" s="57"/>
      <c r="BF1820" s="57"/>
    </row>
    <row r="1821" spans="1:58" x14ac:dyDescent="0.25">
      <c r="A1821" s="53"/>
      <c r="B1821" s="60"/>
      <c r="C1821" s="57">
        <f t="shared" si="136"/>
        <v>0</v>
      </c>
      <c r="D1821" s="56"/>
      <c r="E1821" s="57">
        <f>[1]DETAY!$A$2</f>
        <v>0</v>
      </c>
      <c r="F1821" s="90">
        <f t="shared" si="137"/>
        <v>0</v>
      </c>
      <c r="G1821" s="92">
        <f t="shared" si="138"/>
        <v>0</v>
      </c>
      <c r="H1821" s="62" t="e">
        <f t="shared" si="139"/>
        <v>#DIV/0!</v>
      </c>
      <c r="I1821" s="57"/>
      <c r="J1821" s="57"/>
      <c r="K1821" s="57"/>
      <c r="L1821" s="57"/>
      <c r="M1821" s="58"/>
      <c r="N1821" s="57"/>
      <c r="O1821" s="57"/>
      <c r="P1821" s="57"/>
      <c r="Q1821" s="57"/>
      <c r="R1821" s="57"/>
      <c r="S1821" s="61"/>
      <c r="T1821" s="57"/>
      <c r="U1821" s="57"/>
      <c r="V1821" s="57"/>
      <c r="W1821" s="57"/>
      <c r="X1821" s="57"/>
      <c r="Y1821" s="57"/>
      <c r="Z1821" s="57"/>
      <c r="AA1821" s="57"/>
      <c r="AB1821" s="57"/>
      <c r="AC1821" s="57"/>
      <c r="AD1821" s="57"/>
      <c r="AE1821" s="57"/>
      <c r="AF1821" s="57"/>
      <c r="AG1821" s="57"/>
      <c r="AH1821" s="57"/>
      <c r="AI1821" s="57"/>
      <c r="AJ1821" s="57"/>
      <c r="AK1821" s="57"/>
      <c r="AL1821" s="57"/>
      <c r="AM1821" s="57"/>
      <c r="AN1821" s="57"/>
      <c r="AO1821" s="57"/>
      <c r="AP1821" s="57"/>
      <c r="AQ1821" s="57"/>
      <c r="AR1821" s="57"/>
      <c r="AS1821" s="57"/>
      <c r="AT1821" s="57"/>
      <c r="AU1821" s="57"/>
      <c r="AV1821" s="57"/>
      <c r="AW1821" s="57"/>
      <c r="AX1821" s="57"/>
      <c r="AY1821" s="57"/>
      <c r="AZ1821" s="57"/>
      <c r="BA1821" s="57"/>
      <c r="BB1821" s="57"/>
      <c r="BC1821" s="57"/>
      <c r="BD1821" s="57"/>
      <c r="BE1821" s="57"/>
      <c r="BF1821" s="57"/>
    </row>
    <row r="1822" spans="1:58" x14ac:dyDescent="0.25">
      <c r="A1822" s="53"/>
      <c r="B1822" s="60"/>
      <c r="C1822" s="57">
        <f t="shared" si="136"/>
        <v>0</v>
      </c>
      <c r="D1822" s="56"/>
      <c r="E1822" s="57">
        <f>[1]DETAY!$A$2</f>
        <v>0</v>
      </c>
      <c r="F1822" s="90">
        <f t="shared" si="137"/>
        <v>0</v>
      </c>
      <c r="G1822" s="92">
        <f t="shared" si="138"/>
        <v>0</v>
      </c>
      <c r="H1822" s="62" t="e">
        <f t="shared" si="139"/>
        <v>#DIV/0!</v>
      </c>
      <c r="I1822" s="57"/>
      <c r="J1822" s="57"/>
      <c r="K1822" s="57"/>
      <c r="L1822" s="57"/>
      <c r="M1822" s="58"/>
      <c r="N1822" s="57"/>
      <c r="O1822" s="57"/>
      <c r="P1822" s="57"/>
      <c r="Q1822" s="57"/>
      <c r="R1822" s="57"/>
      <c r="S1822" s="61"/>
      <c r="T1822" s="57"/>
      <c r="U1822" s="57"/>
      <c r="V1822" s="57"/>
      <c r="W1822" s="57"/>
      <c r="X1822" s="57"/>
      <c r="Y1822" s="57"/>
      <c r="Z1822" s="57"/>
      <c r="AA1822" s="57"/>
      <c r="AB1822" s="57"/>
      <c r="AC1822" s="57"/>
      <c r="AD1822" s="57"/>
      <c r="AE1822" s="57"/>
      <c r="AF1822" s="57"/>
      <c r="AG1822" s="57"/>
      <c r="AH1822" s="57"/>
      <c r="AI1822" s="57"/>
      <c r="AJ1822" s="57"/>
      <c r="AK1822" s="57"/>
      <c r="AL1822" s="57"/>
      <c r="AM1822" s="57"/>
      <c r="AN1822" s="57"/>
      <c r="AO1822" s="57"/>
      <c r="AP1822" s="57"/>
      <c r="AQ1822" s="57"/>
      <c r="AR1822" s="57"/>
      <c r="AS1822" s="57"/>
      <c r="AT1822" s="57"/>
      <c r="AU1822" s="57"/>
      <c r="AV1822" s="57"/>
      <c r="AW1822" s="57"/>
      <c r="AX1822" s="57"/>
      <c r="AY1822" s="57"/>
      <c r="AZ1822" s="57"/>
      <c r="BA1822" s="57"/>
      <c r="BB1822" s="57"/>
      <c r="BC1822" s="57"/>
      <c r="BD1822" s="57"/>
      <c r="BE1822" s="57"/>
      <c r="BF1822" s="57"/>
    </row>
    <row r="1823" spans="1:58" x14ac:dyDescent="0.25">
      <c r="A1823" s="53"/>
      <c r="B1823" s="60"/>
      <c r="C1823" s="57">
        <f t="shared" si="136"/>
        <v>0</v>
      </c>
      <c r="D1823" s="56"/>
      <c r="E1823" s="57">
        <f>[1]DETAY!$A$2</f>
        <v>0</v>
      </c>
      <c r="F1823" s="90">
        <f t="shared" si="137"/>
        <v>0</v>
      </c>
      <c r="G1823" s="92">
        <f t="shared" si="138"/>
        <v>0</v>
      </c>
      <c r="H1823" s="62" t="e">
        <f t="shared" si="139"/>
        <v>#DIV/0!</v>
      </c>
      <c r="I1823" s="57"/>
      <c r="J1823" s="57"/>
      <c r="K1823" s="57"/>
      <c r="L1823" s="57"/>
      <c r="M1823" s="58"/>
      <c r="N1823" s="57"/>
      <c r="O1823" s="57"/>
      <c r="P1823" s="57"/>
      <c r="Q1823" s="57"/>
      <c r="R1823" s="57"/>
      <c r="S1823" s="61"/>
      <c r="T1823" s="57"/>
      <c r="U1823" s="57"/>
      <c r="V1823" s="57"/>
      <c r="W1823" s="57"/>
      <c r="X1823" s="57"/>
      <c r="Y1823" s="57"/>
      <c r="Z1823" s="57"/>
      <c r="AA1823" s="57"/>
      <c r="AB1823" s="57"/>
      <c r="AC1823" s="57"/>
      <c r="AD1823" s="57"/>
      <c r="AE1823" s="57"/>
      <c r="AF1823" s="57"/>
      <c r="AG1823" s="57"/>
      <c r="AH1823" s="57"/>
      <c r="AI1823" s="57"/>
      <c r="AJ1823" s="57"/>
      <c r="AK1823" s="57"/>
      <c r="AL1823" s="57"/>
      <c r="AM1823" s="57"/>
      <c r="AN1823" s="57"/>
      <c r="AO1823" s="57"/>
      <c r="AP1823" s="57"/>
      <c r="AQ1823" s="57"/>
      <c r="AR1823" s="57"/>
      <c r="AS1823" s="57"/>
      <c r="AT1823" s="57"/>
      <c r="AU1823" s="57"/>
      <c r="AV1823" s="57"/>
      <c r="AW1823" s="57"/>
      <c r="AX1823" s="57"/>
      <c r="AY1823" s="57"/>
      <c r="AZ1823" s="57"/>
      <c r="BA1823" s="57"/>
      <c r="BB1823" s="57"/>
      <c r="BC1823" s="57"/>
      <c r="BD1823" s="57"/>
      <c r="BE1823" s="57"/>
      <c r="BF1823" s="57"/>
    </row>
    <row r="1824" spans="1:58" x14ac:dyDescent="0.25">
      <c r="A1824" s="53"/>
      <c r="B1824" s="60"/>
      <c r="C1824" s="57">
        <f t="shared" si="136"/>
        <v>0</v>
      </c>
      <c r="D1824" s="56"/>
      <c r="E1824" s="57">
        <f>[1]DETAY!$A$2</f>
        <v>0</v>
      </c>
      <c r="F1824" s="90">
        <f t="shared" si="137"/>
        <v>0</v>
      </c>
      <c r="G1824" s="92">
        <f t="shared" si="138"/>
        <v>0</v>
      </c>
      <c r="H1824" s="62" t="e">
        <f t="shared" si="139"/>
        <v>#DIV/0!</v>
      </c>
      <c r="I1824" s="57"/>
      <c r="J1824" s="57"/>
      <c r="K1824" s="57"/>
      <c r="L1824" s="57"/>
      <c r="M1824" s="58"/>
      <c r="N1824" s="57"/>
      <c r="O1824" s="57"/>
      <c r="P1824" s="57"/>
      <c r="Q1824" s="57"/>
      <c r="R1824" s="57"/>
      <c r="S1824" s="61"/>
      <c r="T1824" s="57"/>
      <c r="U1824" s="57"/>
      <c r="V1824" s="57"/>
      <c r="W1824" s="57"/>
      <c r="X1824" s="57"/>
      <c r="Y1824" s="57"/>
      <c r="Z1824" s="57"/>
      <c r="AA1824" s="57"/>
      <c r="AB1824" s="57"/>
      <c r="AC1824" s="57"/>
      <c r="AD1824" s="57"/>
      <c r="AE1824" s="57"/>
      <c r="AF1824" s="57"/>
      <c r="AG1824" s="57"/>
      <c r="AH1824" s="57"/>
      <c r="AI1824" s="57"/>
      <c r="AJ1824" s="57"/>
      <c r="AK1824" s="57"/>
      <c r="AL1824" s="57"/>
      <c r="AM1824" s="57"/>
      <c r="AN1824" s="57"/>
      <c r="AO1824" s="57"/>
      <c r="AP1824" s="57"/>
      <c r="AQ1824" s="57"/>
      <c r="AR1824" s="57"/>
      <c r="AS1824" s="57"/>
      <c r="AT1824" s="57"/>
      <c r="AU1824" s="57"/>
      <c r="AV1824" s="57"/>
      <c r="AW1824" s="57"/>
      <c r="AX1824" s="57"/>
      <c r="AY1824" s="57"/>
      <c r="AZ1824" s="57"/>
      <c r="BA1824" s="57"/>
      <c r="BB1824" s="57"/>
      <c r="BC1824" s="57"/>
      <c r="BD1824" s="57"/>
      <c r="BE1824" s="57"/>
      <c r="BF1824" s="57"/>
    </row>
    <row r="1825" spans="1:58" x14ac:dyDescent="0.25">
      <c r="A1825" s="53"/>
      <c r="B1825" s="60"/>
      <c r="C1825" s="57">
        <f t="shared" si="136"/>
        <v>0</v>
      </c>
      <c r="D1825" s="56"/>
      <c r="E1825" s="57">
        <f>[1]DETAY!$A$2</f>
        <v>0</v>
      </c>
      <c r="F1825" s="90">
        <f t="shared" si="137"/>
        <v>0</v>
      </c>
      <c r="G1825" s="92">
        <f t="shared" si="138"/>
        <v>0</v>
      </c>
      <c r="H1825" s="62" t="e">
        <f t="shared" si="139"/>
        <v>#DIV/0!</v>
      </c>
      <c r="I1825" s="57"/>
      <c r="J1825" s="57"/>
      <c r="K1825" s="57"/>
      <c r="L1825" s="57"/>
      <c r="M1825" s="58"/>
      <c r="N1825" s="57"/>
      <c r="O1825" s="57"/>
      <c r="P1825" s="57"/>
      <c r="Q1825" s="57"/>
      <c r="R1825" s="57"/>
      <c r="S1825" s="61"/>
      <c r="T1825" s="57"/>
      <c r="U1825" s="57"/>
      <c r="V1825" s="57"/>
      <c r="W1825" s="57"/>
      <c r="X1825" s="57"/>
      <c r="Y1825" s="57"/>
      <c r="Z1825" s="57"/>
      <c r="AA1825" s="57"/>
      <c r="AB1825" s="57"/>
      <c r="AC1825" s="57"/>
      <c r="AD1825" s="57"/>
      <c r="AE1825" s="57"/>
      <c r="AF1825" s="57"/>
      <c r="AG1825" s="57"/>
      <c r="AH1825" s="57"/>
      <c r="AI1825" s="57"/>
      <c r="AJ1825" s="57"/>
      <c r="AK1825" s="57"/>
      <c r="AL1825" s="57"/>
      <c r="AM1825" s="57"/>
      <c r="AN1825" s="57"/>
      <c r="AO1825" s="57"/>
      <c r="AP1825" s="57"/>
      <c r="AQ1825" s="57"/>
      <c r="AR1825" s="57"/>
      <c r="AS1825" s="57"/>
      <c r="AT1825" s="57"/>
      <c r="AU1825" s="57"/>
      <c r="AV1825" s="57"/>
      <c r="AW1825" s="57"/>
      <c r="AX1825" s="57"/>
      <c r="AY1825" s="57"/>
      <c r="AZ1825" s="57"/>
      <c r="BA1825" s="57"/>
      <c r="BB1825" s="57"/>
      <c r="BC1825" s="57"/>
      <c r="BD1825" s="57"/>
      <c r="BE1825" s="57"/>
      <c r="BF1825" s="57"/>
    </row>
    <row r="1826" spans="1:58" x14ac:dyDescent="0.25">
      <c r="A1826" s="53"/>
      <c r="B1826" s="60"/>
      <c r="C1826" s="57">
        <f t="shared" si="136"/>
        <v>0</v>
      </c>
      <c r="D1826" s="56"/>
      <c r="E1826" s="57">
        <f>[1]DETAY!$A$2</f>
        <v>0</v>
      </c>
      <c r="F1826" s="90">
        <f t="shared" si="137"/>
        <v>0</v>
      </c>
      <c r="G1826" s="92">
        <f t="shared" si="138"/>
        <v>0</v>
      </c>
      <c r="H1826" s="62" t="e">
        <f t="shared" si="139"/>
        <v>#DIV/0!</v>
      </c>
      <c r="I1826" s="57"/>
      <c r="J1826" s="57"/>
      <c r="K1826" s="57"/>
      <c r="L1826" s="57"/>
      <c r="M1826" s="58"/>
      <c r="N1826" s="57"/>
      <c r="O1826" s="57"/>
      <c r="P1826" s="57"/>
      <c r="Q1826" s="57"/>
      <c r="R1826" s="57"/>
      <c r="S1826" s="61"/>
      <c r="T1826" s="57"/>
      <c r="U1826" s="57"/>
      <c r="V1826" s="57"/>
      <c r="W1826" s="57"/>
      <c r="X1826" s="57"/>
      <c r="Y1826" s="57"/>
      <c r="Z1826" s="57"/>
      <c r="AA1826" s="57"/>
      <c r="AB1826" s="57"/>
      <c r="AC1826" s="57"/>
      <c r="AD1826" s="57"/>
      <c r="AE1826" s="57"/>
      <c r="AF1826" s="57"/>
      <c r="AG1826" s="57"/>
      <c r="AH1826" s="57"/>
      <c r="AI1826" s="57"/>
      <c r="AJ1826" s="57"/>
      <c r="AK1826" s="57"/>
      <c r="AL1826" s="57"/>
      <c r="AM1826" s="57"/>
      <c r="AN1826" s="57"/>
      <c r="AO1826" s="57"/>
      <c r="AP1826" s="57"/>
      <c r="AQ1826" s="57"/>
      <c r="AR1826" s="57"/>
      <c r="AS1826" s="57"/>
      <c r="AT1826" s="57"/>
      <c r="AU1826" s="57"/>
      <c r="AV1826" s="57"/>
      <c r="AW1826" s="57"/>
      <c r="AX1826" s="57"/>
      <c r="AY1826" s="57"/>
      <c r="AZ1826" s="57"/>
      <c r="BA1826" s="57"/>
      <c r="BB1826" s="57"/>
      <c r="BC1826" s="57"/>
      <c r="BD1826" s="57"/>
      <c r="BE1826" s="57"/>
      <c r="BF1826" s="57"/>
    </row>
    <row r="1827" spans="1:58" x14ac:dyDescent="0.25">
      <c r="A1827" s="53"/>
      <c r="B1827" s="60"/>
      <c r="C1827" s="57">
        <f t="shared" si="136"/>
        <v>0</v>
      </c>
      <c r="D1827" s="56"/>
      <c r="E1827" s="57">
        <f>[1]DETAY!$A$2</f>
        <v>0</v>
      </c>
      <c r="F1827" s="90">
        <f t="shared" si="137"/>
        <v>0</v>
      </c>
      <c r="G1827" s="92">
        <f t="shared" si="138"/>
        <v>0</v>
      </c>
      <c r="H1827" s="62" t="e">
        <f t="shared" si="139"/>
        <v>#DIV/0!</v>
      </c>
      <c r="I1827" s="57"/>
      <c r="J1827" s="57"/>
      <c r="K1827" s="57"/>
      <c r="L1827" s="57"/>
      <c r="M1827" s="58"/>
      <c r="N1827" s="57"/>
      <c r="O1827" s="57"/>
      <c r="P1827" s="57"/>
      <c r="Q1827" s="57"/>
      <c r="R1827" s="57"/>
      <c r="S1827" s="61"/>
      <c r="T1827" s="57"/>
      <c r="U1827" s="57"/>
      <c r="V1827" s="57"/>
      <c r="W1827" s="57"/>
      <c r="X1827" s="57"/>
      <c r="Y1827" s="57"/>
      <c r="Z1827" s="57"/>
      <c r="AA1827" s="57"/>
      <c r="AB1827" s="57"/>
      <c r="AC1827" s="57"/>
      <c r="AD1827" s="57"/>
      <c r="AE1827" s="57"/>
      <c r="AF1827" s="57"/>
      <c r="AG1827" s="57"/>
      <c r="AH1827" s="57"/>
      <c r="AI1827" s="57"/>
      <c r="AJ1827" s="57"/>
      <c r="AK1827" s="57"/>
      <c r="AL1827" s="57"/>
      <c r="AM1827" s="57"/>
      <c r="AN1827" s="57"/>
      <c r="AO1827" s="57"/>
      <c r="AP1827" s="57"/>
      <c r="AQ1827" s="57"/>
      <c r="AR1827" s="57"/>
      <c r="AS1827" s="57"/>
      <c r="AT1827" s="57"/>
      <c r="AU1827" s="57"/>
      <c r="AV1827" s="57"/>
      <c r="AW1827" s="57"/>
      <c r="AX1827" s="57"/>
      <c r="AY1827" s="57"/>
      <c r="AZ1827" s="57"/>
      <c r="BA1827" s="57"/>
      <c r="BB1827" s="57"/>
      <c r="BC1827" s="57"/>
      <c r="BD1827" s="57"/>
      <c r="BE1827" s="57"/>
      <c r="BF1827" s="57"/>
    </row>
    <row r="1828" spans="1:58" x14ac:dyDescent="0.25">
      <c r="A1828" s="53"/>
      <c r="B1828" s="60"/>
      <c r="C1828" s="57">
        <f t="shared" si="136"/>
        <v>0</v>
      </c>
      <c r="D1828" s="56"/>
      <c r="E1828" s="57">
        <f>[1]DETAY!$A$2</f>
        <v>0</v>
      </c>
      <c r="F1828" s="90">
        <f t="shared" si="137"/>
        <v>0</v>
      </c>
      <c r="G1828" s="92">
        <f t="shared" si="138"/>
        <v>0</v>
      </c>
      <c r="H1828" s="62" t="e">
        <f t="shared" si="139"/>
        <v>#DIV/0!</v>
      </c>
      <c r="I1828" s="57"/>
      <c r="J1828" s="57"/>
      <c r="K1828" s="57"/>
      <c r="L1828" s="57"/>
      <c r="M1828" s="58"/>
      <c r="N1828" s="57"/>
      <c r="O1828" s="57"/>
      <c r="P1828" s="57"/>
      <c r="Q1828" s="57"/>
      <c r="R1828" s="57"/>
      <c r="S1828" s="61"/>
      <c r="T1828" s="57"/>
      <c r="U1828" s="57"/>
      <c r="V1828" s="57"/>
      <c r="W1828" s="57"/>
      <c r="X1828" s="57"/>
      <c r="Y1828" s="57"/>
      <c r="Z1828" s="57"/>
      <c r="AA1828" s="57"/>
      <c r="AB1828" s="57"/>
      <c r="AC1828" s="57"/>
      <c r="AD1828" s="57"/>
      <c r="AE1828" s="57"/>
      <c r="AF1828" s="57"/>
      <c r="AG1828" s="57"/>
      <c r="AH1828" s="57"/>
      <c r="AI1828" s="57"/>
      <c r="AJ1828" s="57"/>
      <c r="AK1828" s="57"/>
      <c r="AL1828" s="57"/>
      <c r="AM1828" s="57"/>
      <c r="AN1828" s="57"/>
      <c r="AO1828" s="57"/>
      <c r="AP1828" s="57"/>
      <c r="AQ1828" s="57"/>
      <c r="AR1828" s="57"/>
      <c r="AS1828" s="57"/>
      <c r="AT1828" s="57"/>
      <c r="AU1828" s="57"/>
      <c r="AV1828" s="57"/>
      <c r="AW1828" s="57"/>
      <c r="AX1828" s="57"/>
      <c r="AY1828" s="57"/>
      <c r="AZ1828" s="57"/>
      <c r="BA1828" s="57"/>
      <c r="BB1828" s="57"/>
      <c r="BC1828" s="57"/>
      <c r="BD1828" s="57"/>
      <c r="BE1828" s="57"/>
      <c r="BF1828" s="57"/>
    </row>
    <row r="1829" spans="1:58" x14ac:dyDescent="0.25">
      <c r="A1829" s="53"/>
      <c r="B1829" s="60"/>
      <c r="C1829" s="57">
        <f t="shared" si="136"/>
        <v>0</v>
      </c>
      <c r="D1829" s="56"/>
      <c r="E1829" s="57">
        <f>[1]DETAY!$A$2</f>
        <v>0</v>
      </c>
      <c r="F1829" s="90">
        <f t="shared" si="137"/>
        <v>0</v>
      </c>
      <c r="G1829" s="92">
        <f t="shared" si="138"/>
        <v>0</v>
      </c>
      <c r="H1829" s="62" t="e">
        <f t="shared" si="139"/>
        <v>#DIV/0!</v>
      </c>
      <c r="I1829" s="57"/>
      <c r="J1829" s="57"/>
      <c r="K1829" s="57"/>
      <c r="L1829" s="57"/>
      <c r="M1829" s="58"/>
      <c r="N1829" s="57"/>
      <c r="O1829" s="57"/>
      <c r="P1829" s="57"/>
      <c r="Q1829" s="57"/>
      <c r="R1829" s="57"/>
      <c r="S1829" s="61"/>
      <c r="T1829" s="57"/>
      <c r="U1829" s="57"/>
      <c r="V1829" s="57"/>
      <c r="W1829" s="57"/>
      <c r="X1829" s="57"/>
      <c r="Y1829" s="57"/>
      <c r="Z1829" s="57"/>
      <c r="AA1829" s="57"/>
      <c r="AB1829" s="57"/>
      <c r="AC1829" s="57"/>
      <c r="AD1829" s="57"/>
      <c r="AE1829" s="57"/>
      <c r="AF1829" s="57"/>
      <c r="AG1829" s="57"/>
      <c r="AH1829" s="57"/>
      <c r="AI1829" s="57"/>
      <c r="AJ1829" s="57"/>
      <c r="AK1829" s="57"/>
      <c r="AL1829" s="57"/>
      <c r="AM1829" s="57"/>
      <c r="AN1829" s="57"/>
      <c r="AO1829" s="57"/>
      <c r="AP1829" s="57"/>
      <c r="AQ1829" s="57"/>
      <c r="AR1829" s="57"/>
      <c r="AS1829" s="57"/>
      <c r="AT1829" s="57"/>
      <c r="AU1829" s="57"/>
      <c r="AV1829" s="57"/>
      <c r="AW1829" s="57"/>
      <c r="AX1829" s="57"/>
      <c r="AY1829" s="57"/>
      <c r="AZ1829" s="57"/>
      <c r="BA1829" s="57"/>
      <c r="BB1829" s="57"/>
      <c r="BC1829" s="57"/>
      <c r="BD1829" s="57"/>
      <c r="BE1829" s="57"/>
      <c r="BF1829" s="57"/>
    </row>
    <row r="1830" spans="1:58" x14ac:dyDescent="0.25">
      <c r="A1830" s="53"/>
      <c r="B1830" s="60"/>
      <c r="C1830" s="57">
        <f t="shared" si="136"/>
        <v>0</v>
      </c>
      <c r="D1830" s="56"/>
      <c r="E1830" s="57">
        <f>[1]DETAY!$A$2</f>
        <v>0</v>
      </c>
      <c r="F1830" s="90">
        <f t="shared" si="137"/>
        <v>0</v>
      </c>
      <c r="G1830" s="92">
        <f t="shared" si="138"/>
        <v>0</v>
      </c>
      <c r="H1830" s="62" t="e">
        <f t="shared" si="139"/>
        <v>#DIV/0!</v>
      </c>
      <c r="I1830" s="57"/>
      <c r="J1830" s="57"/>
      <c r="K1830" s="57"/>
      <c r="L1830" s="57"/>
      <c r="M1830" s="58"/>
      <c r="N1830" s="57"/>
      <c r="O1830" s="57"/>
      <c r="P1830" s="57"/>
      <c r="Q1830" s="57"/>
      <c r="R1830" s="57"/>
      <c r="S1830" s="61"/>
      <c r="T1830" s="57"/>
      <c r="U1830" s="57"/>
      <c r="V1830" s="57"/>
      <c r="W1830" s="57"/>
      <c r="X1830" s="57"/>
      <c r="Y1830" s="57"/>
      <c r="Z1830" s="57"/>
      <c r="AA1830" s="57"/>
      <c r="AB1830" s="57"/>
      <c r="AC1830" s="57"/>
      <c r="AD1830" s="57"/>
      <c r="AE1830" s="57"/>
      <c r="AF1830" s="57"/>
      <c r="AG1830" s="57"/>
      <c r="AH1830" s="57"/>
      <c r="AI1830" s="57"/>
      <c r="AJ1830" s="57"/>
      <c r="AK1830" s="57"/>
      <c r="AL1830" s="57"/>
      <c r="AM1830" s="57"/>
      <c r="AN1830" s="57"/>
      <c r="AO1830" s="57"/>
      <c r="AP1830" s="57"/>
      <c r="AQ1830" s="57"/>
      <c r="AR1830" s="57"/>
      <c r="AS1830" s="57"/>
      <c r="AT1830" s="57"/>
      <c r="AU1830" s="57"/>
      <c r="AV1830" s="57"/>
      <c r="AW1830" s="57"/>
      <c r="AX1830" s="57"/>
      <c r="AY1830" s="57"/>
      <c r="AZ1830" s="57"/>
      <c r="BA1830" s="57"/>
      <c r="BB1830" s="57"/>
      <c r="BC1830" s="57"/>
      <c r="BD1830" s="57"/>
      <c r="BE1830" s="57"/>
      <c r="BF1830" s="57"/>
    </row>
    <row r="1831" spans="1:58" x14ac:dyDescent="0.25">
      <c r="A1831" s="53"/>
      <c r="B1831" s="60"/>
      <c r="C1831" s="57">
        <f t="shared" si="136"/>
        <v>0</v>
      </c>
      <c r="D1831" s="56"/>
      <c r="E1831" s="57">
        <f>[1]DETAY!$A$2</f>
        <v>0</v>
      </c>
      <c r="F1831" s="90">
        <f t="shared" si="137"/>
        <v>0</v>
      </c>
      <c r="G1831" s="92">
        <f t="shared" si="138"/>
        <v>0</v>
      </c>
      <c r="H1831" s="62" t="e">
        <f t="shared" si="139"/>
        <v>#DIV/0!</v>
      </c>
      <c r="I1831" s="57"/>
      <c r="J1831" s="57"/>
      <c r="K1831" s="57"/>
      <c r="L1831" s="57"/>
      <c r="M1831" s="58"/>
      <c r="N1831" s="57"/>
      <c r="O1831" s="57"/>
      <c r="P1831" s="57"/>
      <c r="Q1831" s="57"/>
      <c r="R1831" s="57"/>
      <c r="S1831" s="61"/>
      <c r="T1831" s="57"/>
      <c r="U1831" s="57"/>
      <c r="V1831" s="57"/>
      <c r="W1831" s="57"/>
      <c r="X1831" s="57"/>
      <c r="Y1831" s="57"/>
      <c r="Z1831" s="57"/>
      <c r="AA1831" s="57"/>
      <c r="AB1831" s="57"/>
      <c r="AC1831" s="57"/>
      <c r="AD1831" s="57"/>
      <c r="AE1831" s="57"/>
      <c r="AF1831" s="57"/>
      <c r="AG1831" s="57"/>
      <c r="AH1831" s="57"/>
      <c r="AI1831" s="57"/>
      <c r="AJ1831" s="57"/>
      <c r="AK1831" s="57"/>
      <c r="AL1831" s="57"/>
      <c r="AM1831" s="57"/>
      <c r="AN1831" s="57"/>
      <c r="AO1831" s="57"/>
      <c r="AP1831" s="57"/>
      <c r="AQ1831" s="57"/>
      <c r="AR1831" s="57"/>
      <c r="AS1831" s="57"/>
      <c r="AT1831" s="57"/>
      <c r="AU1831" s="57"/>
      <c r="AV1831" s="57"/>
      <c r="AW1831" s="57"/>
      <c r="AX1831" s="57"/>
      <c r="AY1831" s="57"/>
      <c r="AZ1831" s="57"/>
      <c r="BA1831" s="57"/>
      <c r="BB1831" s="57"/>
      <c r="BC1831" s="57"/>
      <c r="BD1831" s="57"/>
      <c r="BE1831" s="57"/>
      <c r="BF1831" s="57"/>
    </row>
    <row r="1832" spans="1:58" x14ac:dyDescent="0.25">
      <c r="A1832" s="53"/>
      <c r="B1832" s="60"/>
      <c r="C1832" s="57">
        <f t="shared" si="136"/>
        <v>0</v>
      </c>
      <c r="D1832" s="56"/>
      <c r="E1832" s="57">
        <f>[1]DETAY!$A$2</f>
        <v>0</v>
      </c>
      <c r="F1832" s="90">
        <f t="shared" si="137"/>
        <v>0</v>
      </c>
      <c r="G1832" s="92">
        <f t="shared" si="138"/>
        <v>0</v>
      </c>
      <c r="H1832" s="62" t="e">
        <f t="shared" si="139"/>
        <v>#DIV/0!</v>
      </c>
      <c r="I1832" s="57"/>
      <c r="J1832" s="57"/>
      <c r="K1832" s="57"/>
      <c r="L1832" s="57"/>
      <c r="M1832" s="58"/>
      <c r="N1832" s="57"/>
      <c r="O1832" s="57"/>
      <c r="P1832" s="57"/>
      <c r="Q1832" s="57"/>
      <c r="R1832" s="57"/>
      <c r="S1832" s="61"/>
      <c r="T1832" s="57"/>
      <c r="U1832" s="57"/>
      <c r="V1832" s="57"/>
      <c r="W1832" s="57"/>
      <c r="X1832" s="57"/>
      <c r="Y1832" s="57"/>
      <c r="Z1832" s="57"/>
      <c r="AA1832" s="57"/>
      <c r="AB1832" s="57"/>
      <c r="AC1832" s="57"/>
      <c r="AD1832" s="57"/>
      <c r="AE1832" s="57"/>
      <c r="AF1832" s="57"/>
      <c r="AG1832" s="57"/>
      <c r="AH1832" s="57"/>
      <c r="AI1832" s="57"/>
      <c r="AJ1832" s="57"/>
      <c r="AK1832" s="57"/>
      <c r="AL1832" s="57"/>
      <c r="AM1832" s="57"/>
      <c r="AN1832" s="57"/>
      <c r="AO1832" s="57"/>
      <c r="AP1832" s="57"/>
      <c r="AQ1832" s="57"/>
      <c r="AR1832" s="57"/>
      <c r="AS1832" s="57"/>
      <c r="AT1832" s="57"/>
      <c r="AU1832" s="57"/>
      <c r="AV1832" s="57"/>
      <c r="AW1832" s="57"/>
      <c r="AX1832" s="57"/>
      <c r="AY1832" s="57"/>
      <c r="AZ1832" s="57"/>
      <c r="BA1832" s="57"/>
      <c r="BB1832" s="57"/>
      <c r="BC1832" s="57"/>
      <c r="BD1832" s="57"/>
      <c r="BE1832" s="57"/>
      <c r="BF1832" s="57"/>
    </row>
    <row r="1833" spans="1:58" x14ac:dyDescent="0.25">
      <c r="A1833" s="53"/>
      <c r="B1833" s="60"/>
      <c r="C1833" s="57">
        <f t="shared" si="136"/>
        <v>0</v>
      </c>
      <c r="D1833" s="56"/>
      <c r="E1833" s="57">
        <f>[1]DETAY!$A$2</f>
        <v>0</v>
      </c>
      <c r="F1833" s="90">
        <f t="shared" si="137"/>
        <v>0</v>
      </c>
      <c r="G1833" s="92">
        <f t="shared" si="138"/>
        <v>0</v>
      </c>
      <c r="H1833" s="62" t="e">
        <f t="shared" si="139"/>
        <v>#DIV/0!</v>
      </c>
      <c r="I1833" s="57"/>
      <c r="J1833" s="57"/>
      <c r="K1833" s="57"/>
      <c r="L1833" s="57"/>
      <c r="M1833" s="58"/>
      <c r="N1833" s="57"/>
      <c r="O1833" s="57"/>
      <c r="P1833" s="57"/>
      <c r="Q1833" s="57"/>
      <c r="R1833" s="57"/>
      <c r="S1833" s="61"/>
      <c r="T1833" s="57"/>
      <c r="U1833" s="57"/>
      <c r="V1833" s="57"/>
      <c r="W1833" s="57"/>
      <c r="X1833" s="57"/>
      <c r="Y1833" s="57"/>
      <c r="Z1833" s="57"/>
      <c r="AA1833" s="57"/>
      <c r="AB1833" s="57"/>
      <c r="AC1833" s="57"/>
      <c r="AD1833" s="57"/>
      <c r="AE1833" s="57"/>
      <c r="AF1833" s="57"/>
      <c r="AG1833" s="57"/>
      <c r="AH1833" s="57"/>
      <c r="AI1833" s="57"/>
      <c r="AJ1833" s="57"/>
      <c r="AK1833" s="57"/>
      <c r="AL1833" s="57"/>
      <c r="AM1833" s="57"/>
      <c r="AN1833" s="57"/>
      <c r="AO1833" s="57"/>
      <c r="AP1833" s="57"/>
      <c r="AQ1833" s="57"/>
      <c r="AR1833" s="57"/>
      <c r="AS1833" s="57"/>
      <c r="AT1833" s="57"/>
      <c r="AU1833" s="57"/>
      <c r="AV1833" s="57"/>
      <c r="AW1833" s="57"/>
      <c r="AX1833" s="57"/>
      <c r="AY1833" s="57"/>
      <c r="AZ1833" s="57"/>
      <c r="BA1833" s="57"/>
      <c r="BB1833" s="57"/>
      <c r="BC1833" s="57"/>
      <c r="BD1833" s="57"/>
      <c r="BE1833" s="57"/>
      <c r="BF1833" s="57"/>
    </row>
    <row r="1834" spans="1:58" x14ac:dyDescent="0.25">
      <c r="A1834" s="53"/>
      <c r="B1834" s="60"/>
      <c r="C1834" s="57">
        <f t="shared" si="136"/>
        <v>0</v>
      </c>
      <c r="D1834" s="56"/>
      <c r="E1834" s="57">
        <f>[1]DETAY!$A$2</f>
        <v>0</v>
      </c>
      <c r="F1834" s="90">
        <f t="shared" si="137"/>
        <v>0</v>
      </c>
      <c r="G1834" s="92">
        <f t="shared" si="138"/>
        <v>0</v>
      </c>
      <c r="H1834" s="62" t="e">
        <f t="shared" si="139"/>
        <v>#DIV/0!</v>
      </c>
      <c r="I1834" s="57"/>
      <c r="J1834" s="57"/>
      <c r="K1834" s="57"/>
      <c r="L1834" s="57"/>
      <c r="M1834" s="58"/>
      <c r="N1834" s="57"/>
      <c r="O1834" s="57"/>
      <c r="P1834" s="57"/>
      <c r="Q1834" s="57"/>
      <c r="R1834" s="57"/>
      <c r="S1834" s="61"/>
      <c r="T1834" s="57"/>
      <c r="U1834" s="57"/>
      <c r="V1834" s="57"/>
      <c r="W1834" s="57"/>
      <c r="X1834" s="57"/>
      <c r="Y1834" s="57"/>
      <c r="Z1834" s="57"/>
      <c r="AA1834" s="57"/>
      <c r="AB1834" s="57"/>
      <c r="AC1834" s="57"/>
      <c r="AD1834" s="57"/>
      <c r="AE1834" s="57"/>
      <c r="AF1834" s="57"/>
      <c r="AG1834" s="57"/>
      <c r="AH1834" s="57"/>
      <c r="AI1834" s="57"/>
      <c r="AJ1834" s="57"/>
      <c r="AK1834" s="57"/>
      <c r="AL1834" s="57"/>
      <c r="AM1834" s="57"/>
      <c r="AN1834" s="57"/>
      <c r="AO1834" s="57"/>
      <c r="AP1834" s="57"/>
      <c r="AQ1834" s="57"/>
      <c r="AR1834" s="57"/>
      <c r="AS1834" s="57"/>
      <c r="AT1834" s="57"/>
      <c r="AU1834" s="57"/>
      <c r="AV1834" s="57"/>
      <c r="AW1834" s="57"/>
      <c r="AX1834" s="57"/>
      <c r="AY1834" s="57"/>
      <c r="AZ1834" s="57"/>
      <c r="BA1834" s="57"/>
      <c r="BB1834" s="57"/>
      <c r="BC1834" s="57"/>
      <c r="BD1834" s="57"/>
      <c r="BE1834" s="57"/>
      <c r="BF1834" s="57"/>
    </row>
    <row r="1835" spans="1:58" x14ac:dyDescent="0.25">
      <c r="A1835" s="53"/>
      <c r="B1835" s="60"/>
      <c r="C1835" s="57">
        <f t="shared" si="136"/>
        <v>0</v>
      </c>
      <c r="D1835" s="56"/>
      <c r="E1835" s="57">
        <f>[1]DETAY!$A$2</f>
        <v>0</v>
      </c>
      <c r="F1835" s="90">
        <f t="shared" si="137"/>
        <v>0</v>
      </c>
      <c r="G1835" s="92">
        <f t="shared" si="138"/>
        <v>0</v>
      </c>
      <c r="H1835" s="62" t="e">
        <f t="shared" si="139"/>
        <v>#DIV/0!</v>
      </c>
      <c r="I1835" s="57"/>
      <c r="J1835" s="57"/>
      <c r="K1835" s="57"/>
      <c r="L1835" s="57"/>
      <c r="M1835" s="58"/>
      <c r="N1835" s="57"/>
      <c r="O1835" s="57"/>
      <c r="P1835" s="57"/>
      <c r="Q1835" s="57"/>
      <c r="R1835" s="57"/>
      <c r="S1835" s="61"/>
      <c r="T1835" s="57"/>
      <c r="U1835" s="57"/>
      <c r="V1835" s="57"/>
      <c r="W1835" s="57"/>
      <c r="X1835" s="57"/>
      <c r="Y1835" s="57"/>
      <c r="Z1835" s="57"/>
      <c r="AA1835" s="57"/>
      <c r="AB1835" s="57"/>
      <c r="AC1835" s="57"/>
      <c r="AD1835" s="57"/>
      <c r="AE1835" s="57"/>
      <c r="AF1835" s="57"/>
      <c r="AG1835" s="57"/>
      <c r="AH1835" s="57"/>
      <c r="AI1835" s="57"/>
      <c r="AJ1835" s="57"/>
      <c r="AK1835" s="57"/>
      <c r="AL1835" s="57"/>
      <c r="AM1835" s="57"/>
      <c r="AN1835" s="57"/>
      <c r="AO1835" s="57"/>
      <c r="AP1835" s="57"/>
      <c r="AQ1835" s="57"/>
      <c r="AR1835" s="57"/>
      <c r="AS1835" s="57"/>
      <c r="AT1835" s="57"/>
      <c r="AU1835" s="57"/>
      <c r="AV1835" s="57"/>
      <c r="AW1835" s="57"/>
      <c r="AX1835" s="57"/>
      <c r="AY1835" s="57"/>
      <c r="AZ1835" s="57"/>
      <c r="BA1835" s="57"/>
      <c r="BB1835" s="57"/>
      <c r="BC1835" s="57"/>
      <c r="BD1835" s="57"/>
      <c r="BE1835" s="57"/>
      <c r="BF1835" s="57"/>
    </row>
    <row r="1836" spans="1:58" x14ac:dyDescent="0.25">
      <c r="A1836" s="53"/>
      <c r="B1836" s="60"/>
      <c r="C1836" s="57">
        <f t="shared" si="136"/>
        <v>0</v>
      </c>
      <c r="D1836" s="56"/>
      <c r="E1836" s="57">
        <f>[1]DETAY!$A$2</f>
        <v>0</v>
      </c>
      <c r="F1836" s="90">
        <f t="shared" si="137"/>
        <v>0</v>
      </c>
      <c r="G1836" s="92">
        <f t="shared" si="138"/>
        <v>0</v>
      </c>
      <c r="H1836" s="62" t="e">
        <f t="shared" si="139"/>
        <v>#DIV/0!</v>
      </c>
      <c r="I1836" s="57"/>
      <c r="J1836" s="57"/>
      <c r="K1836" s="57"/>
      <c r="L1836" s="57"/>
      <c r="M1836" s="58"/>
      <c r="N1836" s="57"/>
      <c r="O1836" s="57"/>
      <c r="P1836" s="57"/>
      <c r="Q1836" s="57"/>
      <c r="R1836" s="57"/>
      <c r="S1836" s="61"/>
      <c r="T1836" s="57"/>
      <c r="U1836" s="57"/>
      <c r="V1836" s="57"/>
      <c r="W1836" s="57"/>
      <c r="X1836" s="57"/>
      <c r="Y1836" s="57"/>
      <c r="Z1836" s="57"/>
      <c r="AA1836" s="57"/>
      <c r="AB1836" s="57"/>
      <c r="AC1836" s="57"/>
      <c r="AD1836" s="57"/>
      <c r="AE1836" s="57"/>
      <c r="AF1836" s="57"/>
      <c r="AG1836" s="57"/>
      <c r="AH1836" s="57"/>
      <c r="AI1836" s="57"/>
      <c r="AJ1836" s="57"/>
      <c r="AK1836" s="57"/>
      <c r="AL1836" s="57"/>
      <c r="AM1836" s="57"/>
      <c r="AN1836" s="57"/>
      <c r="AO1836" s="57"/>
      <c r="AP1836" s="57"/>
      <c r="AQ1836" s="57"/>
      <c r="AR1836" s="57"/>
      <c r="AS1836" s="57"/>
      <c r="AT1836" s="57"/>
      <c r="AU1836" s="57"/>
      <c r="AV1836" s="57"/>
      <c r="AW1836" s="57"/>
      <c r="AX1836" s="57"/>
      <c r="AY1836" s="57"/>
      <c r="AZ1836" s="57"/>
      <c r="BA1836" s="57"/>
      <c r="BB1836" s="57"/>
      <c r="BC1836" s="57"/>
      <c r="BD1836" s="57"/>
      <c r="BE1836" s="57"/>
      <c r="BF1836" s="57"/>
    </row>
    <row r="1837" spans="1:58" x14ac:dyDescent="0.25">
      <c r="A1837" s="53"/>
      <c r="B1837" s="60"/>
      <c r="C1837" s="57">
        <f t="shared" si="136"/>
        <v>0</v>
      </c>
      <c r="D1837" s="56"/>
      <c r="E1837" s="57">
        <f>[1]DETAY!$A$2</f>
        <v>0</v>
      </c>
      <c r="F1837" s="90">
        <f t="shared" si="137"/>
        <v>0</v>
      </c>
      <c r="G1837" s="92">
        <f t="shared" si="138"/>
        <v>0</v>
      </c>
      <c r="H1837" s="62" t="e">
        <f t="shared" si="139"/>
        <v>#DIV/0!</v>
      </c>
      <c r="I1837" s="57"/>
      <c r="J1837" s="57"/>
      <c r="K1837" s="57"/>
      <c r="L1837" s="57"/>
      <c r="M1837" s="58"/>
      <c r="N1837" s="57"/>
      <c r="O1837" s="57"/>
      <c r="P1837" s="57"/>
      <c r="Q1837" s="57"/>
      <c r="R1837" s="57"/>
      <c r="S1837" s="61"/>
      <c r="T1837" s="57"/>
      <c r="U1837" s="57"/>
      <c r="V1837" s="57"/>
      <c r="W1837" s="57"/>
      <c r="X1837" s="57"/>
      <c r="Y1837" s="57"/>
      <c r="Z1837" s="57"/>
      <c r="AA1837" s="57"/>
      <c r="AB1837" s="57"/>
      <c r="AC1837" s="57"/>
      <c r="AD1837" s="57"/>
      <c r="AE1837" s="57"/>
      <c r="AF1837" s="57"/>
      <c r="AG1837" s="57"/>
      <c r="AH1837" s="57"/>
      <c r="AI1837" s="57"/>
      <c r="AJ1837" s="57"/>
      <c r="AK1837" s="57"/>
      <c r="AL1837" s="57"/>
      <c r="AM1837" s="57"/>
      <c r="AN1837" s="57"/>
      <c r="AO1837" s="57"/>
      <c r="AP1837" s="57"/>
      <c r="AQ1837" s="57"/>
      <c r="AR1837" s="57"/>
      <c r="AS1837" s="57"/>
      <c r="AT1837" s="57"/>
      <c r="AU1837" s="57"/>
      <c r="AV1837" s="57"/>
      <c r="AW1837" s="57"/>
      <c r="AX1837" s="57"/>
      <c r="AY1837" s="57"/>
      <c r="AZ1837" s="57"/>
      <c r="BA1837" s="57"/>
      <c r="BB1837" s="57"/>
      <c r="BC1837" s="57"/>
      <c r="BD1837" s="57"/>
      <c r="BE1837" s="57"/>
      <c r="BF1837" s="57"/>
    </row>
    <row r="1838" spans="1:58" x14ac:dyDescent="0.25">
      <c r="A1838" s="53"/>
      <c r="B1838" s="60"/>
      <c r="C1838" s="57">
        <f t="shared" si="136"/>
        <v>0</v>
      </c>
      <c r="D1838" s="56"/>
      <c r="E1838" s="57">
        <f>[1]DETAY!$A$2</f>
        <v>0</v>
      </c>
      <c r="F1838" s="90">
        <f t="shared" si="137"/>
        <v>0</v>
      </c>
      <c r="G1838" s="92">
        <f t="shared" si="138"/>
        <v>0</v>
      </c>
      <c r="H1838" s="62" t="e">
        <f t="shared" si="139"/>
        <v>#DIV/0!</v>
      </c>
      <c r="I1838" s="57"/>
      <c r="J1838" s="57"/>
      <c r="K1838" s="57"/>
      <c r="L1838" s="57"/>
      <c r="M1838" s="58"/>
      <c r="N1838" s="57"/>
      <c r="O1838" s="57"/>
      <c r="P1838" s="57"/>
      <c r="Q1838" s="57"/>
      <c r="R1838" s="57"/>
      <c r="S1838" s="61"/>
      <c r="T1838" s="57"/>
      <c r="U1838" s="57"/>
      <c r="V1838" s="57"/>
      <c r="W1838" s="57"/>
      <c r="X1838" s="57"/>
      <c r="Y1838" s="57"/>
      <c r="Z1838" s="57"/>
      <c r="AA1838" s="57"/>
      <c r="AB1838" s="57"/>
      <c r="AC1838" s="57"/>
      <c r="AD1838" s="57"/>
      <c r="AE1838" s="57"/>
      <c r="AF1838" s="57"/>
      <c r="AG1838" s="57"/>
      <c r="AH1838" s="57"/>
      <c r="AI1838" s="57"/>
      <c r="AJ1838" s="57"/>
      <c r="AK1838" s="57"/>
      <c r="AL1838" s="57"/>
      <c r="AM1838" s="57"/>
      <c r="AN1838" s="57"/>
      <c r="AO1838" s="57"/>
      <c r="AP1838" s="57"/>
      <c r="AQ1838" s="57"/>
      <c r="AR1838" s="57"/>
      <c r="AS1838" s="57"/>
      <c r="AT1838" s="57"/>
      <c r="AU1838" s="57"/>
      <c r="AV1838" s="57"/>
      <c r="AW1838" s="57"/>
      <c r="AX1838" s="57"/>
      <c r="AY1838" s="57"/>
      <c r="AZ1838" s="57"/>
      <c r="BA1838" s="57"/>
      <c r="BB1838" s="57"/>
      <c r="BC1838" s="57"/>
      <c r="BD1838" s="57"/>
      <c r="BE1838" s="57"/>
      <c r="BF1838" s="57"/>
    </row>
    <row r="1839" spans="1:58" x14ac:dyDescent="0.25">
      <c r="A1839" s="53"/>
      <c r="B1839" s="60"/>
      <c r="C1839" s="57">
        <f t="shared" si="136"/>
        <v>0</v>
      </c>
      <c r="D1839" s="56"/>
      <c r="E1839" s="57">
        <f>[1]DETAY!$A$2</f>
        <v>0</v>
      </c>
      <c r="F1839" s="90">
        <f t="shared" si="137"/>
        <v>0</v>
      </c>
      <c r="G1839" s="92">
        <f t="shared" si="138"/>
        <v>0</v>
      </c>
      <c r="H1839" s="62" t="e">
        <f t="shared" si="139"/>
        <v>#DIV/0!</v>
      </c>
      <c r="I1839" s="57"/>
      <c r="J1839" s="57"/>
      <c r="K1839" s="57"/>
      <c r="L1839" s="57"/>
      <c r="M1839" s="58"/>
      <c r="N1839" s="57"/>
      <c r="O1839" s="57"/>
      <c r="P1839" s="57"/>
      <c r="Q1839" s="57"/>
      <c r="R1839" s="57"/>
      <c r="S1839" s="61"/>
      <c r="T1839" s="57"/>
      <c r="U1839" s="57"/>
      <c r="V1839" s="57"/>
      <c r="W1839" s="57"/>
      <c r="X1839" s="57"/>
      <c r="Y1839" s="57"/>
      <c r="Z1839" s="57"/>
      <c r="AA1839" s="57"/>
      <c r="AB1839" s="57"/>
      <c r="AC1839" s="57"/>
      <c r="AD1839" s="57"/>
      <c r="AE1839" s="57"/>
      <c r="AF1839" s="57"/>
      <c r="AG1839" s="57"/>
      <c r="AH1839" s="57"/>
      <c r="AI1839" s="57"/>
      <c r="AJ1839" s="57"/>
      <c r="AK1839" s="57"/>
      <c r="AL1839" s="57"/>
      <c r="AM1839" s="57"/>
      <c r="AN1839" s="57"/>
      <c r="AO1839" s="57"/>
      <c r="AP1839" s="57"/>
      <c r="AQ1839" s="57"/>
      <c r="AR1839" s="57"/>
      <c r="AS1839" s="57"/>
      <c r="AT1839" s="57"/>
      <c r="AU1839" s="57"/>
      <c r="AV1839" s="57"/>
      <c r="AW1839" s="57"/>
      <c r="AX1839" s="57"/>
      <c r="AY1839" s="57"/>
      <c r="AZ1839" s="57"/>
      <c r="BA1839" s="57"/>
      <c r="BB1839" s="57"/>
      <c r="BC1839" s="57"/>
      <c r="BD1839" s="57"/>
      <c r="BE1839" s="57"/>
      <c r="BF1839" s="57"/>
    </row>
    <row r="1840" spans="1:58" x14ac:dyDescent="0.25">
      <c r="A1840" s="53"/>
      <c r="B1840" s="60"/>
      <c r="C1840" s="57">
        <f t="shared" si="136"/>
        <v>0</v>
      </c>
      <c r="D1840" s="56"/>
      <c r="E1840" s="57">
        <f>[1]DETAY!$A$2</f>
        <v>0</v>
      </c>
      <c r="F1840" s="90">
        <f t="shared" si="137"/>
        <v>0</v>
      </c>
      <c r="G1840" s="92">
        <f t="shared" si="138"/>
        <v>0</v>
      </c>
      <c r="H1840" s="62" t="e">
        <f t="shared" si="139"/>
        <v>#DIV/0!</v>
      </c>
      <c r="I1840" s="57"/>
      <c r="J1840" s="57"/>
      <c r="K1840" s="57"/>
      <c r="L1840" s="57"/>
      <c r="M1840" s="58"/>
      <c r="N1840" s="57"/>
      <c r="O1840" s="57"/>
      <c r="P1840" s="57"/>
      <c r="Q1840" s="57"/>
      <c r="R1840" s="57"/>
      <c r="S1840" s="61"/>
      <c r="T1840" s="57"/>
      <c r="U1840" s="57"/>
      <c r="V1840" s="57"/>
      <c r="W1840" s="57"/>
      <c r="X1840" s="57"/>
      <c r="Y1840" s="57"/>
      <c r="Z1840" s="57"/>
      <c r="AA1840" s="57"/>
      <c r="AB1840" s="57"/>
      <c r="AC1840" s="57"/>
      <c r="AD1840" s="57"/>
      <c r="AE1840" s="57"/>
      <c r="AF1840" s="57"/>
      <c r="AG1840" s="57"/>
      <c r="AH1840" s="57"/>
      <c r="AI1840" s="57"/>
      <c r="AJ1840" s="57"/>
      <c r="AK1840" s="57"/>
      <c r="AL1840" s="57"/>
      <c r="AM1840" s="57"/>
      <c r="AN1840" s="57"/>
      <c r="AO1840" s="57"/>
      <c r="AP1840" s="57"/>
      <c r="AQ1840" s="57"/>
      <c r="AR1840" s="57"/>
      <c r="AS1840" s="57"/>
      <c r="AT1840" s="57"/>
      <c r="AU1840" s="57"/>
      <c r="AV1840" s="57"/>
      <c r="AW1840" s="57"/>
      <c r="AX1840" s="57"/>
      <c r="AY1840" s="57"/>
      <c r="AZ1840" s="57"/>
      <c r="BA1840" s="57"/>
      <c r="BB1840" s="57"/>
      <c r="BC1840" s="57"/>
      <c r="BD1840" s="57"/>
      <c r="BE1840" s="57"/>
      <c r="BF1840" s="57"/>
    </row>
    <row r="1841" spans="1:58" x14ac:dyDescent="0.25">
      <c r="A1841" s="53"/>
      <c r="B1841" s="60"/>
      <c r="C1841" s="57">
        <f t="shared" si="136"/>
        <v>0</v>
      </c>
      <c r="D1841" s="56"/>
      <c r="E1841" s="57">
        <f>[1]DETAY!$A$2</f>
        <v>0</v>
      </c>
      <c r="F1841" s="90">
        <f t="shared" si="137"/>
        <v>0</v>
      </c>
      <c r="G1841" s="92">
        <f t="shared" si="138"/>
        <v>0</v>
      </c>
      <c r="H1841" s="62" t="e">
        <f t="shared" si="139"/>
        <v>#DIV/0!</v>
      </c>
      <c r="I1841" s="57"/>
      <c r="J1841" s="57"/>
      <c r="K1841" s="57"/>
      <c r="L1841" s="57"/>
      <c r="M1841" s="58"/>
      <c r="N1841" s="57"/>
      <c r="O1841" s="57"/>
      <c r="P1841" s="57"/>
      <c r="Q1841" s="57"/>
      <c r="R1841" s="57"/>
      <c r="S1841" s="61"/>
      <c r="T1841" s="57"/>
      <c r="U1841" s="57"/>
      <c r="V1841" s="57"/>
      <c r="W1841" s="57"/>
      <c r="X1841" s="57"/>
      <c r="Y1841" s="57"/>
      <c r="Z1841" s="57"/>
      <c r="AA1841" s="57"/>
      <c r="AB1841" s="57"/>
      <c r="AC1841" s="57"/>
      <c r="AD1841" s="57"/>
      <c r="AE1841" s="57"/>
      <c r="AF1841" s="57"/>
      <c r="AG1841" s="57"/>
      <c r="AH1841" s="57"/>
      <c r="AI1841" s="57"/>
      <c r="AJ1841" s="57"/>
      <c r="AK1841" s="57"/>
      <c r="AL1841" s="57"/>
      <c r="AM1841" s="57"/>
      <c r="AN1841" s="57"/>
      <c r="AO1841" s="57"/>
      <c r="AP1841" s="57"/>
      <c r="AQ1841" s="57"/>
      <c r="AR1841" s="57"/>
      <c r="AS1841" s="57"/>
      <c r="AT1841" s="57"/>
      <c r="AU1841" s="57"/>
      <c r="AV1841" s="57"/>
      <c r="AW1841" s="57"/>
      <c r="AX1841" s="57"/>
      <c r="AY1841" s="57"/>
      <c r="AZ1841" s="57"/>
      <c r="BA1841" s="57"/>
      <c r="BB1841" s="57"/>
      <c r="BC1841" s="57"/>
      <c r="BD1841" s="57"/>
      <c r="BE1841" s="57"/>
      <c r="BF1841" s="57"/>
    </row>
    <row r="1842" spans="1:58" x14ac:dyDescent="0.25">
      <c r="A1842" s="53"/>
      <c r="B1842" s="60"/>
      <c r="C1842" s="57">
        <f t="shared" si="136"/>
        <v>0</v>
      </c>
      <c r="D1842" s="56"/>
      <c r="E1842" s="57">
        <f>[1]DETAY!$A$2</f>
        <v>0</v>
      </c>
      <c r="F1842" s="90">
        <f t="shared" si="137"/>
        <v>0</v>
      </c>
      <c r="G1842" s="92">
        <f t="shared" si="138"/>
        <v>0</v>
      </c>
      <c r="H1842" s="62" t="e">
        <f t="shared" si="139"/>
        <v>#DIV/0!</v>
      </c>
      <c r="I1842" s="57"/>
      <c r="J1842" s="57"/>
      <c r="K1842" s="57"/>
      <c r="L1842" s="57"/>
      <c r="M1842" s="58"/>
      <c r="N1842" s="57"/>
      <c r="O1842" s="57"/>
      <c r="P1842" s="57"/>
      <c r="Q1842" s="57"/>
      <c r="R1842" s="57"/>
      <c r="S1842" s="61"/>
      <c r="T1842" s="57"/>
      <c r="U1842" s="57"/>
      <c r="V1842" s="57"/>
      <c r="W1842" s="57"/>
      <c r="X1842" s="57"/>
      <c r="Y1842" s="57"/>
      <c r="Z1842" s="57"/>
      <c r="AA1842" s="57"/>
      <c r="AB1842" s="57"/>
      <c r="AC1842" s="57"/>
      <c r="AD1842" s="57"/>
      <c r="AE1842" s="57"/>
      <c r="AF1842" s="57"/>
      <c r="AG1842" s="57"/>
      <c r="AH1842" s="57"/>
      <c r="AI1842" s="57"/>
      <c r="AJ1842" s="57"/>
      <c r="AK1842" s="57"/>
      <c r="AL1842" s="57"/>
      <c r="AM1842" s="57"/>
      <c r="AN1842" s="57"/>
      <c r="AO1842" s="57"/>
      <c r="AP1842" s="57"/>
      <c r="AQ1842" s="57"/>
      <c r="AR1842" s="57"/>
      <c r="AS1842" s="57"/>
      <c r="AT1842" s="57"/>
      <c r="AU1842" s="57"/>
      <c r="AV1842" s="57"/>
      <c r="AW1842" s="57"/>
      <c r="AX1842" s="57"/>
      <c r="AY1842" s="57"/>
      <c r="AZ1842" s="57"/>
      <c r="BA1842" s="57"/>
      <c r="BB1842" s="57"/>
      <c r="BC1842" s="57"/>
      <c r="BD1842" s="57"/>
      <c r="BE1842" s="57"/>
      <c r="BF1842" s="57"/>
    </row>
    <row r="1843" spans="1:58" x14ac:dyDescent="0.25">
      <c r="A1843" s="53"/>
      <c r="B1843" s="60"/>
      <c r="C1843" s="57">
        <f t="shared" si="136"/>
        <v>0</v>
      </c>
      <c r="D1843" s="56"/>
      <c r="E1843" s="57">
        <f>[1]DETAY!$A$2</f>
        <v>0</v>
      </c>
      <c r="F1843" s="90">
        <f t="shared" si="137"/>
        <v>0</v>
      </c>
      <c r="G1843" s="92">
        <f t="shared" si="138"/>
        <v>0</v>
      </c>
      <c r="H1843" s="62" t="e">
        <f t="shared" si="139"/>
        <v>#DIV/0!</v>
      </c>
      <c r="I1843" s="57"/>
      <c r="J1843" s="57"/>
      <c r="K1843" s="57"/>
      <c r="L1843" s="57"/>
      <c r="M1843" s="58"/>
      <c r="N1843" s="57"/>
      <c r="O1843" s="57"/>
      <c r="P1843" s="57"/>
      <c r="Q1843" s="57"/>
      <c r="R1843" s="57"/>
      <c r="S1843" s="61"/>
      <c r="T1843" s="57"/>
      <c r="U1843" s="57"/>
      <c r="V1843" s="57"/>
      <c r="W1843" s="57"/>
      <c r="X1843" s="57"/>
      <c r="Y1843" s="57"/>
      <c r="Z1843" s="57"/>
      <c r="AA1843" s="57"/>
      <c r="AB1843" s="57"/>
      <c r="AC1843" s="57"/>
      <c r="AD1843" s="57"/>
      <c r="AE1843" s="57"/>
      <c r="AF1843" s="57"/>
      <c r="AG1843" s="57"/>
      <c r="AH1843" s="57"/>
      <c r="AI1843" s="57"/>
      <c r="AJ1843" s="57"/>
      <c r="AK1843" s="57"/>
      <c r="AL1843" s="57"/>
      <c r="AM1843" s="57"/>
      <c r="AN1843" s="57"/>
      <c r="AO1843" s="57"/>
      <c r="AP1843" s="57"/>
      <c r="AQ1843" s="57"/>
      <c r="AR1843" s="57"/>
      <c r="AS1843" s="57"/>
      <c r="AT1843" s="57"/>
      <c r="AU1843" s="57"/>
      <c r="AV1843" s="57"/>
      <c r="AW1843" s="57"/>
      <c r="AX1843" s="57"/>
      <c r="AY1843" s="57"/>
      <c r="AZ1843" s="57"/>
      <c r="BA1843" s="57"/>
      <c r="BB1843" s="57"/>
      <c r="BC1843" s="57"/>
      <c r="BD1843" s="57"/>
      <c r="BE1843" s="57"/>
      <c r="BF1843" s="57"/>
    </row>
    <row r="1844" spans="1:58" x14ac:dyDescent="0.25">
      <c r="A1844" s="53"/>
      <c r="B1844" s="60"/>
      <c r="C1844" s="57">
        <f t="shared" si="136"/>
        <v>0</v>
      </c>
      <c r="D1844" s="56"/>
      <c r="E1844" s="57">
        <f>[1]DETAY!$A$2</f>
        <v>0</v>
      </c>
      <c r="F1844" s="90">
        <f t="shared" si="137"/>
        <v>0</v>
      </c>
      <c r="G1844" s="92">
        <f t="shared" si="138"/>
        <v>0</v>
      </c>
      <c r="H1844" s="62" t="e">
        <f t="shared" si="139"/>
        <v>#DIV/0!</v>
      </c>
      <c r="I1844" s="57"/>
      <c r="J1844" s="57"/>
      <c r="K1844" s="57"/>
      <c r="L1844" s="57"/>
      <c r="M1844" s="58"/>
      <c r="N1844" s="57"/>
      <c r="O1844" s="57"/>
      <c r="P1844" s="57"/>
      <c r="Q1844" s="57"/>
      <c r="R1844" s="57"/>
      <c r="S1844" s="61"/>
      <c r="T1844" s="57"/>
      <c r="U1844" s="57"/>
      <c r="V1844" s="57"/>
      <c r="W1844" s="57"/>
      <c r="X1844" s="57"/>
      <c r="Y1844" s="57"/>
      <c r="Z1844" s="57"/>
      <c r="AA1844" s="57"/>
      <c r="AB1844" s="57"/>
      <c r="AC1844" s="57"/>
      <c r="AD1844" s="57"/>
      <c r="AE1844" s="57"/>
      <c r="AF1844" s="57"/>
      <c r="AG1844" s="57"/>
      <c r="AH1844" s="57"/>
      <c r="AI1844" s="57"/>
      <c r="AJ1844" s="57"/>
      <c r="AK1844" s="57"/>
      <c r="AL1844" s="57"/>
      <c r="AM1844" s="57"/>
      <c r="AN1844" s="57"/>
      <c r="AO1844" s="57"/>
      <c r="AP1844" s="57"/>
      <c r="AQ1844" s="57"/>
      <c r="AR1844" s="57"/>
      <c r="AS1844" s="57"/>
      <c r="AT1844" s="57"/>
      <c r="AU1844" s="57"/>
      <c r="AV1844" s="57"/>
      <c r="AW1844" s="57"/>
      <c r="AX1844" s="57"/>
      <c r="AY1844" s="57"/>
      <c r="AZ1844" s="57"/>
      <c r="BA1844" s="57"/>
      <c r="BB1844" s="57"/>
      <c r="BC1844" s="57"/>
      <c r="BD1844" s="57"/>
      <c r="BE1844" s="57"/>
      <c r="BF1844" s="57"/>
    </row>
    <row r="1845" spans="1:58" x14ac:dyDescent="0.25">
      <c r="A1845" s="53"/>
      <c r="B1845" s="60"/>
      <c r="C1845" s="57">
        <f t="shared" si="136"/>
        <v>0</v>
      </c>
      <c r="D1845" s="56"/>
      <c r="E1845" s="57">
        <f>[1]DETAY!$A$2</f>
        <v>0</v>
      </c>
      <c r="F1845" s="90">
        <f t="shared" si="137"/>
        <v>0</v>
      </c>
      <c r="G1845" s="92">
        <f t="shared" si="138"/>
        <v>0</v>
      </c>
      <c r="H1845" s="62" t="e">
        <f t="shared" si="139"/>
        <v>#DIV/0!</v>
      </c>
      <c r="I1845" s="57"/>
      <c r="J1845" s="57"/>
      <c r="K1845" s="57"/>
      <c r="L1845" s="57"/>
      <c r="M1845" s="58"/>
      <c r="N1845" s="57"/>
      <c r="O1845" s="57"/>
      <c r="P1845" s="57"/>
      <c r="Q1845" s="57"/>
      <c r="R1845" s="57"/>
      <c r="S1845" s="61"/>
      <c r="T1845" s="57"/>
      <c r="U1845" s="57"/>
      <c r="V1845" s="57"/>
      <c r="W1845" s="57"/>
      <c r="X1845" s="57"/>
      <c r="Y1845" s="57"/>
      <c r="Z1845" s="57"/>
      <c r="AA1845" s="57"/>
      <c r="AB1845" s="57"/>
      <c r="AC1845" s="57"/>
      <c r="AD1845" s="57"/>
      <c r="AE1845" s="57"/>
      <c r="AF1845" s="57"/>
      <c r="AG1845" s="57"/>
      <c r="AH1845" s="57"/>
      <c r="AI1845" s="57"/>
      <c r="AJ1845" s="57"/>
      <c r="AK1845" s="57"/>
      <c r="AL1845" s="57"/>
      <c r="AM1845" s="57"/>
      <c r="AN1845" s="57"/>
      <c r="AO1845" s="57"/>
      <c r="AP1845" s="57"/>
      <c r="AQ1845" s="57"/>
      <c r="AR1845" s="57"/>
      <c r="AS1845" s="57"/>
      <c r="AT1845" s="57"/>
      <c r="AU1845" s="57"/>
      <c r="AV1845" s="57"/>
      <c r="AW1845" s="57"/>
      <c r="AX1845" s="57"/>
      <c r="AY1845" s="57"/>
      <c r="AZ1845" s="57"/>
      <c r="BA1845" s="57"/>
      <c r="BB1845" s="57"/>
      <c r="BC1845" s="57"/>
      <c r="BD1845" s="57"/>
      <c r="BE1845" s="57"/>
      <c r="BF1845" s="57"/>
    </row>
    <row r="1846" spans="1:58" x14ac:dyDescent="0.25">
      <c r="A1846" s="53"/>
      <c r="B1846" s="60"/>
      <c r="C1846" s="57">
        <f t="shared" si="136"/>
        <v>0</v>
      </c>
      <c r="D1846" s="56"/>
      <c r="E1846" s="57">
        <f>[1]DETAY!$A$2</f>
        <v>0</v>
      </c>
      <c r="F1846" s="90">
        <f t="shared" si="137"/>
        <v>0</v>
      </c>
      <c r="G1846" s="92">
        <f t="shared" si="138"/>
        <v>0</v>
      </c>
      <c r="H1846" s="62" t="e">
        <f t="shared" si="139"/>
        <v>#DIV/0!</v>
      </c>
      <c r="I1846" s="57"/>
      <c r="J1846" s="57"/>
      <c r="K1846" s="57"/>
      <c r="L1846" s="57"/>
      <c r="M1846" s="58"/>
      <c r="N1846" s="57"/>
      <c r="O1846" s="57"/>
      <c r="P1846" s="57"/>
      <c r="Q1846" s="57"/>
      <c r="R1846" s="57"/>
      <c r="S1846" s="61"/>
      <c r="T1846" s="57"/>
      <c r="U1846" s="57"/>
      <c r="V1846" s="57"/>
      <c r="W1846" s="57"/>
      <c r="X1846" s="57"/>
      <c r="Y1846" s="57"/>
      <c r="Z1846" s="57"/>
      <c r="AA1846" s="57"/>
      <c r="AB1846" s="57"/>
      <c r="AC1846" s="57"/>
      <c r="AD1846" s="57"/>
      <c r="AE1846" s="57"/>
      <c r="AF1846" s="57"/>
      <c r="AG1846" s="57"/>
      <c r="AH1846" s="57"/>
      <c r="AI1846" s="57"/>
      <c r="AJ1846" s="57"/>
      <c r="AK1846" s="57"/>
      <c r="AL1846" s="57"/>
      <c r="AM1846" s="57"/>
      <c r="AN1846" s="57"/>
      <c r="AO1846" s="57"/>
      <c r="AP1846" s="57"/>
      <c r="AQ1846" s="57"/>
      <c r="AR1846" s="57"/>
      <c r="AS1846" s="57"/>
      <c r="AT1846" s="57"/>
      <c r="AU1846" s="57"/>
      <c r="AV1846" s="57"/>
      <c r="AW1846" s="57"/>
      <c r="AX1846" s="57"/>
      <c r="AY1846" s="57"/>
      <c r="AZ1846" s="57"/>
      <c r="BA1846" s="57"/>
      <c r="BB1846" s="57"/>
      <c r="BC1846" s="57"/>
      <c r="BD1846" s="57"/>
      <c r="BE1846" s="57"/>
      <c r="BF1846" s="57"/>
    </row>
    <row r="1847" spans="1:58" x14ac:dyDescent="0.25">
      <c r="A1847" s="53"/>
      <c r="B1847" s="60"/>
      <c r="C1847" s="57">
        <f t="shared" si="136"/>
        <v>0</v>
      </c>
      <c r="D1847" s="56"/>
      <c r="E1847" s="57">
        <f>[1]DETAY!$A$2</f>
        <v>0</v>
      </c>
      <c r="F1847" s="90">
        <f t="shared" si="137"/>
        <v>0</v>
      </c>
      <c r="G1847" s="92">
        <f t="shared" si="138"/>
        <v>0</v>
      </c>
      <c r="H1847" s="62" t="e">
        <f t="shared" si="139"/>
        <v>#DIV/0!</v>
      </c>
      <c r="I1847" s="57"/>
      <c r="J1847" s="57"/>
      <c r="K1847" s="57"/>
      <c r="L1847" s="57"/>
      <c r="M1847" s="58"/>
      <c r="N1847" s="57"/>
      <c r="O1847" s="57"/>
      <c r="P1847" s="57"/>
      <c r="Q1847" s="57"/>
      <c r="R1847" s="57"/>
      <c r="S1847" s="61"/>
      <c r="T1847" s="57"/>
      <c r="U1847" s="57"/>
      <c r="V1847" s="57"/>
      <c r="W1847" s="57"/>
      <c r="X1847" s="57"/>
      <c r="Y1847" s="57"/>
      <c r="Z1847" s="57"/>
      <c r="AA1847" s="57"/>
      <c r="AB1847" s="57"/>
      <c r="AC1847" s="57"/>
      <c r="AD1847" s="57"/>
      <c r="AE1847" s="57"/>
      <c r="AF1847" s="57"/>
      <c r="AG1847" s="57"/>
      <c r="AH1847" s="57"/>
      <c r="AI1847" s="57"/>
      <c r="AJ1847" s="57"/>
      <c r="AK1847" s="57"/>
      <c r="AL1847" s="57"/>
      <c r="AM1847" s="57"/>
      <c r="AN1847" s="57"/>
      <c r="AO1847" s="57"/>
      <c r="AP1847" s="57"/>
      <c r="AQ1847" s="57"/>
      <c r="AR1847" s="57"/>
      <c r="AS1847" s="57"/>
      <c r="AT1847" s="57"/>
      <c r="AU1847" s="57"/>
      <c r="AV1847" s="57"/>
      <c r="AW1847" s="57"/>
      <c r="AX1847" s="57"/>
      <c r="AY1847" s="57"/>
      <c r="AZ1847" s="57"/>
      <c r="BA1847" s="57"/>
      <c r="BB1847" s="57"/>
      <c r="BC1847" s="57"/>
      <c r="BD1847" s="57"/>
      <c r="BE1847" s="57"/>
      <c r="BF1847" s="57"/>
    </row>
    <row r="1848" spans="1:58" x14ac:dyDescent="0.25">
      <c r="A1848" s="53"/>
      <c r="B1848" s="60"/>
      <c r="C1848" s="57">
        <f t="shared" si="136"/>
        <v>0</v>
      </c>
      <c r="D1848" s="56"/>
      <c r="E1848" s="57">
        <f>[1]DETAY!$A$2</f>
        <v>0</v>
      </c>
      <c r="F1848" s="90">
        <f t="shared" si="137"/>
        <v>0</v>
      </c>
      <c r="G1848" s="92">
        <f t="shared" si="138"/>
        <v>0</v>
      </c>
      <c r="H1848" s="62" t="e">
        <f t="shared" si="139"/>
        <v>#DIV/0!</v>
      </c>
      <c r="I1848" s="57"/>
      <c r="J1848" s="57"/>
      <c r="K1848" s="57"/>
      <c r="L1848" s="57"/>
      <c r="M1848" s="58"/>
      <c r="N1848" s="57"/>
      <c r="O1848" s="57"/>
      <c r="P1848" s="57"/>
      <c r="Q1848" s="57"/>
      <c r="R1848" s="57"/>
      <c r="S1848" s="61"/>
      <c r="T1848" s="57"/>
      <c r="U1848" s="57"/>
      <c r="V1848" s="57"/>
      <c r="W1848" s="57"/>
      <c r="X1848" s="57"/>
      <c r="Y1848" s="57"/>
      <c r="Z1848" s="57"/>
      <c r="AA1848" s="57"/>
      <c r="AB1848" s="57"/>
      <c r="AC1848" s="57"/>
      <c r="AD1848" s="57"/>
      <c r="AE1848" s="57"/>
      <c r="AF1848" s="57"/>
      <c r="AG1848" s="57"/>
      <c r="AH1848" s="57"/>
      <c r="AI1848" s="57"/>
      <c r="AJ1848" s="57"/>
      <c r="AK1848" s="57"/>
      <c r="AL1848" s="57"/>
      <c r="AM1848" s="57"/>
      <c r="AN1848" s="57"/>
      <c r="AO1848" s="57"/>
      <c r="AP1848" s="57"/>
      <c r="AQ1848" s="57"/>
      <c r="AR1848" s="57"/>
      <c r="AS1848" s="57"/>
      <c r="AT1848" s="57"/>
      <c r="AU1848" s="57"/>
      <c r="AV1848" s="57"/>
      <c r="AW1848" s="57"/>
      <c r="AX1848" s="57"/>
      <c r="AY1848" s="57"/>
      <c r="AZ1848" s="57"/>
      <c r="BA1848" s="57"/>
      <c r="BB1848" s="57"/>
      <c r="BC1848" s="57"/>
      <c r="BD1848" s="57"/>
      <c r="BE1848" s="57"/>
      <c r="BF1848" s="57"/>
    </row>
    <row r="1849" spans="1:58" x14ac:dyDescent="0.25">
      <c r="A1849" s="53"/>
      <c r="B1849" s="60"/>
      <c r="C1849" s="57">
        <f t="shared" si="136"/>
        <v>0</v>
      </c>
      <c r="D1849" s="56"/>
      <c r="E1849" s="57">
        <f>[1]DETAY!$A$2</f>
        <v>0</v>
      </c>
      <c r="F1849" s="90">
        <f t="shared" si="137"/>
        <v>0</v>
      </c>
      <c r="G1849" s="92">
        <f t="shared" si="138"/>
        <v>0</v>
      </c>
      <c r="H1849" s="62" t="e">
        <f t="shared" si="139"/>
        <v>#DIV/0!</v>
      </c>
      <c r="I1849" s="57"/>
      <c r="J1849" s="57"/>
      <c r="K1849" s="57"/>
      <c r="L1849" s="57"/>
      <c r="M1849" s="58"/>
      <c r="N1849" s="57"/>
      <c r="O1849" s="57"/>
      <c r="P1849" s="57"/>
      <c r="Q1849" s="57"/>
      <c r="R1849" s="57"/>
      <c r="S1849" s="61"/>
      <c r="T1849" s="57"/>
      <c r="U1849" s="57"/>
      <c r="V1849" s="57"/>
      <c r="W1849" s="57"/>
      <c r="X1849" s="57"/>
      <c r="Y1849" s="57"/>
      <c r="Z1849" s="57"/>
      <c r="AA1849" s="57"/>
      <c r="AB1849" s="57"/>
      <c r="AC1849" s="57"/>
      <c r="AD1849" s="57"/>
      <c r="AE1849" s="57"/>
      <c r="AF1849" s="57"/>
      <c r="AG1849" s="57"/>
      <c r="AH1849" s="57"/>
      <c r="AI1849" s="57"/>
      <c r="AJ1849" s="57"/>
      <c r="AK1849" s="57"/>
      <c r="AL1849" s="57"/>
      <c r="AM1849" s="57"/>
      <c r="AN1849" s="57"/>
      <c r="AO1849" s="57"/>
      <c r="AP1849" s="57"/>
      <c r="AQ1849" s="57"/>
      <c r="AR1849" s="57"/>
      <c r="AS1849" s="57"/>
      <c r="AT1849" s="57"/>
      <c r="AU1849" s="57"/>
      <c r="AV1849" s="57"/>
      <c r="AW1849" s="57"/>
      <c r="AX1849" s="57"/>
      <c r="AY1849" s="57"/>
      <c r="AZ1849" s="57"/>
      <c r="BA1849" s="57"/>
      <c r="BB1849" s="57"/>
      <c r="BC1849" s="57"/>
      <c r="BD1849" s="57"/>
      <c r="BE1849" s="57"/>
      <c r="BF1849" s="57"/>
    </row>
    <row r="1850" spans="1:58" x14ac:dyDescent="0.25">
      <c r="A1850" s="53"/>
      <c r="B1850" s="60"/>
      <c r="C1850" s="57">
        <f t="shared" si="136"/>
        <v>0</v>
      </c>
      <c r="D1850" s="56"/>
      <c r="E1850" s="57">
        <f>[1]DETAY!$A$2</f>
        <v>0</v>
      </c>
      <c r="F1850" s="90">
        <f t="shared" si="137"/>
        <v>0</v>
      </c>
      <c r="G1850" s="92">
        <f t="shared" si="138"/>
        <v>0</v>
      </c>
      <c r="H1850" s="62" t="e">
        <f t="shared" si="139"/>
        <v>#DIV/0!</v>
      </c>
      <c r="I1850" s="57"/>
      <c r="J1850" s="57"/>
      <c r="K1850" s="57"/>
      <c r="L1850" s="57"/>
      <c r="M1850" s="58"/>
      <c r="N1850" s="57"/>
      <c r="O1850" s="57"/>
      <c r="P1850" s="57"/>
      <c r="Q1850" s="57"/>
      <c r="R1850" s="57"/>
      <c r="S1850" s="61"/>
      <c r="T1850" s="57"/>
      <c r="U1850" s="57"/>
      <c r="V1850" s="57"/>
      <c r="W1850" s="57"/>
      <c r="X1850" s="57"/>
      <c r="Y1850" s="57"/>
      <c r="Z1850" s="57"/>
      <c r="AA1850" s="57"/>
      <c r="AB1850" s="57"/>
      <c r="AC1850" s="57"/>
      <c r="AD1850" s="57"/>
      <c r="AE1850" s="57"/>
      <c r="AF1850" s="57"/>
      <c r="AG1850" s="57"/>
      <c r="AH1850" s="57"/>
      <c r="AI1850" s="57"/>
      <c r="AJ1850" s="57"/>
      <c r="AK1850" s="57"/>
      <c r="AL1850" s="57"/>
      <c r="AM1850" s="57"/>
      <c r="AN1850" s="57"/>
      <c r="AO1850" s="57"/>
      <c r="AP1850" s="57"/>
      <c r="AQ1850" s="57"/>
      <c r="AR1850" s="57"/>
      <c r="AS1850" s="57"/>
      <c r="AT1850" s="57"/>
      <c r="AU1850" s="57"/>
      <c r="AV1850" s="57"/>
      <c r="AW1850" s="57"/>
      <c r="AX1850" s="57"/>
      <c r="AY1850" s="57"/>
      <c r="AZ1850" s="57"/>
      <c r="BA1850" s="57"/>
      <c r="BB1850" s="57"/>
      <c r="BC1850" s="57"/>
      <c r="BD1850" s="57"/>
      <c r="BE1850" s="57"/>
      <c r="BF1850" s="57"/>
    </row>
    <row r="1851" spans="1:58" x14ac:dyDescent="0.25">
      <c r="A1851" s="53"/>
      <c r="B1851" s="60"/>
      <c r="C1851" s="57">
        <f t="shared" si="136"/>
        <v>0</v>
      </c>
      <c r="D1851" s="56"/>
      <c r="E1851" s="57">
        <f>[1]DETAY!$A$2</f>
        <v>0</v>
      </c>
      <c r="F1851" s="90">
        <f t="shared" si="137"/>
        <v>0</v>
      </c>
      <c r="G1851" s="92">
        <f t="shared" si="138"/>
        <v>0</v>
      </c>
      <c r="H1851" s="62" t="e">
        <f t="shared" si="139"/>
        <v>#DIV/0!</v>
      </c>
      <c r="I1851" s="57"/>
      <c r="J1851" s="57"/>
      <c r="K1851" s="57"/>
      <c r="L1851" s="57"/>
      <c r="M1851" s="58"/>
      <c r="N1851" s="57"/>
      <c r="O1851" s="57"/>
      <c r="P1851" s="57"/>
      <c r="Q1851" s="57"/>
      <c r="R1851" s="57"/>
      <c r="S1851" s="61"/>
      <c r="T1851" s="57"/>
      <c r="U1851" s="57"/>
      <c r="V1851" s="57"/>
      <c r="W1851" s="57"/>
      <c r="X1851" s="57"/>
      <c r="Y1851" s="57"/>
      <c r="Z1851" s="57"/>
      <c r="AA1851" s="57"/>
      <c r="AB1851" s="57"/>
      <c r="AC1851" s="57"/>
      <c r="AD1851" s="57"/>
      <c r="AE1851" s="57"/>
      <c r="AF1851" s="57"/>
      <c r="AG1851" s="57"/>
      <c r="AH1851" s="57"/>
      <c r="AI1851" s="57"/>
      <c r="AJ1851" s="57"/>
      <c r="AK1851" s="57"/>
      <c r="AL1851" s="57"/>
      <c r="AM1851" s="57"/>
      <c r="AN1851" s="57"/>
      <c r="AO1851" s="57"/>
      <c r="AP1851" s="57"/>
      <c r="AQ1851" s="57"/>
      <c r="AR1851" s="57"/>
      <c r="AS1851" s="57"/>
      <c r="AT1851" s="57"/>
      <c r="AU1851" s="57"/>
      <c r="AV1851" s="57"/>
      <c r="AW1851" s="57"/>
      <c r="AX1851" s="57"/>
      <c r="AY1851" s="57"/>
      <c r="AZ1851" s="57"/>
      <c r="BA1851" s="57"/>
      <c r="BB1851" s="57"/>
      <c r="BC1851" s="57"/>
      <c r="BD1851" s="57"/>
      <c r="BE1851" s="57"/>
      <c r="BF1851" s="57"/>
    </row>
    <row r="1852" spans="1:58" x14ac:dyDescent="0.25">
      <c r="A1852" s="53"/>
      <c r="B1852" s="60"/>
      <c r="C1852" s="57">
        <f t="shared" si="136"/>
        <v>0</v>
      </c>
      <c r="D1852" s="56"/>
      <c r="E1852" s="57">
        <f>[1]DETAY!$A$2</f>
        <v>0</v>
      </c>
      <c r="F1852" s="90">
        <f t="shared" si="137"/>
        <v>0</v>
      </c>
      <c r="G1852" s="92">
        <f t="shared" si="138"/>
        <v>0</v>
      </c>
      <c r="H1852" s="62" t="e">
        <f t="shared" si="139"/>
        <v>#DIV/0!</v>
      </c>
      <c r="I1852" s="57"/>
      <c r="J1852" s="57"/>
      <c r="K1852" s="57"/>
      <c r="L1852" s="57"/>
      <c r="M1852" s="58"/>
      <c r="N1852" s="57"/>
      <c r="O1852" s="57"/>
      <c r="P1852" s="57"/>
      <c r="Q1852" s="57"/>
      <c r="R1852" s="57"/>
      <c r="S1852" s="61"/>
      <c r="T1852" s="57"/>
      <c r="U1852" s="57"/>
      <c r="V1852" s="57"/>
      <c r="W1852" s="57"/>
      <c r="X1852" s="57"/>
      <c r="Y1852" s="57"/>
      <c r="Z1852" s="57"/>
      <c r="AA1852" s="57"/>
      <c r="AB1852" s="57"/>
      <c r="AC1852" s="57"/>
      <c r="AD1852" s="57"/>
      <c r="AE1852" s="57"/>
      <c r="AF1852" s="57"/>
      <c r="AG1852" s="57"/>
      <c r="AH1852" s="57"/>
      <c r="AI1852" s="57"/>
      <c r="AJ1852" s="57"/>
      <c r="AK1852" s="57"/>
      <c r="AL1852" s="57"/>
      <c r="AM1852" s="57"/>
      <c r="AN1852" s="57"/>
      <c r="AO1852" s="57"/>
      <c r="AP1852" s="57"/>
      <c r="AQ1852" s="57"/>
      <c r="AR1852" s="57"/>
      <c r="AS1852" s="57"/>
      <c r="AT1852" s="57"/>
      <c r="AU1852" s="57"/>
      <c r="AV1852" s="57"/>
      <c r="AW1852" s="57"/>
      <c r="AX1852" s="57"/>
      <c r="AY1852" s="57"/>
      <c r="AZ1852" s="57"/>
      <c r="BA1852" s="57"/>
      <c r="BB1852" s="57"/>
      <c r="BC1852" s="57"/>
      <c r="BD1852" s="57"/>
      <c r="BE1852" s="57"/>
      <c r="BF1852" s="57"/>
    </row>
    <row r="1853" spans="1:58" x14ac:dyDescent="0.25">
      <c r="A1853" s="53"/>
      <c r="B1853" s="60"/>
      <c r="C1853" s="57">
        <f t="shared" si="136"/>
        <v>0</v>
      </c>
      <c r="D1853" s="56"/>
      <c r="E1853" s="57">
        <f>[1]DETAY!$A$2</f>
        <v>0</v>
      </c>
      <c r="F1853" s="90">
        <f t="shared" si="137"/>
        <v>0</v>
      </c>
      <c r="G1853" s="92">
        <f t="shared" si="138"/>
        <v>0</v>
      </c>
      <c r="H1853" s="62" t="e">
        <f t="shared" si="139"/>
        <v>#DIV/0!</v>
      </c>
      <c r="I1853" s="57"/>
      <c r="J1853" s="57"/>
      <c r="K1853" s="57"/>
      <c r="L1853" s="57"/>
      <c r="M1853" s="58"/>
      <c r="N1853" s="57"/>
      <c r="O1853" s="57"/>
      <c r="P1853" s="57"/>
      <c r="Q1853" s="57"/>
      <c r="R1853" s="57"/>
      <c r="S1853" s="61"/>
      <c r="T1853" s="57"/>
      <c r="U1853" s="57"/>
      <c r="V1853" s="57"/>
      <c r="W1853" s="57"/>
      <c r="X1853" s="57"/>
      <c r="Y1853" s="57"/>
      <c r="Z1853" s="57"/>
      <c r="AA1853" s="57"/>
      <c r="AB1853" s="57"/>
      <c r="AC1853" s="57"/>
      <c r="AD1853" s="57"/>
      <c r="AE1853" s="57"/>
      <c r="AF1853" s="57"/>
      <c r="AG1853" s="57"/>
      <c r="AH1853" s="57"/>
      <c r="AI1853" s="57"/>
      <c r="AJ1853" s="57"/>
      <c r="AK1853" s="57"/>
      <c r="AL1853" s="57"/>
      <c r="AM1853" s="57"/>
      <c r="AN1853" s="57"/>
      <c r="AO1853" s="57"/>
      <c r="AP1853" s="57"/>
      <c r="AQ1853" s="57"/>
      <c r="AR1853" s="57"/>
      <c r="AS1853" s="57"/>
      <c r="AT1853" s="57"/>
      <c r="AU1853" s="57"/>
      <c r="AV1853" s="57"/>
      <c r="AW1853" s="57"/>
      <c r="AX1853" s="57"/>
      <c r="AY1853" s="57"/>
      <c r="AZ1853" s="57"/>
      <c r="BA1853" s="57"/>
      <c r="BB1853" s="57"/>
      <c r="BC1853" s="57"/>
      <c r="BD1853" s="57"/>
      <c r="BE1853" s="57"/>
      <c r="BF1853" s="57"/>
    </row>
    <row r="1854" spans="1:58" x14ac:dyDescent="0.25">
      <c r="A1854" s="53"/>
      <c r="B1854" s="60"/>
      <c r="C1854" s="57">
        <f t="shared" si="136"/>
        <v>0</v>
      </c>
      <c r="D1854" s="56"/>
      <c r="E1854" s="57">
        <f>[1]DETAY!$A$2</f>
        <v>0</v>
      </c>
      <c r="F1854" s="90">
        <f t="shared" si="137"/>
        <v>0</v>
      </c>
      <c r="G1854" s="92">
        <f t="shared" si="138"/>
        <v>0</v>
      </c>
      <c r="H1854" s="62" t="e">
        <f t="shared" si="139"/>
        <v>#DIV/0!</v>
      </c>
      <c r="I1854" s="57"/>
      <c r="J1854" s="57"/>
      <c r="K1854" s="57"/>
      <c r="L1854" s="57"/>
      <c r="M1854" s="58"/>
      <c r="N1854" s="57"/>
      <c r="O1854" s="57"/>
      <c r="P1854" s="57"/>
      <c r="Q1854" s="57"/>
      <c r="R1854" s="57"/>
      <c r="S1854" s="61"/>
      <c r="T1854" s="57"/>
      <c r="U1854" s="57"/>
      <c r="V1854" s="57"/>
      <c r="W1854" s="57"/>
      <c r="X1854" s="57"/>
      <c r="Y1854" s="57"/>
      <c r="Z1854" s="57"/>
      <c r="AA1854" s="57"/>
      <c r="AB1854" s="57"/>
      <c r="AC1854" s="57"/>
      <c r="AD1854" s="57"/>
      <c r="AE1854" s="57"/>
      <c r="AF1854" s="57"/>
      <c r="AG1854" s="57"/>
      <c r="AH1854" s="57"/>
      <c r="AI1854" s="57"/>
      <c r="AJ1854" s="57"/>
      <c r="AK1854" s="57"/>
      <c r="AL1854" s="57"/>
      <c r="AM1854" s="57"/>
      <c r="AN1854" s="57"/>
      <c r="AO1854" s="57"/>
      <c r="AP1854" s="57"/>
      <c r="AQ1854" s="57"/>
      <c r="AR1854" s="57"/>
      <c r="AS1854" s="57"/>
      <c r="AT1854" s="57"/>
      <c r="AU1854" s="57"/>
      <c r="AV1854" s="57"/>
      <c r="AW1854" s="57"/>
      <c r="AX1854" s="57"/>
      <c r="AY1854" s="57"/>
      <c r="AZ1854" s="57"/>
      <c r="BA1854" s="57"/>
      <c r="BB1854" s="57"/>
      <c r="BC1854" s="57"/>
      <c r="BD1854" s="57"/>
      <c r="BE1854" s="57"/>
      <c r="BF1854" s="57"/>
    </row>
    <row r="1855" spans="1:58" x14ac:dyDescent="0.25">
      <c r="A1855" s="53"/>
      <c r="B1855" s="60"/>
      <c r="C1855" s="57">
        <f t="shared" si="136"/>
        <v>0</v>
      </c>
      <c r="D1855" s="56"/>
      <c r="E1855" s="57">
        <f>[1]DETAY!$A$2</f>
        <v>0</v>
      </c>
      <c r="F1855" s="90">
        <f t="shared" si="137"/>
        <v>0</v>
      </c>
      <c r="G1855" s="92">
        <f t="shared" si="138"/>
        <v>0</v>
      </c>
      <c r="H1855" s="62" t="e">
        <f t="shared" si="139"/>
        <v>#DIV/0!</v>
      </c>
      <c r="I1855" s="57"/>
      <c r="J1855" s="57"/>
      <c r="K1855" s="57"/>
      <c r="L1855" s="57"/>
      <c r="M1855" s="58"/>
      <c r="N1855" s="57"/>
      <c r="O1855" s="57"/>
      <c r="P1855" s="57"/>
      <c r="Q1855" s="57"/>
      <c r="R1855" s="57"/>
      <c r="S1855" s="61"/>
      <c r="T1855" s="57"/>
      <c r="U1855" s="57"/>
      <c r="V1855" s="57"/>
      <c r="W1855" s="57"/>
      <c r="X1855" s="57"/>
      <c r="Y1855" s="57"/>
      <c r="Z1855" s="57"/>
      <c r="AA1855" s="57"/>
      <c r="AB1855" s="57"/>
      <c r="AC1855" s="57"/>
      <c r="AD1855" s="57"/>
      <c r="AE1855" s="57"/>
      <c r="AF1855" s="57"/>
      <c r="AG1855" s="57"/>
      <c r="AH1855" s="57"/>
      <c r="AI1855" s="57"/>
      <c r="AJ1855" s="57"/>
      <c r="AK1855" s="57"/>
      <c r="AL1855" s="57"/>
      <c r="AM1855" s="57"/>
      <c r="AN1855" s="57"/>
      <c r="AO1855" s="57"/>
      <c r="AP1855" s="57"/>
      <c r="AQ1855" s="57"/>
      <c r="AR1855" s="57"/>
      <c r="AS1855" s="57"/>
      <c r="AT1855" s="57"/>
      <c r="AU1855" s="57"/>
      <c r="AV1855" s="57"/>
      <c r="AW1855" s="57"/>
      <c r="AX1855" s="57"/>
      <c r="AY1855" s="57"/>
      <c r="AZ1855" s="57"/>
      <c r="BA1855" s="57"/>
      <c r="BB1855" s="57"/>
      <c r="BC1855" s="57"/>
      <c r="BD1855" s="57"/>
      <c r="BE1855" s="57"/>
      <c r="BF1855" s="57"/>
    </row>
    <row r="1856" spans="1:58" x14ac:dyDescent="0.25">
      <c r="A1856" s="53"/>
      <c r="B1856" s="60"/>
      <c r="C1856" s="57">
        <f t="shared" si="136"/>
        <v>0</v>
      </c>
      <c r="D1856" s="56"/>
      <c r="E1856" s="57">
        <f>[1]DETAY!$A$2</f>
        <v>0</v>
      </c>
      <c r="F1856" s="90">
        <f t="shared" si="137"/>
        <v>0</v>
      </c>
      <c r="G1856" s="92">
        <f t="shared" si="138"/>
        <v>0</v>
      </c>
      <c r="H1856" s="62" t="e">
        <f t="shared" si="139"/>
        <v>#DIV/0!</v>
      </c>
      <c r="I1856" s="57"/>
      <c r="J1856" s="57"/>
      <c r="K1856" s="57"/>
      <c r="L1856" s="57"/>
      <c r="M1856" s="58"/>
      <c r="N1856" s="57"/>
      <c r="O1856" s="57"/>
      <c r="P1856" s="57"/>
      <c r="Q1856" s="57"/>
      <c r="R1856" s="57"/>
      <c r="S1856" s="61"/>
      <c r="T1856" s="57"/>
      <c r="U1856" s="57"/>
      <c r="V1856" s="57"/>
      <c r="W1856" s="57"/>
      <c r="X1856" s="57"/>
      <c r="Y1856" s="57"/>
      <c r="Z1856" s="57"/>
      <c r="AA1856" s="57"/>
      <c r="AB1856" s="57"/>
      <c r="AC1856" s="57"/>
      <c r="AD1856" s="57"/>
      <c r="AE1856" s="57"/>
      <c r="AF1856" s="57"/>
      <c r="AG1856" s="57"/>
      <c r="AH1856" s="57"/>
      <c r="AI1856" s="57"/>
      <c r="AJ1856" s="57"/>
      <c r="AK1856" s="57"/>
      <c r="AL1856" s="57"/>
      <c r="AM1856" s="57"/>
      <c r="AN1856" s="57"/>
      <c r="AO1856" s="57"/>
      <c r="AP1856" s="57"/>
      <c r="AQ1856" s="57"/>
      <c r="AR1856" s="57"/>
      <c r="AS1856" s="57"/>
      <c r="AT1856" s="57"/>
      <c r="AU1856" s="57"/>
      <c r="AV1856" s="57"/>
      <c r="AW1856" s="57"/>
      <c r="AX1856" s="57"/>
      <c r="AY1856" s="57"/>
      <c r="AZ1856" s="57"/>
      <c r="BA1856" s="57"/>
      <c r="BB1856" s="57"/>
      <c r="BC1856" s="57"/>
      <c r="BD1856" s="57"/>
      <c r="BE1856" s="57"/>
      <c r="BF1856" s="57"/>
    </row>
    <row r="1857" spans="1:58" x14ac:dyDescent="0.25">
      <c r="A1857" s="53"/>
      <c r="B1857" s="60"/>
      <c r="C1857" s="57">
        <f t="shared" si="136"/>
        <v>0</v>
      </c>
      <c r="D1857" s="56"/>
      <c r="E1857" s="57">
        <f>[1]DETAY!$A$2</f>
        <v>0</v>
      </c>
      <c r="F1857" s="90">
        <f t="shared" si="137"/>
        <v>0</v>
      </c>
      <c r="G1857" s="92">
        <f t="shared" si="138"/>
        <v>0</v>
      </c>
      <c r="H1857" s="62" t="e">
        <f t="shared" si="139"/>
        <v>#DIV/0!</v>
      </c>
      <c r="I1857" s="57"/>
      <c r="J1857" s="57"/>
      <c r="K1857" s="57"/>
      <c r="L1857" s="57"/>
      <c r="M1857" s="58"/>
      <c r="N1857" s="57"/>
      <c r="O1857" s="57"/>
      <c r="P1857" s="57"/>
      <c r="Q1857" s="57"/>
      <c r="R1857" s="57"/>
      <c r="S1857" s="61"/>
      <c r="T1857" s="57"/>
      <c r="U1857" s="57"/>
      <c r="V1857" s="57"/>
      <c r="W1857" s="57"/>
      <c r="X1857" s="57"/>
      <c r="Y1857" s="57"/>
      <c r="Z1857" s="57"/>
      <c r="AA1857" s="57"/>
      <c r="AB1857" s="57"/>
      <c r="AC1857" s="57"/>
      <c r="AD1857" s="57"/>
      <c r="AE1857" s="57"/>
      <c r="AF1857" s="57"/>
      <c r="AG1857" s="57"/>
      <c r="AH1857" s="57"/>
      <c r="AI1857" s="57"/>
      <c r="AJ1857" s="57"/>
      <c r="AK1857" s="57"/>
      <c r="AL1857" s="57"/>
      <c r="AM1857" s="57"/>
      <c r="AN1857" s="57"/>
      <c r="AO1857" s="57"/>
      <c r="AP1857" s="57"/>
      <c r="AQ1857" s="57"/>
      <c r="AR1857" s="57"/>
      <c r="AS1857" s="57"/>
      <c r="AT1857" s="57"/>
      <c r="AU1857" s="57"/>
      <c r="AV1857" s="57"/>
      <c r="AW1857" s="57"/>
      <c r="AX1857" s="57"/>
      <c r="AY1857" s="57"/>
      <c r="AZ1857" s="57"/>
      <c r="BA1857" s="57"/>
      <c r="BB1857" s="57"/>
      <c r="BC1857" s="57"/>
      <c r="BD1857" s="57"/>
      <c r="BE1857" s="57"/>
      <c r="BF1857" s="57"/>
    </row>
    <row r="1858" spans="1:58" x14ac:dyDescent="0.25">
      <c r="A1858" s="53"/>
      <c r="B1858" s="60"/>
      <c r="C1858" s="57">
        <f t="shared" si="136"/>
        <v>0</v>
      </c>
      <c r="D1858" s="56"/>
      <c r="E1858" s="57">
        <f>[1]DETAY!$A$2</f>
        <v>0</v>
      </c>
      <c r="F1858" s="90">
        <f t="shared" si="137"/>
        <v>0</v>
      </c>
      <c r="G1858" s="92">
        <f t="shared" si="138"/>
        <v>0</v>
      </c>
      <c r="H1858" s="62" t="e">
        <f t="shared" si="139"/>
        <v>#DIV/0!</v>
      </c>
      <c r="I1858" s="57"/>
      <c r="J1858" s="57"/>
      <c r="K1858" s="57"/>
      <c r="L1858" s="57"/>
      <c r="M1858" s="58"/>
      <c r="N1858" s="57"/>
      <c r="O1858" s="57"/>
      <c r="P1858" s="57"/>
      <c r="Q1858" s="57"/>
      <c r="R1858" s="57"/>
      <c r="S1858" s="61"/>
      <c r="T1858" s="57"/>
      <c r="U1858" s="57"/>
      <c r="V1858" s="57"/>
      <c r="W1858" s="57"/>
      <c r="X1858" s="57"/>
      <c r="Y1858" s="57"/>
      <c r="Z1858" s="57"/>
      <c r="AA1858" s="57"/>
      <c r="AB1858" s="57"/>
      <c r="AC1858" s="57"/>
      <c r="AD1858" s="57"/>
      <c r="AE1858" s="57"/>
      <c r="AF1858" s="57"/>
      <c r="AG1858" s="57"/>
      <c r="AH1858" s="57"/>
      <c r="AI1858" s="57"/>
      <c r="AJ1858" s="57"/>
      <c r="AK1858" s="57"/>
      <c r="AL1858" s="57"/>
      <c r="AM1858" s="57"/>
      <c r="AN1858" s="57"/>
      <c r="AO1858" s="57"/>
      <c r="AP1858" s="57"/>
      <c r="AQ1858" s="57"/>
      <c r="AR1858" s="57"/>
      <c r="AS1858" s="57"/>
      <c r="AT1858" s="57"/>
      <c r="AU1858" s="57"/>
      <c r="AV1858" s="57"/>
      <c r="AW1858" s="57"/>
      <c r="AX1858" s="57"/>
      <c r="AY1858" s="57"/>
      <c r="AZ1858" s="57"/>
      <c r="BA1858" s="57"/>
      <c r="BB1858" s="57"/>
      <c r="BC1858" s="57"/>
      <c r="BD1858" s="57"/>
      <c r="BE1858" s="57"/>
      <c r="BF1858" s="57"/>
    </row>
    <row r="1859" spans="1:58" x14ac:dyDescent="0.25">
      <c r="A1859" s="53"/>
      <c r="B1859" s="60"/>
      <c r="C1859" s="57">
        <f t="shared" si="136"/>
        <v>0</v>
      </c>
      <c r="D1859" s="56"/>
      <c r="E1859" s="57">
        <f>[1]DETAY!$A$2</f>
        <v>0</v>
      </c>
      <c r="F1859" s="90">
        <f t="shared" si="137"/>
        <v>0</v>
      </c>
      <c r="G1859" s="92">
        <f t="shared" si="138"/>
        <v>0</v>
      </c>
      <c r="H1859" s="62" t="e">
        <f t="shared" si="139"/>
        <v>#DIV/0!</v>
      </c>
      <c r="I1859" s="57"/>
      <c r="J1859" s="57"/>
      <c r="K1859" s="57"/>
      <c r="L1859" s="57"/>
      <c r="M1859" s="58"/>
      <c r="N1859" s="57"/>
      <c r="O1859" s="57"/>
      <c r="P1859" s="57"/>
      <c r="Q1859" s="57"/>
      <c r="R1859" s="57"/>
      <c r="S1859" s="61"/>
      <c r="T1859" s="57"/>
      <c r="U1859" s="57"/>
      <c r="V1859" s="57"/>
      <c r="W1859" s="57"/>
      <c r="X1859" s="57"/>
      <c r="Y1859" s="57"/>
      <c r="Z1859" s="57"/>
      <c r="AA1859" s="57"/>
      <c r="AB1859" s="57"/>
      <c r="AC1859" s="57"/>
      <c r="AD1859" s="57"/>
      <c r="AE1859" s="57"/>
      <c r="AF1859" s="57"/>
      <c r="AG1859" s="57"/>
      <c r="AH1859" s="57"/>
      <c r="AI1859" s="57"/>
      <c r="AJ1859" s="57"/>
      <c r="AK1859" s="57"/>
      <c r="AL1859" s="57"/>
      <c r="AM1859" s="57"/>
      <c r="AN1859" s="57"/>
      <c r="AO1859" s="57"/>
      <c r="AP1859" s="57"/>
      <c r="AQ1859" s="57"/>
      <c r="AR1859" s="57"/>
      <c r="AS1859" s="57"/>
      <c r="AT1859" s="57"/>
      <c r="AU1859" s="57"/>
      <c r="AV1859" s="57"/>
      <c r="AW1859" s="57"/>
      <c r="AX1859" s="57"/>
      <c r="AY1859" s="57"/>
      <c r="AZ1859" s="57"/>
      <c r="BA1859" s="57"/>
      <c r="BB1859" s="57"/>
      <c r="BC1859" s="57"/>
      <c r="BD1859" s="57"/>
      <c r="BE1859" s="57"/>
      <c r="BF1859" s="57"/>
    </row>
    <row r="1860" spans="1:58" x14ac:dyDescent="0.25">
      <c r="A1860" s="53"/>
      <c r="B1860" s="60"/>
      <c r="C1860" s="57">
        <f t="shared" si="136"/>
        <v>0</v>
      </c>
      <c r="D1860" s="56"/>
      <c r="E1860" s="57">
        <f>[1]DETAY!$A$2</f>
        <v>0</v>
      </c>
      <c r="F1860" s="90">
        <f t="shared" si="137"/>
        <v>0</v>
      </c>
      <c r="G1860" s="92">
        <f t="shared" si="138"/>
        <v>0</v>
      </c>
      <c r="H1860" s="62" t="e">
        <f t="shared" si="139"/>
        <v>#DIV/0!</v>
      </c>
      <c r="I1860" s="57"/>
      <c r="J1860" s="57"/>
      <c r="K1860" s="57"/>
      <c r="L1860" s="57"/>
      <c r="M1860" s="58"/>
      <c r="N1860" s="57"/>
      <c r="O1860" s="57"/>
      <c r="P1860" s="57"/>
      <c r="Q1860" s="57"/>
      <c r="R1860" s="57"/>
      <c r="S1860" s="61"/>
      <c r="T1860" s="57"/>
      <c r="U1860" s="57"/>
      <c r="V1860" s="57"/>
      <c r="W1860" s="57"/>
      <c r="X1860" s="57"/>
      <c r="Y1860" s="57"/>
      <c r="Z1860" s="57"/>
      <c r="AA1860" s="57"/>
      <c r="AB1860" s="57"/>
      <c r="AC1860" s="57"/>
      <c r="AD1860" s="57"/>
      <c r="AE1860" s="57"/>
      <c r="AF1860" s="57"/>
      <c r="AG1860" s="57"/>
      <c r="AH1860" s="57"/>
      <c r="AI1860" s="57"/>
      <c r="AJ1860" s="57"/>
      <c r="AK1860" s="57"/>
      <c r="AL1860" s="57"/>
      <c r="AM1860" s="57"/>
      <c r="AN1860" s="57"/>
      <c r="AO1860" s="57"/>
      <c r="AP1860" s="57"/>
      <c r="AQ1860" s="57"/>
      <c r="AR1860" s="57"/>
      <c r="AS1860" s="57"/>
      <c r="AT1860" s="57"/>
      <c r="AU1860" s="57"/>
      <c r="AV1860" s="57"/>
      <c r="AW1860" s="57"/>
      <c r="AX1860" s="57"/>
      <c r="AY1860" s="57"/>
      <c r="AZ1860" s="57"/>
      <c r="BA1860" s="57"/>
      <c r="BB1860" s="57"/>
      <c r="BC1860" s="57"/>
      <c r="BD1860" s="57"/>
      <c r="BE1860" s="57"/>
      <c r="BF1860" s="57"/>
    </row>
    <row r="1861" spans="1:58" x14ac:dyDescent="0.25">
      <c r="A1861" s="53"/>
      <c r="B1861" s="60"/>
      <c r="C1861" s="57">
        <f t="shared" si="136"/>
        <v>0</v>
      </c>
      <c r="D1861" s="56"/>
      <c r="E1861" s="57">
        <f>[1]DETAY!$A$2</f>
        <v>0</v>
      </c>
      <c r="F1861" s="90">
        <f t="shared" si="137"/>
        <v>0</v>
      </c>
      <c r="G1861" s="92">
        <f t="shared" si="138"/>
        <v>0</v>
      </c>
      <c r="H1861" s="62" t="e">
        <f t="shared" si="139"/>
        <v>#DIV/0!</v>
      </c>
      <c r="I1861" s="57"/>
      <c r="J1861" s="57"/>
      <c r="K1861" s="57"/>
      <c r="L1861" s="57"/>
      <c r="M1861" s="58"/>
      <c r="N1861" s="57"/>
      <c r="O1861" s="57"/>
      <c r="P1861" s="57"/>
      <c r="Q1861" s="57"/>
      <c r="R1861" s="57"/>
      <c r="S1861" s="61"/>
      <c r="T1861" s="57"/>
      <c r="U1861" s="57"/>
      <c r="V1861" s="57"/>
      <c r="W1861" s="57"/>
      <c r="X1861" s="57"/>
      <c r="Y1861" s="57"/>
      <c r="Z1861" s="57"/>
      <c r="AA1861" s="57"/>
      <c r="AB1861" s="57"/>
      <c r="AC1861" s="57"/>
      <c r="AD1861" s="57"/>
      <c r="AE1861" s="57"/>
      <c r="AF1861" s="57"/>
      <c r="AG1861" s="57"/>
      <c r="AH1861" s="57"/>
      <c r="AI1861" s="57"/>
      <c r="AJ1861" s="57"/>
      <c r="AK1861" s="57"/>
      <c r="AL1861" s="57"/>
      <c r="AM1861" s="57"/>
      <c r="AN1861" s="57"/>
      <c r="AO1861" s="57"/>
      <c r="AP1861" s="57"/>
      <c r="AQ1861" s="57"/>
      <c r="AR1861" s="57"/>
      <c r="AS1861" s="57"/>
      <c r="AT1861" s="57"/>
      <c r="AU1861" s="57"/>
      <c r="AV1861" s="57"/>
      <c r="AW1861" s="57"/>
      <c r="AX1861" s="57"/>
      <c r="AY1861" s="57"/>
      <c r="AZ1861" s="57"/>
      <c r="BA1861" s="57"/>
      <c r="BB1861" s="57"/>
      <c r="BC1861" s="57"/>
      <c r="BD1861" s="57"/>
      <c r="BE1861" s="57"/>
      <c r="BF1861" s="57"/>
    </row>
    <row r="1862" spans="1:58" x14ac:dyDescent="0.25">
      <c r="A1862" s="53"/>
      <c r="B1862" s="60"/>
      <c r="C1862" s="57">
        <f t="shared" si="136"/>
        <v>0</v>
      </c>
      <c r="D1862" s="56"/>
      <c r="E1862" s="57">
        <f>[1]DETAY!$A$2</f>
        <v>0</v>
      </c>
      <c r="F1862" s="90">
        <f t="shared" si="137"/>
        <v>0</v>
      </c>
      <c r="G1862" s="92">
        <f t="shared" si="138"/>
        <v>0</v>
      </c>
      <c r="H1862" s="62" t="e">
        <f t="shared" si="139"/>
        <v>#DIV/0!</v>
      </c>
      <c r="I1862" s="57"/>
      <c r="J1862" s="57"/>
      <c r="K1862" s="57"/>
      <c r="L1862" s="57"/>
      <c r="M1862" s="58"/>
      <c r="N1862" s="57"/>
      <c r="O1862" s="57"/>
      <c r="P1862" s="57"/>
      <c r="Q1862" s="57"/>
      <c r="R1862" s="57"/>
      <c r="S1862" s="61"/>
      <c r="T1862" s="57"/>
      <c r="U1862" s="57"/>
      <c r="V1862" s="57"/>
      <c r="W1862" s="57"/>
      <c r="X1862" s="57"/>
      <c r="Y1862" s="57"/>
      <c r="Z1862" s="57"/>
      <c r="AA1862" s="57"/>
      <c r="AB1862" s="57"/>
      <c r="AC1862" s="57"/>
      <c r="AD1862" s="57"/>
      <c r="AE1862" s="57"/>
      <c r="AF1862" s="57"/>
      <c r="AG1862" s="57"/>
      <c r="AH1862" s="57"/>
      <c r="AI1862" s="57"/>
      <c r="AJ1862" s="57"/>
      <c r="AK1862" s="57"/>
      <c r="AL1862" s="57"/>
      <c r="AM1862" s="57"/>
      <c r="AN1862" s="57"/>
      <c r="AO1862" s="57"/>
      <c r="AP1862" s="57"/>
      <c r="AQ1862" s="57"/>
      <c r="AR1862" s="57"/>
      <c r="AS1862" s="57"/>
      <c r="AT1862" s="57"/>
      <c r="AU1862" s="57"/>
      <c r="AV1862" s="57"/>
      <c r="AW1862" s="57"/>
      <c r="AX1862" s="57"/>
      <c r="AY1862" s="57"/>
      <c r="AZ1862" s="57"/>
      <c r="BA1862" s="57"/>
      <c r="BB1862" s="57"/>
      <c r="BC1862" s="57"/>
      <c r="BD1862" s="57"/>
      <c r="BE1862" s="57"/>
      <c r="BF1862" s="57"/>
    </row>
    <row r="1863" spans="1:58" x14ac:dyDescent="0.25">
      <c r="A1863" s="53"/>
      <c r="B1863" s="60"/>
      <c r="C1863" s="57">
        <f t="shared" si="136"/>
        <v>0</v>
      </c>
      <c r="D1863" s="56"/>
      <c r="E1863" s="57">
        <f>[1]DETAY!$A$2</f>
        <v>0</v>
      </c>
      <c r="F1863" s="90">
        <f t="shared" si="137"/>
        <v>0</v>
      </c>
      <c r="G1863" s="92">
        <f t="shared" si="138"/>
        <v>0</v>
      </c>
      <c r="H1863" s="62" t="e">
        <f t="shared" si="139"/>
        <v>#DIV/0!</v>
      </c>
      <c r="I1863" s="57"/>
      <c r="J1863" s="57"/>
      <c r="K1863" s="57"/>
      <c r="L1863" s="57"/>
      <c r="M1863" s="58"/>
      <c r="N1863" s="57"/>
      <c r="O1863" s="57"/>
      <c r="P1863" s="57"/>
      <c r="Q1863" s="57"/>
      <c r="R1863" s="57"/>
      <c r="S1863" s="61"/>
      <c r="T1863" s="57"/>
      <c r="U1863" s="57"/>
      <c r="V1863" s="57"/>
      <c r="W1863" s="57"/>
      <c r="X1863" s="57"/>
      <c r="Y1863" s="57"/>
      <c r="Z1863" s="57"/>
      <c r="AA1863" s="57"/>
      <c r="AB1863" s="57"/>
      <c r="AC1863" s="57"/>
      <c r="AD1863" s="57"/>
      <c r="AE1863" s="57"/>
      <c r="AF1863" s="57"/>
      <c r="AG1863" s="57"/>
      <c r="AH1863" s="57"/>
      <c r="AI1863" s="57"/>
      <c r="AJ1863" s="57"/>
      <c r="AK1863" s="57"/>
      <c r="AL1863" s="57"/>
      <c r="AM1863" s="57"/>
      <c r="AN1863" s="57"/>
      <c r="AO1863" s="57"/>
      <c r="AP1863" s="57"/>
      <c r="AQ1863" s="57"/>
      <c r="AR1863" s="57"/>
      <c r="AS1863" s="57"/>
      <c r="AT1863" s="57"/>
      <c r="AU1863" s="57"/>
      <c r="AV1863" s="57"/>
      <c r="AW1863" s="57"/>
      <c r="AX1863" s="57"/>
      <c r="AY1863" s="57"/>
      <c r="AZ1863" s="57"/>
      <c r="BA1863" s="57"/>
      <c r="BB1863" s="57"/>
      <c r="BC1863" s="57"/>
      <c r="BD1863" s="57"/>
      <c r="BE1863" s="57"/>
      <c r="BF1863" s="57"/>
    </row>
    <row r="1864" spans="1:58" x14ac:dyDescent="0.25">
      <c r="A1864" s="53"/>
      <c r="B1864" s="60"/>
      <c r="C1864" s="57">
        <f t="shared" ref="C1864:C1927" si="140">WEEKNUM(B1864)</f>
        <v>0</v>
      </c>
      <c r="D1864" s="56"/>
      <c r="E1864" s="57">
        <f>[1]DETAY!$A$2</f>
        <v>0</v>
      </c>
      <c r="F1864" s="90">
        <f t="shared" ref="F1864:F1927" si="141">D1864-G1864</f>
        <v>0</v>
      </c>
      <c r="G1864" s="92">
        <f t="shared" ref="G1864:G1927" si="142">SUBTOTAL(9,I1864:BD1864)</f>
        <v>0</v>
      </c>
      <c r="H1864" s="62" t="e">
        <f t="shared" ref="H1864:H1927" si="143">F1864/D1864</f>
        <v>#DIV/0!</v>
      </c>
      <c r="I1864" s="57"/>
      <c r="J1864" s="57"/>
      <c r="K1864" s="57"/>
      <c r="L1864" s="57"/>
      <c r="M1864" s="58"/>
      <c r="N1864" s="57"/>
      <c r="O1864" s="57"/>
      <c r="P1864" s="57"/>
      <c r="Q1864" s="57"/>
      <c r="R1864" s="57"/>
      <c r="S1864" s="61"/>
      <c r="T1864" s="57"/>
      <c r="U1864" s="57"/>
      <c r="V1864" s="57"/>
      <c r="W1864" s="57"/>
      <c r="X1864" s="57"/>
      <c r="Y1864" s="57"/>
      <c r="Z1864" s="57"/>
      <c r="AA1864" s="57"/>
      <c r="AB1864" s="57"/>
      <c r="AC1864" s="57"/>
      <c r="AD1864" s="57"/>
      <c r="AE1864" s="57"/>
      <c r="AF1864" s="57"/>
      <c r="AG1864" s="57"/>
      <c r="AH1864" s="57"/>
      <c r="AI1864" s="57"/>
      <c r="AJ1864" s="57"/>
      <c r="AK1864" s="57"/>
      <c r="AL1864" s="57"/>
      <c r="AM1864" s="57"/>
      <c r="AN1864" s="57"/>
      <c r="AO1864" s="57"/>
      <c r="AP1864" s="57"/>
      <c r="AQ1864" s="57"/>
      <c r="AR1864" s="57"/>
      <c r="AS1864" s="57"/>
      <c r="AT1864" s="57"/>
      <c r="AU1864" s="57"/>
      <c r="AV1864" s="57"/>
      <c r="AW1864" s="57"/>
      <c r="AX1864" s="57"/>
      <c r="AY1864" s="57"/>
      <c r="AZ1864" s="57"/>
      <c r="BA1864" s="57"/>
      <c r="BB1864" s="57"/>
      <c r="BC1864" s="57"/>
      <c r="BD1864" s="57"/>
      <c r="BE1864" s="57"/>
      <c r="BF1864" s="57"/>
    </row>
    <row r="1865" spans="1:58" x14ac:dyDescent="0.25">
      <c r="A1865" s="53"/>
      <c r="B1865" s="60"/>
      <c r="C1865" s="57">
        <f t="shared" si="140"/>
        <v>0</v>
      </c>
      <c r="D1865" s="56"/>
      <c r="E1865" s="57">
        <f>[1]DETAY!$A$2</f>
        <v>0</v>
      </c>
      <c r="F1865" s="90">
        <f t="shared" si="141"/>
        <v>0</v>
      </c>
      <c r="G1865" s="92">
        <f t="shared" si="142"/>
        <v>0</v>
      </c>
      <c r="H1865" s="62" t="e">
        <f t="shared" si="143"/>
        <v>#DIV/0!</v>
      </c>
      <c r="I1865" s="57"/>
      <c r="J1865" s="57"/>
      <c r="K1865" s="57"/>
      <c r="L1865" s="57"/>
      <c r="M1865" s="58"/>
      <c r="N1865" s="57"/>
      <c r="O1865" s="57"/>
      <c r="P1865" s="57"/>
      <c r="Q1865" s="57"/>
      <c r="R1865" s="57"/>
      <c r="S1865" s="61"/>
      <c r="T1865" s="57"/>
      <c r="U1865" s="57"/>
      <c r="V1865" s="57"/>
      <c r="W1865" s="57"/>
      <c r="X1865" s="57"/>
      <c r="Y1865" s="57"/>
      <c r="Z1865" s="57"/>
      <c r="AA1865" s="57"/>
      <c r="AB1865" s="57"/>
      <c r="AC1865" s="57"/>
      <c r="AD1865" s="57"/>
      <c r="AE1865" s="57"/>
      <c r="AF1865" s="57"/>
      <c r="AG1865" s="57"/>
      <c r="AH1865" s="57"/>
      <c r="AI1865" s="57"/>
      <c r="AJ1865" s="57"/>
      <c r="AK1865" s="57"/>
      <c r="AL1865" s="57"/>
      <c r="AM1865" s="57"/>
      <c r="AN1865" s="57"/>
      <c r="AO1865" s="57"/>
      <c r="AP1865" s="57"/>
      <c r="AQ1865" s="57"/>
      <c r="AR1865" s="57"/>
      <c r="AS1865" s="57"/>
      <c r="AT1865" s="57"/>
      <c r="AU1865" s="57"/>
      <c r="AV1865" s="57"/>
      <c r="AW1865" s="57"/>
      <c r="AX1865" s="57"/>
      <c r="AY1865" s="57"/>
      <c r="AZ1865" s="57"/>
      <c r="BA1865" s="57"/>
      <c r="BB1865" s="57"/>
      <c r="BC1865" s="57"/>
      <c r="BD1865" s="57"/>
      <c r="BE1865" s="57"/>
      <c r="BF1865" s="57"/>
    </row>
    <row r="1866" spans="1:58" x14ac:dyDescent="0.25">
      <c r="A1866" s="53"/>
      <c r="B1866" s="60"/>
      <c r="C1866" s="57">
        <f t="shared" si="140"/>
        <v>0</v>
      </c>
      <c r="D1866" s="56"/>
      <c r="E1866" s="57">
        <f>[1]DETAY!$A$2</f>
        <v>0</v>
      </c>
      <c r="F1866" s="90">
        <f t="shared" si="141"/>
        <v>0</v>
      </c>
      <c r="G1866" s="92">
        <f t="shared" si="142"/>
        <v>0</v>
      </c>
      <c r="H1866" s="62" t="e">
        <f t="shared" si="143"/>
        <v>#DIV/0!</v>
      </c>
      <c r="I1866" s="57"/>
      <c r="J1866" s="57"/>
      <c r="K1866" s="57"/>
      <c r="L1866" s="57"/>
      <c r="M1866" s="58"/>
      <c r="N1866" s="57"/>
      <c r="O1866" s="57"/>
      <c r="P1866" s="57"/>
      <c r="Q1866" s="57"/>
      <c r="R1866" s="57"/>
      <c r="S1866" s="61"/>
      <c r="T1866" s="57"/>
      <c r="U1866" s="57"/>
      <c r="V1866" s="57"/>
      <c r="W1866" s="57"/>
      <c r="X1866" s="57"/>
      <c r="Y1866" s="57"/>
      <c r="Z1866" s="57"/>
      <c r="AA1866" s="57"/>
      <c r="AB1866" s="57"/>
      <c r="AC1866" s="57"/>
      <c r="AD1866" s="57"/>
      <c r="AE1866" s="57"/>
      <c r="AF1866" s="57"/>
      <c r="AG1866" s="57"/>
      <c r="AH1866" s="57"/>
      <c r="AI1866" s="57"/>
      <c r="AJ1866" s="57"/>
      <c r="AK1866" s="57"/>
      <c r="AL1866" s="57"/>
      <c r="AM1866" s="57"/>
      <c r="AN1866" s="57"/>
      <c r="AO1866" s="57"/>
      <c r="AP1866" s="57"/>
      <c r="AQ1866" s="57"/>
      <c r="AR1866" s="57"/>
      <c r="AS1866" s="57"/>
      <c r="AT1866" s="57"/>
      <c r="AU1866" s="57"/>
      <c r="AV1866" s="57"/>
      <c r="AW1866" s="57"/>
      <c r="AX1866" s="57"/>
      <c r="AY1866" s="57"/>
      <c r="AZ1866" s="57"/>
      <c r="BA1866" s="57"/>
      <c r="BB1866" s="57"/>
      <c r="BC1866" s="57"/>
      <c r="BD1866" s="57"/>
      <c r="BE1866" s="57"/>
      <c r="BF1866" s="57"/>
    </row>
    <row r="1867" spans="1:58" x14ac:dyDescent="0.25">
      <c r="A1867" s="53"/>
      <c r="B1867" s="60"/>
      <c r="C1867" s="57">
        <f t="shared" si="140"/>
        <v>0</v>
      </c>
      <c r="D1867" s="56"/>
      <c r="E1867" s="57">
        <f>[1]DETAY!$A$2</f>
        <v>0</v>
      </c>
      <c r="F1867" s="90">
        <f t="shared" si="141"/>
        <v>0</v>
      </c>
      <c r="G1867" s="92">
        <f t="shared" si="142"/>
        <v>0</v>
      </c>
      <c r="H1867" s="62" t="e">
        <f t="shared" si="143"/>
        <v>#DIV/0!</v>
      </c>
      <c r="I1867" s="57"/>
      <c r="J1867" s="57"/>
      <c r="K1867" s="57"/>
      <c r="L1867" s="57"/>
      <c r="M1867" s="58"/>
      <c r="N1867" s="57"/>
      <c r="O1867" s="57"/>
      <c r="P1867" s="57"/>
      <c r="Q1867" s="57"/>
      <c r="R1867" s="57"/>
      <c r="S1867" s="61"/>
      <c r="T1867" s="57"/>
      <c r="U1867" s="57"/>
      <c r="V1867" s="57"/>
      <c r="W1867" s="57"/>
      <c r="X1867" s="57"/>
      <c r="Y1867" s="57"/>
      <c r="Z1867" s="57"/>
      <c r="AA1867" s="57"/>
      <c r="AB1867" s="57"/>
      <c r="AC1867" s="57"/>
      <c r="AD1867" s="57"/>
      <c r="AE1867" s="57"/>
      <c r="AF1867" s="57"/>
      <c r="AG1867" s="57"/>
      <c r="AH1867" s="57"/>
      <c r="AI1867" s="57"/>
      <c r="AJ1867" s="57"/>
      <c r="AK1867" s="57"/>
      <c r="AL1867" s="57"/>
      <c r="AM1867" s="57"/>
      <c r="AN1867" s="57"/>
      <c r="AO1867" s="57"/>
      <c r="AP1867" s="57"/>
      <c r="AQ1867" s="57"/>
      <c r="AR1867" s="57"/>
      <c r="AS1867" s="57"/>
      <c r="AT1867" s="57"/>
      <c r="AU1867" s="57"/>
      <c r="AV1867" s="57"/>
      <c r="AW1867" s="57"/>
      <c r="AX1867" s="57"/>
      <c r="AY1867" s="57"/>
      <c r="AZ1867" s="57"/>
      <c r="BA1867" s="57"/>
      <c r="BB1867" s="57"/>
      <c r="BC1867" s="57"/>
      <c r="BD1867" s="57"/>
      <c r="BE1867" s="57"/>
      <c r="BF1867" s="57"/>
    </row>
    <row r="1868" spans="1:58" x14ac:dyDescent="0.25">
      <c r="A1868" s="53"/>
      <c r="B1868" s="60"/>
      <c r="C1868" s="57">
        <f t="shared" si="140"/>
        <v>0</v>
      </c>
      <c r="D1868" s="56"/>
      <c r="E1868" s="57">
        <f>[1]DETAY!$A$2</f>
        <v>0</v>
      </c>
      <c r="F1868" s="90">
        <f t="shared" si="141"/>
        <v>0</v>
      </c>
      <c r="G1868" s="92">
        <f t="shared" si="142"/>
        <v>0</v>
      </c>
      <c r="H1868" s="62" t="e">
        <f t="shared" si="143"/>
        <v>#DIV/0!</v>
      </c>
      <c r="I1868" s="57"/>
      <c r="J1868" s="57"/>
      <c r="K1868" s="57"/>
      <c r="L1868" s="57"/>
      <c r="M1868" s="58"/>
      <c r="N1868" s="57"/>
      <c r="O1868" s="57"/>
      <c r="P1868" s="57"/>
      <c r="Q1868" s="57"/>
      <c r="R1868" s="57"/>
      <c r="S1868" s="61"/>
      <c r="T1868" s="57"/>
      <c r="U1868" s="57"/>
      <c r="V1868" s="57"/>
      <c r="W1868" s="57"/>
      <c r="X1868" s="57"/>
      <c r="Y1868" s="57"/>
      <c r="Z1868" s="57"/>
      <c r="AA1868" s="57"/>
      <c r="AB1868" s="57"/>
      <c r="AC1868" s="57"/>
      <c r="AD1868" s="57"/>
      <c r="AE1868" s="57"/>
      <c r="AF1868" s="57"/>
      <c r="AG1868" s="57"/>
      <c r="AH1868" s="57"/>
      <c r="AI1868" s="57"/>
      <c r="AJ1868" s="57"/>
      <c r="AK1868" s="57"/>
      <c r="AL1868" s="57"/>
      <c r="AM1868" s="57"/>
      <c r="AN1868" s="57"/>
      <c r="AO1868" s="57"/>
      <c r="AP1868" s="57"/>
      <c r="AQ1868" s="57"/>
      <c r="AR1868" s="57"/>
      <c r="AS1868" s="57"/>
      <c r="AT1868" s="57"/>
      <c r="AU1868" s="57"/>
      <c r="AV1868" s="57"/>
      <c r="AW1868" s="57"/>
      <c r="AX1868" s="57"/>
      <c r="AY1868" s="57"/>
      <c r="AZ1868" s="57"/>
      <c r="BA1868" s="57"/>
      <c r="BB1868" s="57"/>
      <c r="BC1868" s="57"/>
      <c r="BD1868" s="57"/>
      <c r="BE1868" s="57"/>
      <c r="BF1868" s="57"/>
    </row>
    <row r="1869" spans="1:58" x14ac:dyDescent="0.25">
      <c r="A1869" s="53"/>
      <c r="B1869" s="60"/>
      <c r="C1869" s="57">
        <f t="shared" si="140"/>
        <v>0</v>
      </c>
      <c r="D1869" s="56"/>
      <c r="E1869" s="57">
        <f>[1]DETAY!$A$2</f>
        <v>0</v>
      </c>
      <c r="F1869" s="90">
        <f t="shared" si="141"/>
        <v>0</v>
      </c>
      <c r="G1869" s="92">
        <f t="shared" si="142"/>
        <v>0</v>
      </c>
      <c r="H1869" s="62" t="e">
        <f t="shared" si="143"/>
        <v>#DIV/0!</v>
      </c>
      <c r="I1869" s="57"/>
      <c r="J1869" s="57"/>
      <c r="K1869" s="57"/>
      <c r="L1869" s="57"/>
      <c r="M1869" s="58"/>
      <c r="N1869" s="57"/>
      <c r="O1869" s="57"/>
      <c r="P1869" s="57"/>
      <c r="Q1869" s="57"/>
      <c r="R1869" s="57"/>
      <c r="S1869" s="61"/>
      <c r="T1869" s="57"/>
      <c r="U1869" s="57"/>
      <c r="V1869" s="57"/>
      <c r="W1869" s="57"/>
      <c r="X1869" s="57"/>
      <c r="Y1869" s="57"/>
      <c r="Z1869" s="57"/>
      <c r="AA1869" s="57"/>
      <c r="AB1869" s="57"/>
      <c r="AC1869" s="57"/>
      <c r="AD1869" s="57"/>
      <c r="AE1869" s="57"/>
      <c r="AF1869" s="57"/>
      <c r="AG1869" s="57"/>
      <c r="AH1869" s="57"/>
      <c r="AI1869" s="57"/>
      <c r="AJ1869" s="57"/>
      <c r="AK1869" s="57"/>
      <c r="AL1869" s="57"/>
      <c r="AM1869" s="57"/>
      <c r="AN1869" s="57"/>
      <c r="AO1869" s="57"/>
      <c r="AP1869" s="57"/>
      <c r="AQ1869" s="57"/>
      <c r="AR1869" s="57"/>
      <c r="AS1869" s="57"/>
      <c r="AT1869" s="57"/>
      <c r="AU1869" s="57"/>
      <c r="AV1869" s="57"/>
      <c r="AW1869" s="57"/>
      <c r="AX1869" s="57"/>
      <c r="AY1869" s="57"/>
      <c r="AZ1869" s="57"/>
      <c r="BA1869" s="57"/>
      <c r="BB1869" s="57"/>
      <c r="BC1869" s="57"/>
      <c r="BD1869" s="57"/>
      <c r="BE1869" s="57"/>
      <c r="BF1869" s="57"/>
    </row>
    <row r="1870" spans="1:58" x14ac:dyDescent="0.25">
      <c r="A1870" s="53"/>
      <c r="B1870" s="60"/>
      <c r="C1870" s="57">
        <f t="shared" si="140"/>
        <v>0</v>
      </c>
      <c r="D1870" s="56"/>
      <c r="E1870" s="57">
        <f>[1]DETAY!$A$2</f>
        <v>0</v>
      </c>
      <c r="F1870" s="90">
        <f t="shared" si="141"/>
        <v>0</v>
      </c>
      <c r="G1870" s="92">
        <f t="shared" si="142"/>
        <v>0</v>
      </c>
      <c r="H1870" s="62" t="e">
        <f t="shared" si="143"/>
        <v>#DIV/0!</v>
      </c>
      <c r="I1870" s="57"/>
      <c r="J1870" s="57"/>
      <c r="K1870" s="57"/>
      <c r="L1870" s="57"/>
      <c r="M1870" s="58"/>
      <c r="N1870" s="57"/>
      <c r="O1870" s="57"/>
      <c r="P1870" s="57"/>
      <c r="Q1870" s="57"/>
      <c r="R1870" s="57"/>
      <c r="S1870" s="61"/>
      <c r="T1870" s="57"/>
      <c r="U1870" s="57"/>
      <c r="V1870" s="57"/>
      <c r="W1870" s="57"/>
      <c r="X1870" s="57"/>
      <c r="Y1870" s="57"/>
      <c r="Z1870" s="57"/>
      <c r="AA1870" s="57"/>
      <c r="AB1870" s="57"/>
      <c r="AC1870" s="57"/>
      <c r="AD1870" s="57"/>
      <c r="AE1870" s="57"/>
      <c r="AF1870" s="57"/>
      <c r="AG1870" s="57"/>
      <c r="AH1870" s="57"/>
      <c r="AI1870" s="57"/>
      <c r="AJ1870" s="57"/>
      <c r="AK1870" s="57"/>
      <c r="AL1870" s="57"/>
      <c r="AM1870" s="57"/>
      <c r="AN1870" s="57"/>
      <c r="AO1870" s="57"/>
      <c r="AP1870" s="57"/>
      <c r="AQ1870" s="57"/>
      <c r="AR1870" s="57"/>
      <c r="AS1870" s="57"/>
      <c r="AT1870" s="57"/>
      <c r="AU1870" s="57"/>
      <c r="AV1870" s="57"/>
      <c r="AW1870" s="57"/>
      <c r="AX1870" s="57"/>
      <c r="AY1870" s="57"/>
      <c r="AZ1870" s="57"/>
      <c r="BA1870" s="57"/>
      <c r="BB1870" s="57"/>
      <c r="BC1870" s="57"/>
      <c r="BD1870" s="57"/>
      <c r="BE1870" s="57"/>
      <c r="BF1870" s="57"/>
    </row>
    <row r="1871" spans="1:58" x14ac:dyDescent="0.25">
      <c r="A1871" s="53"/>
      <c r="B1871" s="60"/>
      <c r="C1871" s="57">
        <f t="shared" si="140"/>
        <v>0</v>
      </c>
      <c r="D1871" s="56"/>
      <c r="E1871" s="57">
        <f>[1]DETAY!$A$2</f>
        <v>0</v>
      </c>
      <c r="F1871" s="90">
        <f t="shared" si="141"/>
        <v>0</v>
      </c>
      <c r="G1871" s="92">
        <f t="shared" si="142"/>
        <v>0</v>
      </c>
      <c r="H1871" s="62" t="e">
        <f t="shared" si="143"/>
        <v>#DIV/0!</v>
      </c>
      <c r="I1871" s="57"/>
      <c r="J1871" s="57"/>
      <c r="K1871" s="57"/>
      <c r="L1871" s="57"/>
      <c r="M1871" s="58"/>
      <c r="N1871" s="57"/>
      <c r="O1871" s="57"/>
      <c r="P1871" s="57"/>
      <c r="Q1871" s="57"/>
      <c r="R1871" s="57"/>
      <c r="S1871" s="61"/>
      <c r="T1871" s="57"/>
      <c r="U1871" s="57"/>
      <c r="V1871" s="57"/>
      <c r="W1871" s="57"/>
      <c r="X1871" s="57"/>
      <c r="Y1871" s="57"/>
      <c r="Z1871" s="57"/>
      <c r="AA1871" s="57"/>
      <c r="AB1871" s="57"/>
      <c r="AC1871" s="57"/>
      <c r="AD1871" s="57"/>
      <c r="AE1871" s="57"/>
      <c r="AF1871" s="57"/>
      <c r="AG1871" s="57"/>
      <c r="AH1871" s="57"/>
      <c r="AI1871" s="57"/>
      <c r="AJ1871" s="57"/>
      <c r="AK1871" s="57"/>
      <c r="AL1871" s="57"/>
      <c r="AM1871" s="57"/>
      <c r="AN1871" s="57"/>
      <c r="AO1871" s="57"/>
      <c r="AP1871" s="57"/>
      <c r="AQ1871" s="57"/>
      <c r="AR1871" s="57"/>
      <c r="AS1871" s="57"/>
      <c r="AT1871" s="57"/>
      <c r="AU1871" s="57"/>
      <c r="AV1871" s="57"/>
      <c r="AW1871" s="57"/>
      <c r="AX1871" s="57"/>
      <c r="AY1871" s="57"/>
      <c r="AZ1871" s="57"/>
      <c r="BA1871" s="57"/>
      <c r="BB1871" s="57"/>
      <c r="BC1871" s="57"/>
      <c r="BD1871" s="57"/>
      <c r="BE1871" s="57"/>
      <c r="BF1871" s="57"/>
    </row>
    <row r="1872" spans="1:58" x14ac:dyDescent="0.25">
      <c r="A1872" s="53"/>
      <c r="B1872" s="60"/>
      <c r="C1872" s="57">
        <f t="shared" si="140"/>
        <v>0</v>
      </c>
      <c r="D1872" s="56"/>
      <c r="E1872" s="57">
        <f>[1]DETAY!$A$2</f>
        <v>0</v>
      </c>
      <c r="F1872" s="90">
        <f t="shared" si="141"/>
        <v>0</v>
      </c>
      <c r="G1872" s="92">
        <f t="shared" si="142"/>
        <v>0</v>
      </c>
      <c r="H1872" s="62" t="e">
        <f t="shared" si="143"/>
        <v>#DIV/0!</v>
      </c>
      <c r="I1872" s="57"/>
      <c r="J1872" s="57"/>
      <c r="K1872" s="57"/>
      <c r="L1872" s="57"/>
      <c r="M1872" s="58"/>
      <c r="N1872" s="57"/>
      <c r="O1872" s="57"/>
      <c r="P1872" s="57"/>
      <c r="Q1872" s="57"/>
      <c r="R1872" s="57"/>
      <c r="S1872" s="61"/>
      <c r="T1872" s="57"/>
      <c r="U1872" s="57"/>
      <c r="V1872" s="57"/>
      <c r="W1872" s="57"/>
      <c r="X1872" s="57"/>
      <c r="Y1872" s="57"/>
      <c r="Z1872" s="57"/>
      <c r="AA1872" s="57"/>
      <c r="AB1872" s="57"/>
      <c r="AC1872" s="57"/>
      <c r="AD1872" s="57"/>
      <c r="AE1872" s="57"/>
      <c r="AF1872" s="57"/>
      <c r="AG1872" s="57"/>
      <c r="AH1872" s="57"/>
      <c r="AI1872" s="57"/>
      <c r="AJ1872" s="57"/>
      <c r="AK1872" s="57"/>
      <c r="AL1872" s="57"/>
      <c r="AM1872" s="57"/>
      <c r="AN1872" s="57"/>
      <c r="AO1872" s="57"/>
      <c r="AP1872" s="57"/>
      <c r="AQ1872" s="57"/>
      <c r="AR1872" s="57"/>
      <c r="AS1872" s="57"/>
      <c r="AT1872" s="57"/>
      <c r="AU1872" s="57"/>
      <c r="AV1872" s="57"/>
      <c r="AW1872" s="57"/>
      <c r="AX1872" s="57"/>
      <c r="AY1872" s="57"/>
      <c r="AZ1872" s="57"/>
      <c r="BA1872" s="57"/>
      <c r="BB1872" s="57"/>
      <c r="BC1872" s="57"/>
      <c r="BD1872" s="57"/>
      <c r="BE1872" s="57"/>
      <c r="BF1872" s="57"/>
    </row>
    <row r="1873" spans="1:58" x14ac:dyDescent="0.25">
      <c r="A1873" s="53"/>
      <c r="B1873" s="60"/>
      <c r="C1873" s="57">
        <f t="shared" si="140"/>
        <v>0</v>
      </c>
      <c r="D1873" s="56"/>
      <c r="E1873" s="57">
        <f>[1]DETAY!$A$2</f>
        <v>0</v>
      </c>
      <c r="F1873" s="90">
        <f t="shared" si="141"/>
        <v>0</v>
      </c>
      <c r="G1873" s="92">
        <f t="shared" si="142"/>
        <v>0</v>
      </c>
      <c r="H1873" s="62" t="e">
        <f t="shared" si="143"/>
        <v>#DIV/0!</v>
      </c>
      <c r="I1873" s="57"/>
      <c r="J1873" s="57"/>
      <c r="K1873" s="57"/>
      <c r="L1873" s="57"/>
      <c r="M1873" s="58"/>
      <c r="N1873" s="57"/>
      <c r="O1873" s="57"/>
      <c r="P1873" s="57"/>
      <c r="Q1873" s="57"/>
      <c r="R1873" s="57"/>
      <c r="S1873" s="61"/>
      <c r="T1873" s="57"/>
      <c r="U1873" s="57"/>
      <c r="V1873" s="57"/>
      <c r="W1873" s="57"/>
      <c r="X1873" s="57"/>
      <c r="Y1873" s="57"/>
      <c r="Z1873" s="57"/>
      <c r="AA1873" s="57"/>
      <c r="AB1873" s="57"/>
      <c r="AC1873" s="57"/>
      <c r="AD1873" s="57"/>
      <c r="AE1873" s="57"/>
      <c r="AF1873" s="57"/>
      <c r="AG1873" s="57"/>
      <c r="AH1873" s="57"/>
      <c r="AI1873" s="57"/>
      <c r="AJ1873" s="57"/>
      <c r="AK1873" s="57"/>
      <c r="AL1873" s="57"/>
      <c r="AM1873" s="57"/>
      <c r="AN1873" s="57"/>
      <c r="AO1873" s="57"/>
      <c r="AP1873" s="57"/>
      <c r="AQ1873" s="57"/>
      <c r="AR1873" s="57"/>
      <c r="AS1873" s="57"/>
      <c r="AT1873" s="57"/>
      <c r="AU1873" s="57"/>
      <c r="AV1873" s="57"/>
      <c r="AW1873" s="57"/>
      <c r="AX1873" s="57"/>
      <c r="AY1873" s="57"/>
      <c r="AZ1873" s="57"/>
      <c r="BA1873" s="57"/>
      <c r="BB1873" s="57"/>
      <c r="BC1873" s="57"/>
      <c r="BD1873" s="57"/>
      <c r="BE1873" s="57"/>
      <c r="BF1873" s="57"/>
    </row>
    <row r="1874" spans="1:58" x14ac:dyDescent="0.25">
      <c r="A1874" s="53"/>
      <c r="B1874" s="60"/>
      <c r="C1874" s="57">
        <f t="shared" si="140"/>
        <v>0</v>
      </c>
      <c r="D1874" s="56"/>
      <c r="E1874" s="57">
        <f>[1]DETAY!$A$2</f>
        <v>0</v>
      </c>
      <c r="F1874" s="90">
        <f t="shared" si="141"/>
        <v>0</v>
      </c>
      <c r="G1874" s="92">
        <f t="shared" si="142"/>
        <v>0</v>
      </c>
      <c r="H1874" s="62" t="e">
        <f t="shared" si="143"/>
        <v>#DIV/0!</v>
      </c>
      <c r="I1874" s="57"/>
      <c r="J1874" s="57"/>
      <c r="K1874" s="57"/>
      <c r="L1874" s="57"/>
      <c r="M1874" s="58"/>
      <c r="N1874" s="57"/>
      <c r="O1874" s="57"/>
      <c r="P1874" s="57"/>
      <c r="Q1874" s="57"/>
      <c r="R1874" s="57"/>
      <c r="S1874" s="61"/>
      <c r="T1874" s="57"/>
      <c r="U1874" s="57"/>
      <c r="V1874" s="57"/>
      <c r="W1874" s="57"/>
      <c r="X1874" s="57"/>
      <c r="Y1874" s="57"/>
      <c r="Z1874" s="57"/>
      <c r="AA1874" s="57"/>
      <c r="AB1874" s="57"/>
      <c r="AC1874" s="57"/>
      <c r="AD1874" s="57"/>
      <c r="AE1874" s="57"/>
      <c r="AF1874" s="57"/>
      <c r="AG1874" s="57"/>
      <c r="AH1874" s="57"/>
      <c r="AI1874" s="57"/>
      <c r="AJ1874" s="57"/>
      <c r="AK1874" s="57"/>
      <c r="AL1874" s="57"/>
      <c r="AM1874" s="57"/>
      <c r="AN1874" s="57"/>
      <c r="AO1874" s="57"/>
      <c r="AP1874" s="57"/>
      <c r="AQ1874" s="57"/>
      <c r="AR1874" s="57"/>
      <c r="AS1874" s="57"/>
      <c r="AT1874" s="57"/>
      <c r="AU1874" s="57"/>
      <c r="AV1874" s="57"/>
      <c r="AW1874" s="57"/>
      <c r="AX1874" s="57"/>
      <c r="AY1874" s="57"/>
      <c r="AZ1874" s="57"/>
      <c r="BA1874" s="57"/>
      <c r="BB1874" s="57"/>
      <c r="BC1874" s="57"/>
      <c r="BD1874" s="57"/>
      <c r="BE1874" s="57"/>
      <c r="BF1874" s="57"/>
    </row>
    <row r="1875" spans="1:58" x14ac:dyDescent="0.25">
      <c r="A1875" s="53"/>
      <c r="B1875" s="60"/>
      <c r="C1875" s="57">
        <f t="shared" si="140"/>
        <v>0</v>
      </c>
      <c r="D1875" s="56"/>
      <c r="E1875" s="57">
        <f>[1]DETAY!$A$2</f>
        <v>0</v>
      </c>
      <c r="F1875" s="90">
        <f t="shared" si="141"/>
        <v>0</v>
      </c>
      <c r="G1875" s="92">
        <f t="shared" si="142"/>
        <v>0</v>
      </c>
      <c r="H1875" s="62" t="e">
        <f t="shared" si="143"/>
        <v>#DIV/0!</v>
      </c>
      <c r="I1875" s="57"/>
      <c r="J1875" s="57"/>
      <c r="K1875" s="57"/>
      <c r="L1875" s="57"/>
      <c r="M1875" s="58"/>
      <c r="N1875" s="57"/>
      <c r="O1875" s="57"/>
      <c r="P1875" s="57"/>
      <c r="Q1875" s="57"/>
      <c r="R1875" s="57"/>
      <c r="S1875" s="61"/>
      <c r="T1875" s="57"/>
      <c r="U1875" s="57"/>
      <c r="V1875" s="57"/>
      <c r="W1875" s="57"/>
      <c r="X1875" s="57"/>
      <c r="Y1875" s="57"/>
      <c r="Z1875" s="57"/>
      <c r="AA1875" s="57"/>
      <c r="AB1875" s="57"/>
      <c r="AC1875" s="57"/>
      <c r="AD1875" s="57"/>
      <c r="AE1875" s="57"/>
      <c r="AF1875" s="57"/>
      <c r="AG1875" s="57"/>
      <c r="AH1875" s="57"/>
      <c r="AI1875" s="57"/>
      <c r="AJ1875" s="57"/>
      <c r="AK1875" s="57"/>
      <c r="AL1875" s="57"/>
      <c r="AM1875" s="57"/>
      <c r="AN1875" s="57"/>
      <c r="AO1875" s="57"/>
      <c r="AP1875" s="57"/>
      <c r="AQ1875" s="57"/>
      <c r="AR1875" s="57"/>
      <c r="AS1875" s="57"/>
      <c r="AT1875" s="57"/>
      <c r="AU1875" s="57"/>
      <c r="AV1875" s="57"/>
      <c r="AW1875" s="57"/>
      <c r="AX1875" s="57"/>
      <c r="AY1875" s="57"/>
      <c r="AZ1875" s="57"/>
      <c r="BA1875" s="57"/>
      <c r="BB1875" s="57"/>
      <c r="BC1875" s="57"/>
      <c r="BD1875" s="57"/>
      <c r="BE1875" s="57"/>
      <c r="BF1875" s="57"/>
    </row>
    <row r="1876" spans="1:58" x14ac:dyDescent="0.25">
      <c r="A1876" s="53"/>
      <c r="B1876" s="60"/>
      <c r="C1876" s="57">
        <f t="shared" si="140"/>
        <v>0</v>
      </c>
      <c r="D1876" s="56"/>
      <c r="E1876" s="57">
        <f>[1]DETAY!$A$2</f>
        <v>0</v>
      </c>
      <c r="F1876" s="90">
        <f t="shared" si="141"/>
        <v>0</v>
      </c>
      <c r="G1876" s="92">
        <f t="shared" si="142"/>
        <v>0</v>
      </c>
      <c r="H1876" s="62" t="e">
        <f t="shared" si="143"/>
        <v>#DIV/0!</v>
      </c>
      <c r="I1876" s="57"/>
      <c r="J1876" s="57"/>
      <c r="K1876" s="57"/>
      <c r="L1876" s="57"/>
      <c r="M1876" s="58"/>
      <c r="N1876" s="57"/>
      <c r="O1876" s="57"/>
      <c r="P1876" s="57"/>
      <c r="Q1876" s="57"/>
      <c r="R1876" s="57"/>
      <c r="S1876" s="61"/>
      <c r="T1876" s="57"/>
      <c r="U1876" s="57"/>
      <c r="V1876" s="57"/>
      <c r="W1876" s="57"/>
      <c r="X1876" s="57"/>
      <c r="Y1876" s="57"/>
      <c r="Z1876" s="57"/>
      <c r="AA1876" s="57"/>
      <c r="AB1876" s="57"/>
      <c r="AC1876" s="57"/>
      <c r="AD1876" s="57"/>
      <c r="AE1876" s="57"/>
      <c r="AF1876" s="57"/>
      <c r="AG1876" s="57"/>
      <c r="AH1876" s="57"/>
      <c r="AI1876" s="57"/>
      <c r="AJ1876" s="57"/>
      <c r="AK1876" s="57"/>
      <c r="AL1876" s="57"/>
      <c r="AM1876" s="57"/>
      <c r="AN1876" s="57"/>
      <c r="AO1876" s="57"/>
      <c r="AP1876" s="57"/>
      <c r="AQ1876" s="57"/>
      <c r="AR1876" s="57"/>
      <c r="AS1876" s="57"/>
      <c r="AT1876" s="57"/>
      <c r="AU1876" s="57"/>
      <c r="AV1876" s="57"/>
      <c r="AW1876" s="57"/>
      <c r="AX1876" s="57"/>
      <c r="AY1876" s="57"/>
      <c r="AZ1876" s="57"/>
      <c r="BA1876" s="57"/>
      <c r="BB1876" s="57"/>
      <c r="BC1876" s="57"/>
      <c r="BD1876" s="57"/>
      <c r="BE1876" s="57"/>
      <c r="BF1876" s="57"/>
    </row>
    <row r="1877" spans="1:58" x14ac:dyDescent="0.25">
      <c r="A1877" s="53"/>
      <c r="B1877" s="60"/>
      <c r="C1877" s="57">
        <f t="shared" si="140"/>
        <v>0</v>
      </c>
      <c r="D1877" s="56"/>
      <c r="E1877" s="57">
        <f>[1]DETAY!$A$2</f>
        <v>0</v>
      </c>
      <c r="F1877" s="90">
        <f t="shared" si="141"/>
        <v>0</v>
      </c>
      <c r="G1877" s="92">
        <f t="shared" si="142"/>
        <v>0</v>
      </c>
      <c r="H1877" s="62" t="e">
        <f t="shared" si="143"/>
        <v>#DIV/0!</v>
      </c>
      <c r="I1877" s="57"/>
      <c r="J1877" s="57"/>
      <c r="K1877" s="57"/>
      <c r="L1877" s="57"/>
      <c r="M1877" s="58"/>
      <c r="N1877" s="57"/>
      <c r="O1877" s="57"/>
      <c r="P1877" s="57"/>
      <c r="Q1877" s="57"/>
      <c r="R1877" s="57"/>
      <c r="S1877" s="61"/>
      <c r="T1877" s="57"/>
      <c r="U1877" s="57"/>
      <c r="V1877" s="57"/>
      <c r="W1877" s="57"/>
      <c r="X1877" s="57"/>
      <c r="Y1877" s="57"/>
      <c r="Z1877" s="57"/>
      <c r="AA1877" s="57"/>
      <c r="AB1877" s="57"/>
      <c r="AC1877" s="57"/>
      <c r="AD1877" s="57"/>
      <c r="AE1877" s="57"/>
      <c r="AF1877" s="57"/>
      <c r="AG1877" s="57"/>
      <c r="AH1877" s="57"/>
      <c r="AI1877" s="57"/>
      <c r="AJ1877" s="57"/>
      <c r="AK1877" s="57"/>
      <c r="AL1877" s="57"/>
      <c r="AM1877" s="57"/>
      <c r="AN1877" s="57"/>
      <c r="AO1877" s="57"/>
      <c r="AP1877" s="57"/>
      <c r="AQ1877" s="57"/>
      <c r="AR1877" s="57"/>
      <c r="AS1877" s="57"/>
      <c r="AT1877" s="57"/>
      <c r="AU1877" s="57"/>
      <c r="AV1877" s="57"/>
      <c r="AW1877" s="57"/>
      <c r="AX1877" s="57"/>
      <c r="AY1877" s="57"/>
      <c r="AZ1877" s="57"/>
      <c r="BA1877" s="57"/>
      <c r="BB1877" s="57"/>
      <c r="BC1877" s="57"/>
      <c r="BD1877" s="57"/>
      <c r="BE1877" s="57"/>
      <c r="BF1877" s="57"/>
    </row>
    <row r="1878" spans="1:58" x14ac:dyDescent="0.25">
      <c r="A1878" s="53"/>
      <c r="B1878" s="60"/>
      <c r="C1878" s="57">
        <f t="shared" si="140"/>
        <v>0</v>
      </c>
      <c r="D1878" s="56"/>
      <c r="E1878" s="57">
        <f>[1]DETAY!$A$2</f>
        <v>0</v>
      </c>
      <c r="F1878" s="90">
        <f t="shared" si="141"/>
        <v>0</v>
      </c>
      <c r="G1878" s="92">
        <f t="shared" si="142"/>
        <v>0</v>
      </c>
      <c r="H1878" s="62" t="e">
        <f t="shared" si="143"/>
        <v>#DIV/0!</v>
      </c>
      <c r="I1878" s="57"/>
      <c r="J1878" s="57"/>
      <c r="K1878" s="57"/>
      <c r="L1878" s="57"/>
      <c r="M1878" s="58"/>
      <c r="N1878" s="57"/>
      <c r="O1878" s="57"/>
      <c r="P1878" s="57"/>
      <c r="Q1878" s="57"/>
      <c r="R1878" s="57"/>
      <c r="S1878" s="61"/>
      <c r="T1878" s="57"/>
      <c r="U1878" s="57"/>
      <c r="V1878" s="57"/>
      <c r="W1878" s="57"/>
      <c r="X1878" s="57"/>
      <c r="Y1878" s="57"/>
      <c r="Z1878" s="57"/>
      <c r="AA1878" s="57"/>
      <c r="AB1878" s="57"/>
      <c r="AC1878" s="57"/>
      <c r="AD1878" s="57"/>
      <c r="AE1878" s="57"/>
      <c r="AF1878" s="57"/>
      <c r="AG1878" s="57"/>
      <c r="AH1878" s="57"/>
      <c r="AI1878" s="57"/>
      <c r="AJ1878" s="57"/>
      <c r="AK1878" s="57"/>
      <c r="AL1878" s="57"/>
      <c r="AM1878" s="57"/>
      <c r="AN1878" s="57"/>
      <c r="AO1878" s="57"/>
      <c r="AP1878" s="57"/>
      <c r="AQ1878" s="57"/>
      <c r="AR1878" s="57"/>
      <c r="AS1878" s="57"/>
      <c r="AT1878" s="57"/>
      <c r="AU1878" s="57"/>
      <c r="AV1878" s="57"/>
      <c r="AW1878" s="57"/>
      <c r="AX1878" s="57"/>
      <c r="AY1878" s="57"/>
      <c r="AZ1878" s="57"/>
      <c r="BA1878" s="57"/>
      <c r="BB1878" s="57"/>
      <c r="BC1878" s="57"/>
      <c r="BD1878" s="57"/>
      <c r="BE1878" s="57"/>
      <c r="BF1878" s="57"/>
    </row>
    <row r="1879" spans="1:58" x14ac:dyDescent="0.25">
      <c r="A1879" s="53"/>
      <c r="B1879" s="60"/>
      <c r="C1879" s="57">
        <f t="shared" si="140"/>
        <v>0</v>
      </c>
      <c r="D1879" s="56"/>
      <c r="E1879" s="57">
        <f>[1]DETAY!$A$2</f>
        <v>0</v>
      </c>
      <c r="F1879" s="90">
        <f t="shared" si="141"/>
        <v>0</v>
      </c>
      <c r="G1879" s="92">
        <f t="shared" si="142"/>
        <v>0</v>
      </c>
      <c r="H1879" s="62" t="e">
        <f t="shared" si="143"/>
        <v>#DIV/0!</v>
      </c>
      <c r="I1879" s="57"/>
      <c r="J1879" s="57"/>
      <c r="K1879" s="57"/>
      <c r="L1879" s="57"/>
      <c r="M1879" s="58"/>
      <c r="N1879" s="57"/>
      <c r="O1879" s="57"/>
      <c r="P1879" s="57"/>
      <c r="Q1879" s="57"/>
      <c r="R1879" s="57"/>
      <c r="S1879" s="61"/>
      <c r="T1879" s="57"/>
      <c r="U1879" s="57"/>
      <c r="V1879" s="57"/>
      <c r="W1879" s="57"/>
      <c r="X1879" s="57"/>
      <c r="Y1879" s="57"/>
      <c r="Z1879" s="57"/>
      <c r="AA1879" s="57"/>
      <c r="AB1879" s="57"/>
      <c r="AC1879" s="57"/>
      <c r="AD1879" s="57"/>
      <c r="AE1879" s="57"/>
      <c r="AF1879" s="57"/>
      <c r="AG1879" s="57"/>
      <c r="AH1879" s="57"/>
      <c r="AI1879" s="57"/>
      <c r="AJ1879" s="57"/>
      <c r="AK1879" s="57"/>
      <c r="AL1879" s="57"/>
      <c r="AM1879" s="57"/>
      <c r="AN1879" s="57"/>
      <c r="AO1879" s="57"/>
      <c r="AP1879" s="57"/>
      <c r="AQ1879" s="57"/>
      <c r="AR1879" s="57"/>
      <c r="AS1879" s="57"/>
      <c r="AT1879" s="57"/>
      <c r="AU1879" s="57"/>
      <c r="AV1879" s="57"/>
      <c r="AW1879" s="57"/>
      <c r="AX1879" s="57"/>
      <c r="AY1879" s="57"/>
      <c r="AZ1879" s="57"/>
      <c r="BA1879" s="57"/>
      <c r="BB1879" s="57"/>
      <c r="BC1879" s="57"/>
      <c r="BD1879" s="57"/>
      <c r="BE1879" s="57"/>
      <c r="BF1879" s="57"/>
    </row>
    <row r="1880" spans="1:58" x14ac:dyDescent="0.25">
      <c r="A1880" s="53"/>
      <c r="B1880" s="60"/>
      <c r="C1880" s="57">
        <f t="shared" si="140"/>
        <v>0</v>
      </c>
      <c r="D1880" s="56"/>
      <c r="E1880" s="57">
        <f>[1]DETAY!$A$2</f>
        <v>0</v>
      </c>
      <c r="F1880" s="90">
        <f t="shared" si="141"/>
        <v>0</v>
      </c>
      <c r="G1880" s="92">
        <f t="shared" si="142"/>
        <v>0</v>
      </c>
      <c r="H1880" s="62" t="e">
        <f t="shared" si="143"/>
        <v>#DIV/0!</v>
      </c>
      <c r="I1880" s="57"/>
      <c r="J1880" s="57"/>
      <c r="K1880" s="57"/>
      <c r="L1880" s="57"/>
      <c r="M1880" s="58"/>
      <c r="N1880" s="57"/>
      <c r="O1880" s="57"/>
      <c r="P1880" s="57"/>
      <c r="Q1880" s="57"/>
      <c r="R1880" s="57"/>
      <c r="S1880" s="61"/>
      <c r="T1880" s="57"/>
      <c r="U1880" s="57"/>
      <c r="V1880" s="57"/>
      <c r="W1880" s="57"/>
      <c r="X1880" s="57"/>
      <c r="Y1880" s="57"/>
      <c r="Z1880" s="57"/>
      <c r="AA1880" s="57"/>
      <c r="AB1880" s="57"/>
      <c r="AC1880" s="57"/>
      <c r="AD1880" s="57"/>
      <c r="AE1880" s="57"/>
      <c r="AF1880" s="57"/>
      <c r="AG1880" s="57"/>
      <c r="AH1880" s="57"/>
      <c r="AI1880" s="57"/>
      <c r="AJ1880" s="57"/>
      <c r="AK1880" s="57"/>
      <c r="AL1880" s="57"/>
      <c r="AM1880" s="57"/>
      <c r="AN1880" s="57"/>
      <c r="AO1880" s="57"/>
      <c r="AP1880" s="57"/>
      <c r="AQ1880" s="57"/>
      <c r="AR1880" s="57"/>
      <c r="AS1880" s="57"/>
      <c r="AT1880" s="57"/>
      <c r="AU1880" s="57"/>
      <c r="AV1880" s="57"/>
      <c r="AW1880" s="57"/>
      <c r="AX1880" s="57"/>
      <c r="AY1880" s="57"/>
      <c r="AZ1880" s="57"/>
      <c r="BA1880" s="57"/>
      <c r="BB1880" s="57"/>
      <c r="BC1880" s="57"/>
      <c r="BD1880" s="57"/>
      <c r="BE1880" s="57"/>
      <c r="BF1880" s="57"/>
    </row>
    <row r="1881" spans="1:58" x14ac:dyDescent="0.25">
      <c r="A1881" s="53"/>
      <c r="B1881" s="60"/>
      <c r="C1881" s="57">
        <f t="shared" si="140"/>
        <v>0</v>
      </c>
      <c r="D1881" s="56"/>
      <c r="E1881" s="57">
        <f>[1]DETAY!$A$2</f>
        <v>0</v>
      </c>
      <c r="F1881" s="90">
        <f t="shared" si="141"/>
        <v>0</v>
      </c>
      <c r="G1881" s="92">
        <f t="shared" si="142"/>
        <v>0</v>
      </c>
      <c r="H1881" s="62" t="e">
        <f t="shared" si="143"/>
        <v>#DIV/0!</v>
      </c>
      <c r="I1881" s="57"/>
      <c r="J1881" s="57"/>
      <c r="K1881" s="57"/>
      <c r="L1881" s="57"/>
      <c r="M1881" s="58"/>
      <c r="N1881" s="57"/>
      <c r="O1881" s="57"/>
      <c r="P1881" s="57"/>
      <c r="Q1881" s="57"/>
      <c r="R1881" s="57"/>
      <c r="S1881" s="61"/>
      <c r="T1881" s="57"/>
      <c r="U1881" s="57"/>
      <c r="V1881" s="57"/>
      <c r="W1881" s="57"/>
      <c r="X1881" s="57"/>
      <c r="Y1881" s="57"/>
      <c r="Z1881" s="57"/>
      <c r="AA1881" s="57"/>
      <c r="AB1881" s="57"/>
      <c r="AC1881" s="57"/>
      <c r="AD1881" s="57"/>
      <c r="AE1881" s="57"/>
      <c r="AF1881" s="57"/>
      <c r="AG1881" s="57"/>
      <c r="AH1881" s="57"/>
      <c r="AI1881" s="57"/>
      <c r="AJ1881" s="57"/>
      <c r="AK1881" s="57"/>
      <c r="AL1881" s="57"/>
      <c r="AM1881" s="57"/>
      <c r="AN1881" s="57"/>
      <c r="AO1881" s="57"/>
      <c r="AP1881" s="57"/>
      <c r="AQ1881" s="57"/>
      <c r="AR1881" s="57"/>
      <c r="AS1881" s="57"/>
      <c r="AT1881" s="57"/>
      <c r="AU1881" s="57"/>
      <c r="AV1881" s="57"/>
      <c r="AW1881" s="57"/>
      <c r="AX1881" s="57"/>
      <c r="AY1881" s="57"/>
      <c r="AZ1881" s="57"/>
      <c r="BA1881" s="57"/>
      <c r="BB1881" s="57"/>
      <c r="BC1881" s="57"/>
      <c r="BD1881" s="57"/>
      <c r="BE1881" s="57"/>
      <c r="BF1881" s="57"/>
    </row>
    <row r="1882" spans="1:58" x14ac:dyDescent="0.25">
      <c r="A1882" s="53"/>
      <c r="B1882" s="60"/>
      <c r="C1882" s="57">
        <f t="shared" si="140"/>
        <v>0</v>
      </c>
      <c r="D1882" s="56"/>
      <c r="E1882" s="57">
        <f>[1]DETAY!$A$2</f>
        <v>0</v>
      </c>
      <c r="F1882" s="90">
        <f t="shared" si="141"/>
        <v>0</v>
      </c>
      <c r="G1882" s="92">
        <f t="shared" si="142"/>
        <v>0</v>
      </c>
      <c r="H1882" s="62" t="e">
        <f t="shared" si="143"/>
        <v>#DIV/0!</v>
      </c>
      <c r="I1882" s="57"/>
      <c r="J1882" s="57"/>
      <c r="K1882" s="57"/>
      <c r="L1882" s="57"/>
      <c r="M1882" s="58"/>
      <c r="N1882" s="57"/>
      <c r="O1882" s="57"/>
      <c r="P1882" s="57"/>
      <c r="Q1882" s="57"/>
      <c r="R1882" s="57"/>
      <c r="S1882" s="61"/>
      <c r="T1882" s="57"/>
      <c r="U1882" s="57"/>
      <c r="V1882" s="57"/>
      <c r="W1882" s="57"/>
      <c r="X1882" s="57"/>
      <c r="Y1882" s="57"/>
      <c r="Z1882" s="57"/>
      <c r="AA1882" s="57"/>
      <c r="AB1882" s="57"/>
      <c r="AC1882" s="57"/>
      <c r="AD1882" s="57"/>
      <c r="AE1882" s="57"/>
      <c r="AF1882" s="57"/>
      <c r="AG1882" s="57"/>
      <c r="AH1882" s="57"/>
      <c r="AI1882" s="57"/>
      <c r="AJ1882" s="57"/>
      <c r="AK1882" s="57"/>
      <c r="AL1882" s="57"/>
      <c r="AM1882" s="57"/>
      <c r="AN1882" s="57"/>
      <c r="AO1882" s="57"/>
      <c r="AP1882" s="57"/>
      <c r="AQ1882" s="57"/>
      <c r="AR1882" s="57"/>
      <c r="AS1882" s="57"/>
      <c r="AT1882" s="57"/>
      <c r="AU1882" s="57"/>
      <c r="AV1882" s="57"/>
      <c r="AW1882" s="57"/>
      <c r="AX1882" s="57"/>
      <c r="AY1882" s="57"/>
      <c r="AZ1882" s="57"/>
      <c r="BA1882" s="57"/>
      <c r="BB1882" s="57"/>
      <c r="BC1882" s="57"/>
      <c r="BD1882" s="57"/>
      <c r="BE1882" s="57"/>
      <c r="BF1882" s="57"/>
    </row>
    <row r="1883" spans="1:58" x14ac:dyDescent="0.25">
      <c r="A1883" s="53"/>
      <c r="B1883" s="60"/>
      <c r="C1883" s="57">
        <f t="shared" si="140"/>
        <v>0</v>
      </c>
      <c r="D1883" s="56"/>
      <c r="E1883" s="57">
        <f>[1]DETAY!$A$2</f>
        <v>0</v>
      </c>
      <c r="F1883" s="90">
        <f t="shared" si="141"/>
        <v>0</v>
      </c>
      <c r="G1883" s="92">
        <f t="shared" si="142"/>
        <v>0</v>
      </c>
      <c r="H1883" s="62" t="e">
        <f t="shared" si="143"/>
        <v>#DIV/0!</v>
      </c>
      <c r="I1883" s="57"/>
      <c r="J1883" s="57"/>
      <c r="K1883" s="57"/>
      <c r="L1883" s="57"/>
      <c r="M1883" s="58"/>
      <c r="N1883" s="57"/>
      <c r="O1883" s="57"/>
      <c r="P1883" s="57"/>
      <c r="Q1883" s="57"/>
      <c r="R1883" s="57"/>
      <c r="S1883" s="61"/>
      <c r="T1883" s="57"/>
      <c r="U1883" s="57"/>
      <c r="V1883" s="57"/>
      <c r="W1883" s="57"/>
      <c r="X1883" s="57"/>
      <c r="Y1883" s="57"/>
      <c r="Z1883" s="57"/>
      <c r="AA1883" s="57"/>
      <c r="AB1883" s="57"/>
      <c r="AC1883" s="57"/>
      <c r="AD1883" s="57"/>
      <c r="AE1883" s="57"/>
      <c r="AF1883" s="57"/>
      <c r="AG1883" s="57"/>
      <c r="AH1883" s="57"/>
      <c r="AI1883" s="57"/>
      <c r="AJ1883" s="57"/>
      <c r="AK1883" s="57"/>
      <c r="AL1883" s="57"/>
      <c r="AM1883" s="57"/>
      <c r="AN1883" s="57"/>
      <c r="AO1883" s="57"/>
      <c r="AP1883" s="57"/>
      <c r="AQ1883" s="57"/>
      <c r="AR1883" s="57"/>
      <c r="AS1883" s="57"/>
      <c r="AT1883" s="57"/>
      <c r="AU1883" s="57"/>
      <c r="AV1883" s="57"/>
      <c r="AW1883" s="57"/>
      <c r="AX1883" s="57"/>
      <c r="AY1883" s="57"/>
      <c r="AZ1883" s="57"/>
      <c r="BA1883" s="57"/>
      <c r="BB1883" s="57"/>
      <c r="BC1883" s="57"/>
      <c r="BD1883" s="57"/>
      <c r="BE1883" s="57"/>
      <c r="BF1883" s="57"/>
    </row>
    <row r="1884" spans="1:58" x14ac:dyDescent="0.25">
      <c r="A1884" s="53"/>
      <c r="B1884" s="60"/>
      <c r="C1884" s="57">
        <f t="shared" si="140"/>
        <v>0</v>
      </c>
      <c r="D1884" s="56"/>
      <c r="E1884" s="57">
        <f>[1]DETAY!$A$2</f>
        <v>0</v>
      </c>
      <c r="F1884" s="90">
        <f t="shared" si="141"/>
        <v>0</v>
      </c>
      <c r="G1884" s="92">
        <f t="shared" si="142"/>
        <v>0</v>
      </c>
      <c r="H1884" s="62" t="e">
        <f t="shared" si="143"/>
        <v>#DIV/0!</v>
      </c>
      <c r="I1884" s="57"/>
      <c r="J1884" s="57"/>
      <c r="K1884" s="57"/>
      <c r="L1884" s="57"/>
      <c r="M1884" s="58"/>
      <c r="N1884" s="57"/>
      <c r="O1884" s="57"/>
      <c r="P1884" s="57"/>
      <c r="Q1884" s="57"/>
      <c r="R1884" s="57"/>
      <c r="S1884" s="61"/>
      <c r="T1884" s="57"/>
      <c r="U1884" s="57"/>
      <c r="V1884" s="57"/>
      <c r="W1884" s="57"/>
      <c r="X1884" s="57"/>
      <c r="Y1884" s="57"/>
      <c r="Z1884" s="57"/>
      <c r="AA1884" s="57"/>
      <c r="AB1884" s="57"/>
      <c r="AC1884" s="57"/>
      <c r="AD1884" s="57"/>
      <c r="AE1884" s="57"/>
      <c r="AF1884" s="57"/>
      <c r="AG1884" s="57"/>
      <c r="AH1884" s="57"/>
      <c r="AI1884" s="57"/>
      <c r="AJ1884" s="57"/>
      <c r="AK1884" s="57"/>
      <c r="AL1884" s="57"/>
      <c r="AM1884" s="57"/>
      <c r="AN1884" s="57"/>
      <c r="AO1884" s="57"/>
      <c r="AP1884" s="57"/>
      <c r="AQ1884" s="57"/>
      <c r="AR1884" s="57"/>
      <c r="AS1884" s="57"/>
      <c r="AT1884" s="57"/>
      <c r="AU1884" s="57"/>
      <c r="AV1884" s="57"/>
      <c r="AW1884" s="57"/>
      <c r="AX1884" s="57"/>
      <c r="AY1884" s="57"/>
      <c r="AZ1884" s="57"/>
      <c r="BA1884" s="57"/>
      <c r="BB1884" s="57"/>
      <c r="BC1884" s="57"/>
      <c r="BD1884" s="57"/>
      <c r="BE1884" s="57"/>
      <c r="BF1884" s="57"/>
    </row>
    <row r="1885" spans="1:58" x14ac:dyDescent="0.25">
      <c r="A1885" s="53"/>
      <c r="B1885" s="60"/>
      <c r="C1885" s="57">
        <f t="shared" si="140"/>
        <v>0</v>
      </c>
      <c r="D1885" s="56"/>
      <c r="E1885" s="57">
        <f>[1]DETAY!$A$2</f>
        <v>0</v>
      </c>
      <c r="F1885" s="90">
        <f t="shared" si="141"/>
        <v>0</v>
      </c>
      <c r="G1885" s="92">
        <f t="shared" si="142"/>
        <v>0</v>
      </c>
      <c r="H1885" s="62" t="e">
        <f t="shared" si="143"/>
        <v>#DIV/0!</v>
      </c>
      <c r="I1885" s="57"/>
      <c r="J1885" s="57"/>
      <c r="K1885" s="57"/>
      <c r="L1885" s="57"/>
      <c r="M1885" s="58"/>
      <c r="N1885" s="57"/>
      <c r="O1885" s="57"/>
      <c r="P1885" s="57"/>
      <c r="Q1885" s="57"/>
      <c r="R1885" s="57"/>
      <c r="S1885" s="61"/>
      <c r="T1885" s="57"/>
      <c r="U1885" s="57"/>
      <c r="V1885" s="57"/>
      <c r="W1885" s="57"/>
      <c r="X1885" s="57"/>
      <c r="Y1885" s="57"/>
      <c r="Z1885" s="57"/>
      <c r="AA1885" s="57"/>
      <c r="AB1885" s="57"/>
      <c r="AC1885" s="57"/>
      <c r="AD1885" s="57"/>
      <c r="AE1885" s="57"/>
      <c r="AF1885" s="57"/>
      <c r="AG1885" s="57"/>
      <c r="AH1885" s="57"/>
      <c r="AI1885" s="57"/>
      <c r="AJ1885" s="57"/>
      <c r="AK1885" s="57"/>
      <c r="AL1885" s="57"/>
      <c r="AM1885" s="57"/>
      <c r="AN1885" s="57"/>
      <c r="AO1885" s="57"/>
      <c r="AP1885" s="57"/>
      <c r="AQ1885" s="57"/>
      <c r="AR1885" s="57"/>
      <c r="AS1885" s="57"/>
      <c r="AT1885" s="57"/>
      <c r="AU1885" s="57"/>
      <c r="AV1885" s="57"/>
      <c r="AW1885" s="57"/>
      <c r="AX1885" s="57"/>
      <c r="AY1885" s="57"/>
      <c r="AZ1885" s="57"/>
      <c r="BA1885" s="57"/>
      <c r="BB1885" s="57"/>
      <c r="BC1885" s="57"/>
      <c r="BD1885" s="57"/>
      <c r="BE1885" s="57"/>
      <c r="BF1885" s="57"/>
    </row>
    <row r="1886" spans="1:58" x14ac:dyDescent="0.25">
      <c r="A1886" s="53"/>
      <c r="B1886" s="60"/>
      <c r="C1886" s="57">
        <f t="shared" si="140"/>
        <v>0</v>
      </c>
      <c r="D1886" s="56"/>
      <c r="E1886" s="57">
        <f>[1]DETAY!$A$2</f>
        <v>0</v>
      </c>
      <c r="F1886" s="90">
        <f t="shared" si="141"/>
        <v>0</v>
      </c>
      <c r="G1886" s="92">
        <f t="shared" si="142"/>
        <v>0</v>
      </c>
      <c r="H1886" s="62" t="e">
        <f t="shared" si="143"/>
        <v>#DIV/0!</v>
      </c>
      <c r="I1886" s="57"/>
      <c r="J1886" s="57"/>
      <c r="K1886" s="57"/>
      <c r="L1886" s="57"/>
      <c r="M1886" s="58"/>
      <c r="N1886" s="57"/>
      <c r="O1886" s="57"/>
      <c r="P1886" s="57"/>
      <c r="Q1886" s="57"/>
      <c r="R1886" s="57"/>
      <c r="S1886" s="61"/>
      <c r="T1886" s="57"/>
      <c r="U1886" s="57"/>
      <c r="V1886" s="57"/>
      <c r="W1886" s="57"/>
      <c r="X1886" s="57"/>
      <c r="Y1886" s="57"/>
      <c r="Z1886" s="57"/>
      <c r="AA1886" s="57"/>
      <c r="AB1886" s="57"/>
      <c r="AC1886" s="57"/>
      <c r="AD1886" s="57"/>
      <c r="AE1886" s="57"/>
      <c r="AF1886" s="57"/>
      <c r="AG1886" s="57"/>
      <c r="AH1886" s="57"/>
      <c r="AI1886" s="57"/>
      <c r="AJ1886" s="57"/>
      <c r="AK1886" s="57"/>
      <c r="AL1886" s="57"/>
      <c r="AM1886" s="57"/>
      <c r="AN1886" s="57"/>
      <c r="AO1886" s="57"/>
      <c r="AP1886" s="57"/>
      <c r="AQ1886" s="57"/>
      <c r="AR1886" s="57"/>
      <c r="AS1886" s="57"/>
      <c r="AT1886" s="57"/>
      <c r="AU1886" s="57"/>
      <c r="AV1886" s="57"/>
      <c r="AW1886" s="57"/>
      <c r="AX1886" s="57"/>
      <c r="AY1886" s="57"/>
      <c r="AZ1886" s="57"/>
      <c r="BA1886" s="57"/>
      <c r="BB1886" s="57"/>
      <c r="BC1886" s="57"/>
      <c r="BD1886" s="57"/>
      <c r="BE1886" s="57"/>
      <c r="BF1886" s="57"/>
    </row>
    <row r="1887" spans="1:58" x14ac:dyDescent="0.25">
      <c r="A1887" s="53"/>
      <c r="B1887" s="60"/>
      <c r="C1887" s="57">
        <f t="shared" si="140"/>
        <v>0</v>
      </c>
      <c r="D1887" s="56"/>
      <c r="E1887" s="57">
        <f>[1]DETAY!$A$2</f>
        <v>0</v>
      </c>
      <c r="F1887" s="90">
        <f t="shared" si="141"/>
        <v>0</v>
      </c>
      <c r="G1887" s="92">
        <f t="shared" si="142"/>
        <v>0</v>
      </c>
      <c r="H1887" s="62" t="e">
        <f t="shared" si="143"/>
        <v>#DIV/0!</v>
      </c>
      <c r="I1887" s="57"/>
      <c r="J1887" s="57"/>
      <c r="K1887" s="57"/>
      <c r="L1887" s="57"/>
      <c r="M1887" s="58"/>
      <c r="N1887" s="57"/>
      <c r="O1887" s="57"/>
      <c r="P1887" s="57"/>
      <c r="Q1887" s="57"/>
      <c r="R1887" s="57"/>
      <c r="S1887" s="61"/>
      <c r="T1887" s="57"/>
      <c r="U1887" s="57"/>
      <c r="V1887" s="57"/>
      <c r="W1887" s="57"/>
      <c r="X1887" s="57"/>
      <c r="Y1887" s="57"/>
      <c r="Z1887" s="57"/>
      <c r="AA1887" s="57"/>
      <c r="AB1887" s="57"/>
      <c r="AC1887" s="57"/>
      <c r="AD1887" s="57"/>
      <c r="AE1887" s="57"/>
      <c r="AF1887" s="57"/>
      <c r="AG1887" s="57"/>
      <c r="AH1887" s="57"/>
      <c r="AI1887" s="57"/>
      <c r="AJ1887" s="57"/>
      <c r="AK1887" s="57"/>
      <c r="AL1887" s="57"/>
      <c r="AM1887" s="57"/>
      <c r="AN1887" s="57"/>
      <c r="AO1887" s="57"/>
      <c r="AP1887" s="57"/>
      <c r="AQ1887" s="57"/>
      <c r="AR1887" s="57"/>
      <c r="AS1887" s="57"/>
      <c r="AT1887" s="57"/>
      <c r="AU1887" s="57"/>
      <c r="AV1887" s="57"/>
      <c r="AW1887" s="57"/>
      <c r="AX1887" s="57"/>
      <c r="AY1887" s="57"/>
      <c r="AZ1887" s="57"/>
      <c r="BA1887" s="57"/>
      <c r="BB1887" s="57"/>
      <c r="BC1887" s="57"/>
      <c r="BD1887" s="57"/>
      <c r="BE1887" s="57"/>
      <c r="BF1887" s="57"/>
    </row>
    <row r="1888" spans="1:58" x14ac:dyDescent="0.25">
      <c r="A1888" s="53"/>
      <c r="B1888" s="60"/>
      <c r="C1888" s="57">
        <f t="shared" si="140"/>
        <v>0</v>
      </c>
      <c r="D1888" s="56"/>
      <c r="E1888" s="57">
        <f>[1]DETAY!$A$2</f>
        <v>0</v>
      </c>
      <c r="F1888" s="90">
        <f t="shared" si="141"/>
        <v>0</v>
      </c>
      <c r="G1888" s="92">
        <f t="shared" si="142"/>
        <v>0</v>
      </c>
      <c r="H1888" s="62" t="e">
        <f t="shared" si="143"/>
        <v>#DIV/0!</v>
      </c>
      <c r="I1888" s="57"/>
      <c r="J1888" s="57"/>
      <c r="K1888" s="57"/>
      <c r="L1888" s="57"/>
      <c r="M1888" s="58"/>
      <c r="N1888" s="57"/>
      <c r="O1888" s="57"/>
      <c r="P1888" s="57"/>
      <c r="Q1888" s="57"/>
      <c r="R1888" s="57"/>
      <c r="S1888" s="61"/>
      <c r="T1888" s="57"/>
      <c r="U1888" s="57"/>
      <c r="V1888" s="57"/>
      <c r="W1888" s="57"/>
      <c r="X1888" s="57"/>
      <c r="Y1888" s="57"/>
      <c r="Z1888" s="57"/>
      <c r="AA1888" s="57"/>
      <c r="AB1888" s="57"/>
      <c r="AC1888" s="57"/>
      <c r="AD1888" s="57"/>
      <c r="AE1888" s="57"/>
      <c r="AF1888" s="57"/>
      <c r="AG1888" s="57"/>
      <c r="AH1888" s="57"/>
      <c r="AI1888" s="57"/>
      <c r="AJ1888" s="57"/>
      <c r="AK1888" s="57"/>
      <c r="AL1888" s="57"/>
      <c r="AM1888" s="57"/>
      <c r="AN1888" s="57"/>
      <c r="AO1888" s="57"/>
      <c r="AP1888" s="57"/>
      <c r="AQ1888" s="57"/>
      <c r="AR1888" s="57"/>
      <c r="AS1888" s="57"/>
      <c r="AT1888" s="57"/>
      <c r="AU1888" s="57"/>
      <c r="AV1888" s="57"/>
      <c r="AW1888" s="57"/>
      <c r="AX1888" s="57"/>
      <c r="AY1888" s="57"/>
      <c r="AZ1888" s="57"/>
      <c r="BA1888" s="57"/>
      <c r="BB1888" s="57"/>
      <c r="BC1888" s="57"/>
      <c r="BD1888" s="57"/>
      <c r="BE1888" s="57"/>
      <c r="BF1888" s="57"/>
    </row>
    <row r="1889" spans="1:58" x14ac:dyDescent="0.25">
      <c r="A1889" s="53"/>
      <c r="B1889" s="60"/>
      <c r="C1889" s="57">
        <f t="shared" si="140"/>
        <v>0</v>
      </c>
      <c r="D1889" s="56"/>
      <c r="E1889" s="57">
        <f>[1]DETAY!$A$2</f>
        <v>0</v>
      </c>
      <c r="F1889" s="90">
        <f t="shared" si="141"/>
        <v>0</v>
      </c>
      <c r="G1889" s="92">
        <f t="shared" si="142"/>
        <v>0</v>
      </c>
      <c r="H1889" s="62" t="e">
        <f t="shared" si="143"/>
        <v>#DIV/0!</v>
      </c>
      <c r="I1889" s="57"/>
      <c r="J1889" s="57"/>
      <c r="K1889" s="57"/>
      <c r="L1889" s="57"/>
      <c r="M1889" s="58"/>
      <c r="N1889" s="57"/>
      <c r="O1889" s="57"/>
      <c r="P1889" s="57"/>
      <c r="Q1889" s="57"/>
      <c r="R1889" s="57"/>
      <c r="S1889" s="61"/>
      <c r="T1889" s="57"/>
      <c r="U1889" s="57"/>
      <c r="V1889" s="57"/>
      <c r="W1889" s="57"/>
      <c r="X1889" s="57"/>
      <c r="Y1889" s="57"/>
      <c r="Z1889" s="57"/>
      <c r="AA1889" s="57"/>
      <c r="AB1889" s="57"/>
      <c r="AC1889" s="57"/>
      <c r="AD1889" s="57"/>
      <c r="AE1889" s="57"/>
      <c r="AF1889" s="57"/>
      <c r="AG1889" s="57"/>
      <c r="AH1889" s="57"/>
      <c r="AI1889" s="57"/>
      <c r="AJ1889" s="57"/>
      <c r="AK1889" s="57"/>
      <c r="AL1889" s="57"/>
      <c r="AM1889" s="57"/>
      <c r="AN1889" s="57"/>
      <c r="AO1889" s="57"/>
      <c r="AP1889" s="57"/>
      <c r="AQ1889" s="57"/>
      <c r="AR1889" s="57"/>
      <c r="AS1889" s="57"/>
      <c r="AT1889" s="57"/>
      <c r="AU1889" s="57"/>
      <c r="AV1889" s="57"/>
      <c r="AW1889" s="57"/>
      <c r="AX1889" s="57"/>
      <c r="AY1889" s="57"/>
      <c r="AZ1889" s="57"/>
      <c r="BA1889" s="57"/>
      <c r="BB1889" s="57"/>
      <c r="BC1889" s="57"/>
      <c r="BD1889" s="57"/>
      <c r="BE1889" s="57"/>
      <c r="BF1889" s="57"/>
    </row>
    <row r="1890" spans="1:58" x14ac:dyDescent="0.25">
      <c r="A1890" s="53"/>
      <c r="B1890" s="60"/>
      <c r="C1890" s="57">
        <f t="shared" si="140"/>
        <v>0</v>
      </c>
      <c r="D1890" s="56"/>
      <c r="E1890" s="57">
        <f>[1]DETAY!$A$2</f>
        <v>0</v>
      </c>
      <c r="F1890" s="90">
        <f t="shared" si="141"/>
        <v>0</v>
      </c>
      <c r="G1890" s="92">
        <f t="shared" si="142"/>
        <v>0</v>
      </c>
      <c r="H1890" s="62" t="e">
        <f t="shared" si="143"/>
        <v>#DIV/0!</v>
      </c>
      <c r="I1890" s="57"/>
      <c r="J1890" s="57"/>
      <c r="K1890" s="57"/>
      <c r="L1890" s="57"/>
      <c r="M1890" s="58"/>
      <c r="N1890" s="57"/>
      <c r="O1890" s="57"/>
      <c r="P1890" s="57"/>
      <c r="Q1890" s="57"/>
      <c r="R1890" s="57"/>
      <c r="S1890" s="61"/>
      <c r="T1890" s="57"/>
      <c r="U1890" s="57"/>
      <c r="V1890" s="57"/>
      <c r="W1890" s="57"/>
      <c r="X1890" s="57"/>
      <c r="Y1890" s="57"/>
      <c r="Z1890" s="57"/>
      <c r="AA1890" s="57"/>
      <c r="AB1890" s="57"/>
      <c r="AC1890" s="57"/>
      <c r="AD1890" s="57"/>
      <c r="AE1890" s="57"/>
      <c r="AF1890" s="57"/>
      <c r="AG1890" s="57"/>
      <c r="AH1890" s="57"/>
      <c r="AI1890" s="57"/>
      <c r="AJ1890" s="57"/>
      <c r="AK1890" s="57"/>
      <c r="AL1890" s="57"/>
      <c r="AM1890" s="57"/>
      <c r="AN1890" s="57"/>
      <c r="AO1890" s="57"/>
      <c r="AP1890" s="57"/>
      <c r="AQ1890" s="57"/>
      <c r="AR1890" s="57"/>
      <c r="AS1890" s="57"/>
      <c r="AT1890" s="57"/>
      <c r="AU1890" s="57"/>
      <c r="AV1890" s="57"/>
      <c r="AW1890" s="57"/>
      <c r="AX1890" s="57"/>
      <c r="AY1890" s="57"/>
      <c r="AZ1890" s="57"/>
      <c r="BA1890" s="57"/>
      <c r="BB1890" s="57"/>
      <c r="BC1890" s="57"/>
      <c r="BD1890" s="57"/>
      <c r="BE1890" s="57"/>
      <c r="BF1890" s="57"/>
    </row>
    <row r="1891" spans="1:58" x14ac:dyDescent="0.25">
      <c r="A1891" s="53"/>
      <c r="B1891" s="60"/>
      <c r="C1891" s="57">
        <f t="shared" si="140"/>
        <v>0</v>
      </c>
      <c r="D1891" s="56"/>
      <c r="E1891" s="57">
        <f>[1]DETAY!$A$2</f>
        <v>0</v>
      </c>
      <c r="F1891" s="90">
        <f t="shared" si="141"/>
        <v>0</v>
      </c>
      <c r="G1891" s="92">
        <f t="shared" si="142"/>
        <v>0</v>
      </c>
      <c r="H1891" s="62" t="e">
        <f t="shared" si="143"/>
        <v>#DIV/0!</v>
      </c>
      <c r="I1891" s="57"/>
      <c r="J1891" s="57"/>
      <c r="K1891" s="57"/>
      <c r="L1891" s="57"/>
      <c r="M1891" s="58"/>
      <c r="N1891" s="57"/>
      <c r="O1891" s="57"/>
      <c r="P1891" s="57"/>
      <c r="Q1891" s="57"/>
      <c r="R1891" s="57"/>
      <c r="S1891" s="61"/>
      <c r="T1891" s="57"/>
      <c r="U1891" s="57"/>
      <c r="V1891" s="57"/>
      <c r="W1891" s="57"/>
      <c r="X1891" s="57"/>
      <c r="Y1891" s="57"/>
      <c r="Z1891" s="57"/>
      <c r="AA1891" s="57"/>
      <c r="AB1891" s="57"/>
      <c r="AC1891" s="57"/>
      <c r="AD1891" s="57"/>
      <c r="AE1891" s="57"/>
      <c r="AF1891" s="57"/>
      <c r="AG1891" s="57"/>
      <c r="AH1891" s="57"/>
      <c r="AI1891" s="57"/>
      <c r="AJ1891" s="57"/>
      <c r="AK1891" s="57"/>
      <c r="AL1891" s="57"/>
      <c r="AM1891" s="57"/>
      <c r="AN1891" s="57"/>
      <c r="AO1891" s="57"/>
      <c r="AP1891" s="57"/>
      <c r="AQ1891" s="57"/>
      <c r="AR1891" s="57"/>
      <c r="AS1891" s="57"/>
      <c r="AT1891" s="57"/>
      <c r="AU1891" s="57"/>
      <c r="AV1891" s="57"/>
      <c r="AW1891" s="57"/>
      <c r="AX1891" s="57"/>
      <c r="AY1891" s="57"/>
      <c r="AZ1891" s="57"/>
      <c r="BA1891" s="57"/>
      <c r="BB1891" s="57"/>
      <c r="BC1891" s="57"/>
      <c r="BD1891" s="57"/>
      <c r="BE1891" s="57"/>
      <c r="BF1891" s="57"/>
    </row>
    <row r="1892" spans="1:58" x14ac:dyDescent="0.25">
      <c r="A1892" s="53"/>
      <c r="B1892" s="60"/>
      <c r="C1892" s="57">
        <f t="shared" si="140"/>
        <v>0</v>
      </c>
      <c r="D1892" s="56"/>
      <c r="E1892" s="57">
        <f>[1]DETAY!$A$2</f>
        <v>0</v>
      </c>
      <c r="F1892" s="90">
        <f t="shared" si="141"/>
        <v>0</v>
      </c>
      <c r="G1892" s="92">
        <f t="shared" si="142"/>
        <v>0</v>
      </c>
      <c r="H1892" s="62" t="e">
        <f t="shared" si="143"/>
        <v>#DIV/0!</v>
      </c>
      <c r="I1892" s="57"/>
      <c r="J1892" s="57"/>
      <c r="K1892" s="57"/>
      <c r="L1892" s="57"/>
      <c r="M1892" s="58"/>
      <c r="N1892" s="57"/>
      <c r="O1892" s="57"/>
      <c r="P1892" s="57"/>
      <c r="Q1892" s="57"/>
      <c r="R1892" s="57"/>
      <c r="S1892" s="61"/>
      <c r="T1892" s="57"/>
      <c r="U1892" s="57"/>
      <c r="V1892" s="57"/>
      <c r="W1892" s="57"/>
      <c r="X1892" s="57"/>
      <c r="Y1892" s="57"/>
      <c r="Z1892" s="57"/>
      <c r="AA1892" s="57"/>
      <c r="AB1892" s="57"/>
      <c r="AC1892" s="57"/>
      <c r="AD1892" s="57"/>
      <c r="AE1892" s="57"/>
      <c r="AF1892" s="57"/>
      <c r="AG1892" s="57"/>
      <c r="AH1892" s="57"/>
      <c r="AI1892" s="57"/>
      <c r="AJ1892" s="57"/>
      <c r="AK1892" s="57"/>
      <c r="AL1892" s="57"/>
      <c r="AM1892" s="57"/>
      <c r="AN1892" s="57"/>
      <c r="AO1892" s="57"/>
      <c r="AP1892" s="57"/>
      <c r="AQ1892" s="57"/>
      <c r="AR1892" s="57"/>
      <c r="AS1892" s="57"/>
      <c r="AT1892" s="57"/>
      <c r="AU1892" s="57"/>
      <c r="AV1892" s="57"/>
      <c r="AW1892" s="57"/>
      <c r="AX1892" s="57"/>
      <c r="AY1892" s="57"/>
      <c r="AZ1892" s="57"/>
      <c r="BA1892" s="57"/>
      <c r="BB1892" s="57"/>
      <c r="BC1892" s="57"/>
      <c r="BD1892" s="57"/>
      <c r="BE1892" s="57"/>
      <c r="BF1892" s="57"/>
    </row>
    <row r="1893" spans="1:58" x14ac:dyDescent="0.25">
      <c r="A1893" s="53"/>
      <c r="B1893" s="60"/>
      <c r="C1893" s="57">
        <f t="shared" si="140"/>
        <v>0</v>
      </c>
      <c r="D1893" s="56"/>
      <c r="E1893" s="57">
        <f>[1]DETAY!$A$2</f>
        <v>0</v>
      </c>
      <c r="F1893" s="90">
        <f t="shared" si="141"/>
        <v>0</v>
      </c>
      <c r="G1893" s="92">
        <f t="shared" si="142"/>
        <v>0</v>
      </c>
      <c r="H1893" s="62" t="e">
        <f t="shared" si="143"/>
        <v>#DIV/0!</v>
      </c>
      <c r="I1893" s="57"/>
      <c r="J1893" s="57"/>
      <c r="K1893" s="57"/>
      <c r="L1893" s="57"/>
      <c r="M1893" s="58"/>
      <c r="N1893" s="57"/>
      <c r="O1893" s="57"/>
      <c r="P1893" s="57"/>
      <c r="Q1893" s="57"/>
      <c r="R1893" s="57"/>
      <c r="S1893" s="61"/>
      <c r="T1893" s="57"/>
      <c r="U1893" s="57"/>
      <c r="V1893" s="57"/>
      <c r="W1893" s="57"/>
      <c r="X1893" s="57"/>
      <c r="Y1893" s="57"/>
      <c r="Z1893" s="57"/>
      <c r="AA1893" s="57"/>
      <c r="AB1893" s="57"/>
      <c r="AC1893" s="57"/>
      <c r="AD1893" s="57"/>
      <c r="AE1893" s="57"/>
      <c r="AF1893" s="57"/>
      <c r="AG1893" s="57"/>
      <c r="AH1893" s="57"/>
      <c r="AI1893" s="57"/>
      <c r="AJ1893" s="57"/>
      <c r="AK1893" s="57"/>
      <c r="AL1893" s="57"/>
      <c r="AM1893" s="57"/>
      <c r="AN1893" s="57"/>
      <c r="AO1893" s="57"/>
      <c r="AP1893" s="57"/>
      <c r="AQ1893" s="57"/>
      <c r="AR1893" s="57"/>
      <c r="AS1893" s="57"/>
      <c r="AT1893" s="57"/>
      <c r="AU1893" s="57"/>
      <c r="AV1893" s="57"/>
      <c r="AW1893" s="57"/>
      <c r="AX1893" s="57"/>
      <c r="AY1893" s="57"/>
      <c r="AZ1893" s="57"/>
      <c r="BA1893" s="57"/>
      <c r="BB1893" s="57"/>
      <c r="BC1893" s="57"/>
      <c r="BD1893" s="57"/>
      <c r="BE1893" s="57"/>
      <c r="BF1893" s="57"/>
    </row>
    <row r="1894" spans="1:58" x14ac:dyDescent="0.25">
      <c r="A1894" s="53"/>
      <c r="B1894" s="60"/>
      <c r="C1894" s="57">
        <f t="shared" si="140"/>
        <v>0</v>
      </c>
      <c r="D1894" s="56"/>
      <c r="E1894" s="57">
        <f>[1]DETAY!$A$2</f>
        <v>0</v>
      </c>
      <c r="F1894" s="90">
        <f t="shared" si="141"/>
        <v>0</v>
      </c>
      <c r="G1894" s="92">
        <f t="shared" si="142"/>
        <v>0</v>
      </c>
      <c r="H1894" s="62" t="e">
        <f t="shared" si="143"/>
        <v>#DIV/0!</v>
      </c>
      <c r="I1894" s="57"/>
      <c r="J1894" s="57"/>
      <c r="K1894" s="57"/>
      <c r="L1894" s="57"/>
      <c r="M1894" s="58"/>
      <c r="N1894" s="57"/>
      <c r="O1894" s="57"/>
      <c r="P1894" s="57"/>
      <c r="Q1894" s="57"/>
      <c r="R1894" s="57"/>
      <c r="S1894" s="61"/>
      <c r="T1894" s="57"/>
      <c r="U1894" s="57"/>
      <c r="V1894" s="57"/>
      <c r="W1894" s="57"/>
      <c r="X1894" s="57"/>
      <c r="Y1894" s="57"/>
      <c r="Z1894" s="57"/>
      <c r="AA1894" s="57"/>
      <c r="AB1894" s="57"/>
      <c r="AC1894" s="57"/>
      <c r="AD1894" s="57"/>
      <c r="AE1894" s="57"/>
      <c r="AF1894" s="57"/>
      <c r="AG1894" s="57"/>
      <c r="AH1894" s="57"/>
      <c r="AI1894" s="57"/>
      <c r="AJ1894" s="57"/>
      <c r="AK1894" s="57"/>
      <c r="AL1894" s="57"/>
      <c r="AM1894" s="57"/>
      <c r="AN1894" s="57"/>
      <c r="AO1894" s="57"/>
      <c r="AP1894" s="57"/>
      <c r="AQ1894" s="57"/>
      <c r="AR1894" s="57"/>
      <c r="AS1894" s="57"/>
      <c r="AT1894" s="57"/>
      <c r="AU1894" s="57"/>
      <c r="AV1894" s="57"/>
      <c r="AW1894" s="57"/>
      <c r="AX1894" s="57"/>
      <c r="AY1894" s="57"/>
      <c r="AZ1894" s="57"/>
      <c r="BA1894" s="57"/>
      <c r="BB1894" s="57"/>
      <c r="BC1894" s="57"/>
      <c r="BD1894" s="57"/>
      <c r="BE1894" s="57"/>
      <c r="BF1894" s="57"/>
    </row>
    <row r="1895" spans="1:58" x14ac:dyDescent="0.25">
      <c r="A1895" s="53"/>
      <c r="B1895" s="60"/>
      <c r="C1895" s="57">
        <f t="shared" si="140"/>
        <v>0</v>
      </c>
      <c r="D1895" s="56"/>
      <c r="E1895" s="57">
        <f>[1]DETAY!$A$2</f>
        <v>0</v>
      </c>
      <c r="F1895" s="90">
        <f t="shared" si="141"/>
        <v>0</v>
      </c>
      <c r="G1895" s="92">
        <f t="shared" si="142"/>
        <v>0</v>
      </c>
      <c r="H1895" s="62" t="e">
        <f t="shared" si="143"/>
        <v>#DIV/0!</v>
      </c>
      <c r="I1895" s="57"/>
      <c r="J1895" s="57"/>
      <c r="K1895" s="57"/>
      <c r="L1895" s="57"/>
      <c r="M1895" s="58"/>
      <c r="N1895" s="57"/>
      <c r="O1895" s="57"/>
      <c r="P1895" s="57"/>
      <c r="Q1895" s="57"/>
      <c r="R1895" s="57"/>
      <c r="S1895" s="61"/>
      <c r="T1895" s="57"/>
      <c r="U1895" s="57"/>
      <c r="V1895" s="57"/>
      <c r="W1895" s="57"/>
      <c r="X1895" s="57"/>
      <c r="Y1895" s="57"/>
      <c r="Z1895" s="57"/>
      <c r="AA1895" s="57"/>
      <c r="AB1895" s="57"/>
      <c r="AC1895" s="57"/>
      <c r="AD1895" s="57"/>
      <c r="AE1895" s="57"/>
      <c r="AF1895" s="57"/>
      <c r="AG1895" s="57"/>
      <c r="AH1895" s="57"/>
      <c r="AI1895" s="57"/>
      <c r="AJ1895" s="57"/>
      <c r="AK1895" s="57"/>
      <c r="AL1895" s="57"/>
      <c r="AM1895" s="57"/>
      <c r="AN1895" s="57"/>
      <c r="AO1895" s="57"/>
      <c r="AP1895" s="57"/>
      <c r="AQ1895" s="57"/>
      <c r="AR1895" s="57"/>
      <c r="AS1895" s="57"/>
      <c r="AT1895" s="57"/>
      <c r="AU1895" s="57"/>
      <c r="AV1895" s="57"/>
      <c r="AW1895" s="57"/>
      <c r="AX1895" s="57"/>
      <c r="AY1895" s="57"/>
      <c r="AZ1895" s="57"/>
      <c r="BA1895" s="57"/>
      <c r="BB1895" s="57"/>
      <c r="BC1895" s="57"/>
      <c r="BD1895" s="57"/>
      <c r="BE1895" s="57"/>
      <c r="BF1895" s="57"/>
    </row>
    <row r="1896" spans="1:58" x14ac:dyDescent="0.25">
      <c r="A1896" s="53"/>
      <c r="B1896" s="60"/>
      <c r="C1896" s="57">
        <f t="shared" si="140"/>
        <v>0</v>
      </c>
      <c r="D1896" s="56"/>
      <c r="E1896" s="57">
        <f>[1]DETAY!$A$2</f>
        <v>0</v>
      </c>
      <c r="F1896" s="90">
        <f t="shared" si="141"/>
        <v>0</v>
      </c>
      <c r="G1896" s="92">
        <f t="shared" si="142"/>
        <v>0</v>
      </c>
      <c r="H1896" s="62" t="e">
        <f t="shared" si="143"/>
        <v>#DIV/0!</v>
      </c>
      <c r="I1896" s="57"/>
      <c r="J1896" s="57"/>
      <c r="K1896" s="57"/>
      <c r="L1896" s="57"/>
      <c r="M1896" s="58"/>
      <c r="N1896" s="57"/>
      <c r="O1896" s="57"/>
      <c r="P1896" s="57"/>
      <c r="Q1896" s="57"/>
      <c r="R1896" s="57"/>
      <c r="S1896" s="61"/>
      <c r="T1896" s="57"/>
      <c r="U1896" s="57"/>
      <c r="V1896" s="57"/>
      <c r="W1896" s="57"/>
      <c r="X1896" s="57"/>
      <c r="Y1896" s="57"/>
      <c r="Z1896" s="57"/>
      <c r="AA1896" s="57"/>
      <c r="AB1896" s="57"/>
      <c r="AC1896" s="57"/>
      <c r="AD1896" s="57"/>
      <c r="AE1896" s="57"/>
      <c r="AF1896" s="57"/>
      <c r="AG1896" s="57"/>
      <c r="AH1896" s="57"/>
      <c r="AI1896" s="57"/>
      <c r="AJ1896" s="57"/>
      <c r="AK1896" s="57"/>
      <c r="AL1896" s="57"/>
      <c r="AM1896" s="57"/>
      <c r="AN1896" s="57"/>
      <c r="AO1896" s="57"/>
      <c r="AP1896" s="57"/>
      <c r="AQ1896" s="57"/>
      <c r="AR1896" s="57"/>
      <c r="AS1896" s="57"/>
      <c r="AT1896" s="57"/>
      <c r="AU1896" s="57"/>
      <c r="AV1896" s="57"/>
      <c r="AW1896" s="57"/>
      <c r="AX1896" s="57"/>
      <c r="AY1896" s="57"/>
      <c r="AZ1896" s="57"/>
      <c r="BA1896" s="57"/>
      <c r="BB1896" s="57"/>
      <c r="BC1896" s="57"/>
      <c r="BD1896" s="57"/>
      <c r="BE1896" s="57"/>
      <c r="BF1896" s="57"/>
    </row>
    <row r="1897" spans="1:58" x14ac:dyDescent="0.25">
      <c r="A1897" s="53"/>
      <c r="B1897" s="60"/>
      <c r="C1897" s="57">
        <f t="shared" si="140"/>
        <v>0</v>
      </c>
      <c r="D1897" s="56"/>
      <c r="E1897" s="57">
        <f>[1]DETAY!$A$2</f>
        <v>0</v>
      </c>
      <c r="F1897" s="90">
        <f t="shared" si="141"/>
        <v>0</v>
      </c>
      <c r="G1897" s="92">
        <f t="shared" si="142"/>
        <v>0</v>
      </c>
      <c r="H1897" s="62" t="e">
        <f t="shared" si="143"/>
        <v>#DIV/0!</v>
      </c>
      <c r="I1897" s="57"/>
      <c r="J1897" s="57"/>
      <c r="K1897" s="57"/>
      <c r="L1897" s="57"/>
      <c r="M1897" s="58"/>
      <c r="N1897" s="57"/>
      <c r="O1897" s="57"/>
      <c r="P1897" s="57"/>
      <c r="Q1897" s="57"/>
      <c r="R1897" s="57"/>
      <c r="S1897" s="61"/>
      <c r="T1897" s="57"/>
      <c r="U1897" s="57"/>
      <c r="V1897" s="57"/>
      <c r="W1897" s="57"/>
      <c r="X1897" s="57"/>
      <c r="Y1897" s="57"/>
      <c r="Z1897" s="57"/>
      <c r="AA1897" s="57"/>
      <c r="AB1897" s="57"/>
      <c r="AC1897" s="57"/>
      <c r="AD1897" s="57"/>
      <c r="AE1897" s="57"/>
      <c r="AF1897" s="57"/>
      <c r="AG1897" s="57"/>
      <c r="AH1897" s="57"/>
      <c r="AI1897" s="57"/>
      <c r="AJ1897" s="57"/>
      <c r="AK1897" s="57"/>
      <c r="AL1897" s="57"/>
      <c r="AM1897" s="57"/>
      <c r="AN1897" s="57"/>
      <c r="AO1897" s="57"/>
      <c r="AP1897" s="57"/>
      <c r="AQ1897" s="57"/>
      <c r="AR1897" s="57"/>
      <c r="AS1897" s="57"/>
      <c r="AT1897" s="57"/>
      <c r="AU1897" s="57"/>
      <c r="AV1897" s="57"/>
      <c r="AW1897" s="57"/>
      <c r="AX1897" s="57"/>
      <c r="AY1897" s="57"/>
      <c r="AZ1897" s="57"/>
      <c r="BA1897" s="57"/>
      <c r="BB1897" s="57"/>
      <c r="BC1897" s="57"/>
      <c r="BD1897" s="57"/>
      <c r="BE1897" s="57"/>
      <c r="BF1897" s="57"/>
    </row>
    <row r="1898" spans="1:58" x14ac:dyDescent="0.25">
      <c r="A1898" s="53"/>
      <c r="B1898" s="60"/>
      <c r="C1898" s="57">
        <f t="shared" si="140"/>
        <v>0</v>
      </c>
      <c r="D1898" s="56"/>
      <c r="E1898" s="57">
        <f>[1]DETAY!$A$2</f>
        <v>0</v>
      </c>
      <c r="F1898" s="90">
        <f t="shared" si="141"/>
        <v>0</v>
      </c>
      <c r="G1898" s="92">
        <f t="shared" si="142"/>
        <v>0</v>
      </c>
      <c r="H1898" s="62" t="e">
        <f t="shared" si="143"/>
        <v>#DIV/0!</v>
      </c>
      <c r="I1898" s="57"/>
      <c r="J1898" s="57"/>
      <c r="K1898" s="57"/>
      <c r="L1898" s="57"/>
      <c r="M1898" s="58"/>
      <c r="N1898" s="57"/>
      <c r="O1898" s="57"/>
      <c r="P1898" s="57"/>
      <c r="Q1898" s="57"/>
      <c r="R1898" s="57"/>
      <c r="S1898" s="61"/>
      <c r="T1898" s="57"/>
      <c r="U1898" s="57"/>
      <c r="V1898" s="57"/>
      <c r="W1898" s="57"/>
      <c r="X1898" s="57"/>
      <c r="Y1898" s="57"/>
      <c r="Z1898" s="57"/>
      <c r="AA1898" s="57"/>
      <c r="AB1898" s="57"/>
      <c r="AC1898" s="57"/>
      <c r="AD1898" s="57"/>
      <c r="AE1898" s="57"/>
      <c r="AF1898" s="57"/>
      <c r="AG1898" s="57"/>
      <c r="AH1898" s="57"/>
      <c r="AI1898" s="57"/>
      <c r="AJ1898" s="57"/>
      <c r="AK1898" s="57"/>
      <c r="AL1898" s="57"/>
      <c r="AM1898" s="57"/>
      <c r="AN1898" s="57"/>
      <c r="AO1898" s="57"/>
      <c r="AP1898" s="57"/>
      <c r="AQ1898" s="57"/>
      <c r="AR1898" s="57"/>
      <c r="AS1898" s="57"/>
      <c r="AT1898" s="57"/>
      <c r="AU1898" s="57"/>
      <c r="AV1898" s="57"/>
      <c r="AW1898" s="57"/>
      <c r="AX1898" s="57"/>
      <c r="AY1898" s="57"/>
      <c r="AZ1898" s="57"/>
      <c r="BA1898" s="57"/>
      <c r="BB1898" s="57"/>
      <c r="BC1898" s="57"/>
      <c r="BD1898" s="57"/>
      <c r="BE1898" s="57"/>
      <c r="BF1898" s="57"/>
    </row>
    <row r="1899" spans="1:58" x14ac:dyDescent="0.25">
      <c r="A1899" s="53"/>
      <c r="B1899" s="60"/>
      <c r="C1899" s="57">
        <f t="shared" si="140"/>
        <v>0</v>
      </c>
      <c r="D1899" s="56"/>
      <c r="E1899" s="57">
        <f>[1]DETAY!$A$2</f>
        <v>0</v>
      </c>
      <c r="F1899" s="90">
        <f t="shared" si="141"/>
        <v>0</v>
      </c>
      <c r="G1899" s="92">
        <f t="shared" si="142"/>
        <v>0</v>
      </c>
      <c r="H1899" s="62" t="e">
        <f t="shared" si="143"/>
        <v>#DIV/0!</v>
      </c>
      <c r="I1899" s="57"/>
      <c r="J1899" s="57"/>
      <c r="K1899" s="57"/>
      <c r="L1899" s="57"/>
      <c r="M1899" s="58"/>
      <c r="N1899" s="57"/>
      <c r="O1899" s="57"/>
      <c r="P1899" s="57"/>
      <c r="Q1899" s="57"/>
      <c r="R1899" s="57"/>
      <c r="S1899" s="61"/>
      <c r="T1899" s="57"/>
      <c r="U1899" s="57"/>
      <c r="V1899" s="57"/>
      <c r="W1899" s="57"/>
      <c r="X1899" s="57"/>
      <c r="Y1899" s="57"/>
      <c r="Z1899" s="57"/>
      <c r="AA1899" s="57"/>
      <c r="AB1899" s="57"/>
      <c r="AC1899" s="57"/>
      <c r="AD1899" s="57"/>
      <c r="AE1899" s="57"/>
      <c r="AF1899" s="57"/>
      <c r="AG1899" s="57"/>
      <c r="AH1899" s="57"/>
      <c r="AI1899" s="57"/>
      <c r="AJ1899" s="57"/>
      <c r="AK1899" s="57"/>
      <c r="AL1899" s="57"/>
      <c r="AM1899" s="57"/>
      <c r="AN1899" s="57"/>
      <c r="AO1899" s="57"/>
      <c r="AP1899" s="57"/>
      <c r="AQ1899" s="57"/>
      <c r="AR1899" s="57"/>
      <c r="AS1899" s="57"/>
      <c r="AT1899" s="57"/>
      <c r="AU1899" s="57"/>
      <c r="AV1899" s="57"/>
      <c r="AW1899" s="57"/>
      <c r="AX1899" s="57"/>
      <c r="AY1899" s="57"/>
      <c r="AZ1899" s="57"/>
      <c r="BA1899" s="57"/>
      <c r="BB1899" s="57"/>
      <c r="BC1899" s="57"/>
      <c r="BD1899" s="57"/>
      <c r="BE1899" s="57"/>
      <c r="BF1899" s="57"/>
    </row>
    <row r="1900" spans="1:58" x14ac:dyDescent="0.25">
      <c r="A1900" s="53"/>
      <c r="B1900" s="60"/>
      <c r="C1900" s="57">
        <f t="shared" si="140"/>
        <v>0</v>
      </c>
      <c r="D1900" s="56"/>
      <c r="E1900" s="57">
        <f>[1]DETAY!$A$2</f>
        <v>0</v>
      </c>
      <c r="F1900" s="90">
        <f t="shared" si="141"/>
        <v>0</v>
      </c>
      <c r="G1900" s="92">
        <f t="shared" si="142"/>
        <v>0</v>
      </c>
      <c r="H1900" s="62" t="e">
        <f t="shared" si="143"/>
        <v>#DIV/0!</v>
      </c>
      <c r="I1900" s="57"/>
      <c r="J1900" s="57"/>
      <c r="K1900" s="57"/>
      <c r="L1900" s="57"/>
      <c r="M1900" s="58"/>
      <c r="N1900" s="57"/>
      <c r="O1900" s="57"/>
      <c r="P1900" s="57"/>
      <c r="Q1900" s="57"/>
      <c r="R1900" s="57"/>
      <c r="S1900" s="61"/>
      <c r="T1900" s="57"/>
      <c r="U1900" s="57"/>
      <c r="V1900" s="57"/>
      <c r="W1900" s="57"/>
      <c r="X1900" s="57"/>
      <c r="Y1900" s="57"/>
      <c r="Z1900" s="57"/>
      <c r="AA1900" s="57"/>
      <c r="AB1900" s="57"/>
      <c r="AC1900" s="57"/>
      <c r="AD1900" s="57"/>
      <c r="AE1900" s="57"/>
      <c r="AF1900" s="57"/>
      <c r="AG1900" s="57"/>
      <c r="AH1900" s="57"/>
      <c r="AI1900" s="57"/>
      <c r="AJ1900" s="57"/>
      <c r="AK1900" s="57"/>
      <c r="AL1900" s="57"/>
      <c r="AM1900" s="57"/>
      <c r="AN1900" s="57"/>
      <c r="AO1900" s="57"/>
      <c r="AP1900" s="57"/>
      <c r="AQ1900" s="57"/>
      <c r="AR1900" s="57"/>
      <c r="AS1900" s="57"/>
      <c r="AT1900" s="57"/>
      <c r="AU1900" s="57"/>
      <c r="AV1900" s="57"/>
      <c r="AW1900" s="57"/>
      <c r="AX1900" s="57"/>
      <c r="AY1900" s="57"/>
      <c r="AZ1900" s="57"/>
      <c r="BA1900" s="57"/>
      <c r="BB1900" s="57"/>
      <c r="BC1900" s="57"/>
      <c r="BD1900" s="57"/>
      <c r="BE1900" s="57"/>
      <c r="BF1900" s="57"/>
    </row>
    <row r="1901" spans="1:58" x14ac:dyDescent="0.25">
      <c r="A1901" s="53"/>
      <c r="B1901" s="60"/>
      <c r="C1901" s="57">
        <f t="shared" si="140"/>
        <v>0</v>
      </c>
      <c r="D1901" s="56"/>
      <c r="E1901" s="57">
        <f>[1]DETAY!$A$2</f>
        <v>0</v>
      </c>
      <c r="F1901" s="90">
        <f t="shared" si="141"/>
        <v>0</v>
      </c>
      <c r="G1901" s="92">
        <f t="shared" si="142"/>
        <v>0</v>
      </c>
      <c r="H1901" s="62" t="e">
        <f t="shared" si="143"/>
        <v>#DIV/0!</v>
      </c>
      <c r="I1901" s="57"/>
      <c r="J1901" s="57"/>
      <c r="K1901" s="57"/>
      <c r="L1901" s="57"/>
      <c r="M1901" s="58"/>
      <c r="N1901" s="57"/>
      <c r="O1901" s="57"/>
      <c r="P1901" s="57"/>
      <c r="Q1901" s="57"/>
      <c r="R1901" s="57"/>
      <c r="S1901" s="61"/>
      <c r="T1901" s="57"/>
      <c r="U1901" s="57"/>
      <c r="V1901" s="57"/>
      <c r="W1901" s="57"/>
      <c r="X1901" s="57"/>
      <c r="Y1901" s="57"/>
      <c r="Z1901" s="57"/>
      <c r="AA1901" s="57"/>
      <c r="AB1901" s="57"/>
      <c r="AC1901" s="57"/>
      <c r="AD1901" s="57"/>
      <c r="AE1901" s="57"/>
      <c r="AF1901" s="57"/>
      <c r="AG1901" s="57"/>
      <c r="AH1901" s="57"/>
      <c r="AI1901" s="57"/>
      <c r="AJ1901" s="57"/>
      <c r="AK1901" s="57"/>
      <c r="AL1901" s="57"/>
      <c r="AM1901" s="57"/>
      <c r="AN1901" s="57"/>
      <c r="AO1901" s="57"/>
      <c r="AP1901" s="57"/>
      <c r="AQ1901" s="57"/>
      <c r="AR1901" s="57"/>
      <c r="AS1901" s="57"/>
      <c r="AT1901" s="57"/>
      <c r="AU1901" s="57"/>
      <c r="AV1901" s="57"/>
      <c r="AW1901" s="57"/>
      <c r="AX1901" s="57"/>
      <c r="AY1901" s="57"/>
      <c r="AZ1901" s="57"/>
      <c r="BA1901" s="57"/>
      <c r="BB1901" s="57"/>
      <c r="BC1901" s="57"/>
      <c r="BD1901" s="57"/>
      <c r="BE1901" s="57"/>
      <c r="BF1901" s="57"/>
    </row>
    <row r="1902" spans="1:58" x14ac:dyDescent="0.25">
      <c r="A1902" s="53"/>
      <c r="B1902" s="60"/>
      <c r="C1902" s="57">
        <f t="shared" si="140"/>
        <v>0</v>
      </c>
      <c r="D1902" s="56"/>
      <c r="E1902" s="57">
        <f>[1]DETAY!$A$2</f>
        <v>0</v>
      </c>
      <c r="F1902" s="90">
        <f t="shared" si="141"/>
        <v>0</v>
      </c>
      <c r="G1902" s="92">
        <f t="shared" si="142"/>
        <v>0</v>
      </c>
      <c r="H1902" s="62" t="e">
        <f t="shared" si="143"/>
        <v>#DIV/0!</v>
      </c>
      <c r="I1902" s="57"/>
      <c r="J1902" s="57"/>
      <c r="K1902" s="57"/>
      <c r="L1902" s="57"/>
      <c r="M1902" s="58"/>
      <c r="N1902" s="57"/>
      <c r="O1902" s="57"/>
      <c r="P1902" s="57"/>
      <c r="Q1902" s="57"/>
      <c r="R1902" s="57"/>
      <c r="S1902" s="61"/>
      <c r="T1902" s="57"/>
      <c r="U1902" s="57"/>
      <c r="V1902" s="57"/>
      <c r="W1902" s="57"/>
      <c r="X1902" s="57"/>
      <c r="Y1902" s="57"/>
      <c r="Z1902" s="57"/>
      <c r="AA1902" s="57"/>
      <c r="AB1902" s="57"/>
      <c r="AC1902" s="57"/>
      <c r="AD1902" s="57"/>
      <c r="AE1902" s="57"/>
      <c r="AF1902" s="57"/>
      <c r="AG1902" s="57"/>
      <c r="AH1902" s="57"/>
      <c r="AI1902" s="57"/>
      <c r="AJ1902" s="57"/>
      <c r="AK1902" s="57"/>
      <c r="AL1902" s="57"/>
      <c r="AM1902" s="57"/>
      <c r="AN1902" s="57"/>
      <c r="AO1902" s="57"/>
      <c r="AP1902" s="57"/>
      <c r="AQ1902" s="57"/>
      <c r="AR1902" s="57"/>
      <c r="AS1902" s="57"/>
      <c r="AT1902" s="57"/>
      <c r="AU1902" s="57"/>
      <c r="AV1902" s="57"/>
      <c r="AW1902" s="57"/>
      <c r="AX1902" s="57"/>
      <c r="AY1902" s="57"/>
      <c r="AZ1902" s="57"/>
      <c r="BA1902" s="57"/>
      <c r="BB1902" s="57"/>
      <c r="BC1902" s="57"/>
      <c r="BD1902" s="57"/>
      <c r="BE1902" s="57"/>
      <c r="BF1902" s="57"/>
    </row>
    <row r="1903" spans="1:58" x14ac:dyDescent="0.25">
      <c r="A1903" s="53"/>
      <c r="B1903" s="60"/>
      <c r="C1903" s="57">
        <f t="shared" si="140"/>
        <v>0</v>
      </c>
      <c r="D1903" s="56"/>
      <c r="E1903" s="57">
        <f>[1]DETAY!$A$2</f>
        <v>0</v>
      </c>
      <c r="F1903" s="90">
        <f t="shared" si="141"/>
        <v>0</v>
      </c>
      <c r="G1903" s="92">
        <f t="shared" si="142"/>
        <v>0</v>
      </c>
      <c r="H1903" s="62" t="e">
        <f t="shared" si="143"/>
        <v>#DIV/0!</v>
      </c>
      <c r="I1903" s="57"/>
      <c r="J1903" s="57"/>
      <c r="K1903" s="57"/>
      <c r="L1903" s="57"/>
      <c r="M1903" s="58"/>
      <c r="N1903" s="57"/>
      <c r="O1903" s="57"/>
      <c r="P1903" s="57"/>
      <c r="Q1903" s="57"/>
      <c r="R1903" s="57"/>
      <c r="S1903" s="61"/>
      <c r="T1903" s="57"/>
      <c r="U1903" s="57"/>
      <c r="V1903" s="57"/>
      <c r="W1903" s="57"/>
      <c r="X1903" s="57"/>
      <c r="Y1903" s="57"/>
      <c r="Z1903" s="57"/>
      <c r="AA1903" s="57"/>
      <c r="AB1903" s="57"/>
      <c r="AC1903" s="57"/>
      <c r="AD1903" s="57"/>
      <c r="AE1903" s="57"/>
      <c r="AF1903" s="57"/>
      <c r="AG1903" s="57"/>
      <c r="AH1903" s="57"/>
      <c r="AI1903" s="57"/>
      <c r="AJ1903" s="57"/>
      <c r="AK1903" s="57"/>
      <c r="AL1903" s="57"/>
      <c r="AM1903" s="57"/>
      <c r="AN1903" s="57"/>
      <c r="AO1903" s="57"/>
      <c r="AP1903" s="57"/>
      <c r="AQ1903" s="57"/>
      <c r="AR1903" s="57"/>
      <c r="AS1903" s="57"/>
      <c r="AT1903" s="57"/>
      <c r="AU1903" s="57"/>
      <c r="AV1903" s="57"/>
      <c r="AW1903" s="57"/>
      <c r="AX1903" s="57"/>
      <c r="AY1903" s="57"/>
      <c r="AZ1903" s="57"/>
      <c r="BA1903" s="57"/>
      <c r="BB1903" s="57"/>
      <c r="BC1903" s="57"/>
      <c r="BD1903" s="57"/>
      <c r="BE1903" s="57"/>
      <c r="BF1903" s="57"/>
    </row>
    <row r="1904" spans="1:58" x14ac:dyDescent="0.25">
      <c r="A1904" s="53"/>
      <c r="B1904" s="60"/>
      <c r="C1904" s="57">
        <f t="shared" si="140"/>
        <v>0</v>
      </c>
      <c r="D1904" s="56"/>
      <c r="E1904" s="57">
        <f>[1]DETAY!$A$2</f>
        <v>0</v>
      </c>
      <c r="F1904" s="90">
        <f t="shared" si="141"/>
        <v>0</v>
      </c>
      <c r="G1904" s="92">
        <f t="shared" si="142"/>
        <v>0</v>
      </c>
      <c r="H1904" s="62" t="e">
        <f t="shared" si="143"/>
        <v>#DIV/0!</v>
      </c>
      <c r="I1904" s="57"/>
      <c r="J1904" s="57"/>
      <c r="K1904" s="57"/>
      <c r="L1904" s="57"/>
      <c r="M1904" s="58"/>
      <c r="N1904" s="57"/>
      <c r="O1904" s="57"/>
      <c r="P1904" s="57"/>
      <c r="Q1904" s="57"/>
      <c r="R1904" s="57"/>
      <c r="S1904" s="61"/>
      <c r="T1904" s="57"/>
      <c r="U1904" s="57"/>
      <c r="V1904" s="57"/>
      <c r="W1904" s="57"/>
      <c r="X1904" s="57"/>
      <c r="Y1904" s="57"/>
      <c r="Z1904" s="57"/>
      <c r="AA1904" s="57"/>
      <c r="AB1904" s="57"/>
      <c r="AC1904" s="57"/>
      <c r="AD1904" s="57"/>
      <c r="AE1904" s="57"/>
      <c r="AF1904" s="57"/>
      <c r="AG1904" s="57"/>
      <c r="AH1904" s="57"/>
      <c r="AI1904" s="57"/>
      <c r="AJ1904" s="57"/>
      <c r="AK1904" s="57"/>
      <c r="AL1904" s="57"/>
      <c r="AM1904" s="57"/>
      <c r="AN1904" s="57"/>
      <c r="AO1904" s="57"/>
      <c r="AP1904" s="57"/>
      <c r="AQ1904" s="57"/>
      <c r="AR1904" s="57"/>
      <c r="AS1904" s="57"/>
      <c r="AT1904" s="57"/>
      <c r="AU1904" s="57"/>
      <c r="AV1904" s="57"/>
      <c r="AW1904" s="57"/>
      <c r="AX1904" s="57"/>
      <c r="AY1904" s="57"/>
      <c r="AZ1904" s="57"/>
      <c r="BA1904" s="57"/>
      <c r="BB1904" s="57"/>
      <c r="BC1904" s="57"/>
      <c r="BD1904" s="57"/>
      <c r="BE1904" s="57"/>
      <c r="BF1904" s="57"/>
    </row>
    <row r="1905" spans="1:58" x14ac:dyDescent="0.25">
      <c r="A1905" s="53"/>
      <c r="B1905" s="60"/>
      <c r="C1905" s="57">
        <f t="shared" si="140"/>
        <v>0</v>
      </c>
      <c r="D1905" s="56"/>
      <c r="E1905" s="57">
        <f>[1]DETAY!$A$2</f>
        <v>0</v>
      </c>
      <c r="F1905" s="90">
        <f t="shared" si="141"/>
        <v>0</v>
      </c>
      <c r="G1905" s="92">
        <f t="shared" si="142"/>
        <v>0</v>
      </c>
      <c r="H1905" s="62" t="e">
        <f t="shared" si="143"/>
        <v>#DIV/0!</v>
      </c>
      <c r="I1905" s="57"/>
      <c r="J1905" s="57"/>
      <c r="K1905" s="57"/>
      <c r="L1905" s="57"/>
      <c r="M1905" s="58"/>
      <c r="N1905" s="57"/>
      <c r="O1905" s="57"/>
      <c r="P1905" s="57"/>
      <c r="Q1905" s="57"/>
      <c r="R1905" s="57"/>
      <c r="S1905" s="61"/>
      <c r="T1905" s="57"/>
      <c r="U1905" s="57"/>
      <c r="V1905" s="57"/>
      <c r="W1905" s="57"/>
      <c r="X1905" s="57"/>
      <c r="Y1905" s="57"/>
      <c r="Z1905" s="57"/>
      <c r="AA1905" s="57"/>
      <c r="AB1905" s="57"/>
      <c r="AC1905" s="57"/>
      <c r="AD1905" s="57"/>
      <c r="AE1905" s="57"/>
      <c r="AF1905" s="57"/>
      <c r="AG1905" s="57"/>
      <c r="AH1905" s="57"/>
      <c r="AI1905" s="57"/>
      <c r="AJ1905" s="57"/>
      <c r="AK1905" s="57"/>
      <c r="AL1905" s="57"/>
      <c r="AM1905" s="57"/>
      <c r="AN1905" s="57"/>
      <c r="AO1905" s="57"/>
      <c r="AP1905" s="57"/>
      <c r="AQ1905" s="57"/>
      <c r="AR1905" s="57"/>
      <c r="AS1905" s="57"/>
      <c r="AT1905" s="57"/>
      <c r="AU1905" s="57"/>
      <c r="AV1905" s="57"/>
      <c r="AW1905" s="57"/>
      <c r="AX1905" s="57"/>
      <c r="AY1905" s="57"/>
      <c r="AZ1905" s="57"/>
      <c r="BA1905" s="57"/>
      <c r="BB1905" s="57"/>
      <c r="BC1905" s="57"/>
      <c r="BD1905" s="57"/>
      <c r="BE1905" s="57"/>
      <c r="BF1905" s="57"/>
    </row>
    <row r="1906" spans="1:58" x14ac:dyDescent="0.25">
      <c r="A1906" s="53"/>
      <c r="B1906" s="60"/>
      <c r="C1906" s="57">
        <f t="shared" si="140"/>
        <v>0</v>
      </c>
      <c r="D1906" s="56"/>
      <c r="E1906" s="57">
        <f>[1]DETAY!$A$2</f>
        <v>0</v>
      </c>
      <c r="F1906" s="90">
        <f t="shared" si="141"/>
        <v>0</v>
      </c>
      <c r="G1906" s="92">
        <f t="shared" si="142"/>
        <v>0</v>
      </c>
      <c r="H1906" s="62" t="e">
        <f t="shared" si="143"/>
        <v>#DIV/0!</v>
      </c>
      <c r="I1906" s="57"/>
      <c r="J1906" s="57"/>
      <c r="K1906" s="57"/>
      <c r="L1906" s="57"/>
      <c r="M1906" s="58"/>
      <c r="N1906" s="57"/>
      <c r="O1906" s="57"/>
      <c r="P1906" s="57"/>
      <c r="Q1906" s="57"/>
      <c r="R1906" s="57"/>
      <c r="S1906" s="61"/>
      <c r="T1906" s="57"/>
      <c r="U1906" s="57"/>
      <c r="V1906" s="57"/>
      <c r="W1906" s="57"/>
      <c r="X1906" s="57"/>
      <c r="Y1906" s="57"/>
      <c r="Z1906" s="57"/>
      <c r="AA1906" s="57"/>
      <c r="AB1906" s="57"/>
      <c r="AC1906" s="57"/>
      <c r="AD1906" s="57"/>
      <c r="AE1906" s="57"/>
      <c r="AF1906" s="57"/>
      <c r="AG1906" s="57"/>
      <c r="AH1906" s="57"/>
      <c r="AI1906" s="57"/>
      <c r="AJ1906" s="57"/>
      <c r="AK1906" s="57"/>
      <c r="AL1906" s="57"/>
      <c r="AM1906" s="57"/>
      <c r="AN1906" s="57"/>
      <c r="AO1906" s="57"/>
      <c r="AP1906" s="57"/>
      <c r="AQ1906" s="57"/>
      <c r="AR1906" s="57"/>
      <c r="AS1906" s="57"/>
      <c r="AT1906" s="57"/>
      <c r="AU1906" s="57"/>
      <c r="AV1906" s="57"/>
      <c r="AW1906" s="57"/>
      <c r="AX1906" s="57"/>
      <c r="AY1906" s="57"/>
      <c r="AZ1906" s="57"/>
      <c r="BA1906" s="57"/>
      <c r="BB1906" s="57"/>
      <c r="BC1906" s="57"/>
      <c r="BD1906" s="57"/>
      <c r="BE1906" s="57"/>
      <c r="BF1906" s="57"/>
    </row>
    <row r="1907" spans="1:58" x14ac:dyDescent="0.25">
      <c r="A1907" s="53"/>
      <c r="B1907" s="60"/>
      <c r="C1907" s="57">
        <f t="shared" si="140"/>
        <v>0</v>
      </c>
      <c r="D1907" s="56"/>
      <c r="E1907" s="57">
        <f>[1]DETAY!$A$2</f>
        <v>0</v>
      </c>
      <c r="F1907" s="90">
        <f t="shared" si="141"/>
        <v>0</v>
      </c>
      <c r="G1907" s="92">
        <f t="shared" si="142"/>
        <v>0</v>
      </c>
      <c r="H1907" s="62" t="e">
        <f t="shared" si="143"/>
        <v>#DIV/0!</v>
      </c>
      <c r="I1907" s="57"/>
      <c r="J1907" s="57"/>
      <c r="K1907" s="57"/>
      <c r="L1907" s="57"/>
      <c r="M1907" s="58"/>
      <c r="N1907" s="57"/>
      <c r="O1907" s="57"/>
      <c r="P1907" s="57"/>
      <c r="Q1907" s="57"/>
      <c r="R1907" s="57"/>
      <c r="S1907" s="61"/>
      <c r="T1907" s="57"/>
      <c r="U1907" s="57"/>
      <c r="V1907" s="57"/>
      <c r="W1907" s="57"/>
      <c r="X1907" s="57"/>
      <c r="Y1907" s="57"/>
      <c r="Z1907" s="57"/>
      <c r="AA1907" s="57"/>
      <c r="AB1907" s="57"/>
      <c r="AC1907" s="57"/>
      <c r="AD1907" s="57"/>
      <c r="AE1907" s="57"/>
      <c r="AF1907" s="57"/>
      <c r="AG1907" s="57"/>
      <c r="AH1907" s="57"/>
      <c r="AI1907" s="57"/>
      <c r="AJ1907" s="57"/>
      <c r="AK1907" s="57"/>
      <c r="AL1907" s="57"/>
      <c r="AM1907" s="57"/>
      <c r="AN1907" s="57"/>
      <c r="AO1907" s="57"/>
      <c r="AP1907" s="57"/>
      <c r="AQ1907" s="57"/>
      <c r="AR1907" s="57"/>
      <c r="AS1907" s="57"/>
      <c r="AT1907" s="57"/>
      <c r="AU1907" s="57"/>
      <c r="AV1907" s="57"/>
      <c r="AW1907" s="57"/>
      <c r="AX1907" s="57"/>
      <c r="AY1907" s="57"/>
      <c r="AZ1907" s="57"/>
      <c r="BA1907" s="57"/>
      <c r="BB1907" s="57"/>
      <c r="BC1907" s="57"/>
      <c r="BD1907" s="57"/>
      <c r="BE1907" s="57"/>
      <c r="BF1907" s="57"/>
    </row>
    <row r="1908" spans="1:58" x14ac:dyDescent="0.25">
      <c r="A1908" s="53"/>
      <c r="B1908" s="60"/>
      <c r="C1908" s="57">
        <f t="shared" si="140"/>
        <v>0</v>
      </c>
      <c r="D1908" s="56"/>
      <c r="E1908" s="57">
        <f>[1]DETAY!$A$2</f>
        <v>0</v>
      </c>
      <c r="F1908" s="90">
        <f t="shared" si="141"/>
        <v>0</v>
      </c>
      <c r="G1908" s="92">
        <f t="shared" si="142"/>
        <v>0</v>
      </c>
      <c r="H1908" s="62" t="e">
        <f t="shared" si="143"/>
        <v>#DIV/0!</v>
      </c>
      <c r="I1908" s="57"/>
      <c r="J1908" s="57"/>
      <c r="K1908" s="57"/>
      <c r="L1908" s="57"/>
      <c r="M1908" s="58"/>
      <c r="N1908" s="57"/>
      <c r="O1908" s="57"/>
      <c r="P1908" s="57"/>
      <c r="Q1908" s="57"/>
      <c r="R1908" s="57"/>
      <c r="S1908" s="61"/>
      <c r="T1908" s="57"/>
      <c r="U1908" s="57"/>
      <c r="V1908" s="57"/>
      <c r="W1908" s="57"/>
      <c r="X1908" s="57"/>
      <c r="Y1908" s="57"/>
      <c r="Z1908" s="57"/>
      <c r="AA1908" s="57"/>
      <c r="AB1908" s="57"/>
      <c r="AC1908" s="57"/>
      <c r="AD1908" s="57"/>
      <c r="AE1908" s="57"/>
      <c r="AF1908" s="57"/>
      <c r="AG1908" s="57"/>
      <c r="AH1908" s="57"/>
      <c r="AI1908" s="57"/>
      <c r="AJ1908" s="57"/>
      <c r="AK1908" s="57"/>
      <c r="AL1908" s="57"/>
      <c r="AM1908" s="57"/>
      <c r="AN1908" s="57"/>
      <c r="AO1908" s="57"/>
      <c r="AP1908" s="57"/>
      <c r="AQ1908" s="57"/>
      <c r="AR1908" s="57"/>
      <c r="AS1908" s="57"/>
      <c r="AT1908" s="57"/>
      <c r="AU1908" s="57"/>
      <c r="AV1908" s="57"/>
      <c r="AW1908" s="57"/>
      <c r="AX1908" s="57"/>
      <c r="AY1908" s="57"/>
      <c r="AZ1908" s="57"/>
      <c r="BA1908" s="57"/>
      <c r="BB1908" s="57"/>
      <c r="BC1908" s="57"/>
      <c r="BD1908" s="57"/>
      <c r="BE1908" s="57"/>
      <c r="BF1908" s="57"/>
    </row>
    <row r="1909" spans="1:58" x14ac:dyDescent="0.25">
      <c r="A1909" s="53"/>
      <c r="B1909" s="60"/>
      <c r="C1909" s="57">
        <f t="shared" si="140"/>
        <v>0</v>
      </c>
      <c r="D1909" s="56"/>
      <c r="E1909" s="57">
        <f>[1]DETAY!$A$2</f>
        <v>0</v>
      </c>
      <c r="F1909" s="90">
        <f t="shared" si="141"/>
        <v>0</v>
      </c>
      <c r="G1909" s="92">
        <f t="shared" si="142"/>
        <v>0</v>
      </c>
      <c r="H1909" s="62" t="e">
        <f t="shared" si="143"/>
        <v>#DIV/0!</v>
      </c>
      <c r="I1909" s="57"/>
      <c r="J1909" s="57"/>
      <c r="K1909" s="57"/>
      <c r="L1909" s="57"/>
      <c r="M1909" s="58"/>
      <c r="N1909" s="57"/>
      <c r="O1909" s="57"/>
      <c r="P1909" s="57"/>
      <c r="Q1909" s="57"/>
      <c r="R1909" s="57"/>
      <c r="S1909" s="61"/>
      <c r="T1909" s="57"/>
      <c r="U1909" s="57"/>
      <c r="V1909" s="57"/>
      <c r="W1909" s="57"/>
      <c r="X1909" s="57"/>
      <c r="Y1909" s="57"/>
      <c r="Z1909" s="57"/>
      <c r="AA1909" s="57"/>
      <c r="AB1909" s="57"/>
      <c r="AC1909" s="57"/>
      <c r="AD1909" s="57"/>
      <c r="AE1909" s="57"/>
      <c r="AF1909" s="57"/>
      <c r="AG1909" s="57"/>
      <c r="AH1909" s="57"/>
      <c r="AI1909" s="57"/>
      <c r="AJ1909" s="57"/>
      <c r="AK1909" s="57"/>
      <c r="AL1909" s="57"/>
      <c r="AM1909" s="57"/>
      <c r="AN1909" s="57"/>
      <c r="AO1909" s="57"/>
      <c r="AP1909" s="57"/>
      <c r="AQ1909" s="57"/>
      <c r="AR1909" s="57"/>
      <c r="AS1909" s="57"/>
      <c r="AT1909" s="57"/>
      <c r="AU1909" s="57"/>
      <c r="AV1909" s="57"/>
      <c r="AW1909" s="57"/>
      <c r="AX1909" s="57"/>
      <c r="AY1909" s="57"/>
      <c r="AZ1909" s="57"/>
      <c r="BA1909" s="57"/>
      <c r="BB1909" s="57"/>
      <c r="BC1909" s="57"/>
      <c r="BD1909" s="57"/>
      <c r="BE1909" s="57"/>
      <c r="BF1909" s="57"/>
    </row>
    <row r="1910" spans="1:58" x14ac:dyDescent="0.25">
      <c r="A1910" s="53"/>
      <c r="B1910" s="60"/>
      <c r="C1910" s="57">
        <f t="shared" si="140"/>
        <v>0</v>
      </c>
      <c r="D1910" s="56"/>
      <c r="E1910" s="57">
        <f>[1]DETAY!$A$2</f>
        <v>0</v>
      </c>
      <c r="F1910" s="90">
        <f t="shared" si="141"/>
        <v>0</v>
      </c>
      <c r="G1910" s="92">
        <f t="shared" si="142"/>
        <v>0</v>
      </c>
      <c r="H1910" s="62" t="e">
        <f t="shared" si="143"/>
        <v>#DIV/0!</v>
      </c>
      <c r="I1910" s="57"/>
      <c r="J1910" s="57"/>
      <c r="K1910" s="57"/>
      <c r="L1910" s="57"/>
      <c r="M1910" s="58"/>
      <c r="N1910" s="57"/>
      <c r="O1910" s="57"/>
      <c r="P1910" s="57"/>
      <c r="Q1910" s="57"/>
      <c r="R1910" s="57"/>
      <c r="S1910" s="61"/>
      <c r="T1910" s="57"/>
      <c r="U1910" s="57"/>
      <c r="V1910" s="57"/>
      <c r="W1910" s="57"/>
      <c r="X1910" s="57"/>
      <c r="Y1910" s="57"/>
      <c r="Z1910" s="57"/>
      <c r="AA1910" s="57"/>
      <c r="AB1910" s="57"/>
      <c r="AC1910" s="57"/>
      <c r="AD1910" s="57"/>
      <c r="AE1910" s="57"/>
      <c r="AF1910" s="57"/>
      <c r="AG1910" s="57"/>
      <c r="AH1910" s="57"/>
      <c r="AI1910" s="57"/>
      <c r="AJ1910" s="57"/>
      <c r="AK1910" s="57"/>
      <c r="AL1910" s="57"/>
      <c r="AM1910" s="57"/>
      <c r="AN1910" s="57"/>
      <c r="AO1910" s="57"/>
      <c r="AP1910" s="57"/>
      <c r="AQ1910" s="57"/>
      <c r="AR1910" s="57"/>
      <c r="AS1910" s="57"/>
      <c r="AT1910" s="57"/>
      <c r="AU1910" s="57"/>
      <c r="AV1910" s="57"/>
      <c r="AW1910" s="57"/>
      <c r="AX1910" s="57"/>
      <c r="AY1910" s="57"/>
      <c r="AZ1910" s="57"/>
      <c r="BA1910" s="57"/>
      <c r="BB1910" s="57"/>
      <c r="BC1910" s="57"/>
      <c r="BD1910" s="57"/>
      <c r="BE1910" s="57"/>
      <c r="BF1910" s="57"/>
    </row>
    <row r="1911" spans="1:58" x14ac:dyDescent="0.25">
      <c r="A1911" s="53"/>
      <c r="B1911" s="60"/>
      <c r="C1911" s="57">
        <f t="shared" si="140"/>
        <v>0</v>
      </c>
      <c r="D1911" s="56"/>
      <c r="E1911" s="57">
        <f>[1]DETAY!$A$2</f>
        <v>0</v>
      </c>
      <c r="F1911" s="90">
        <f t="shared" si="141"/>
        <v>0</v>
      </c>
      <c r="G1911" s="92">
        <f t="shared" si="142"/>
        <v>0</v>
      </c>
      <c r="H1911" s="62" t="e">
        <f t="shared" si="143"/>
        <v>#DIV/0!</v>
      </c>
      <c r="I1911" s="57"/>
      <c r="J1911" s="57"/>
      <c r="K1911" s="57"/>
      <c r="L1911" s="57"/>
      <c r="M1911" s="58"/>
      <c r="N1911" s="57"/>
      <c r="O1911" s="57"/>
      <c r="P1911" s="57"/>
      <c r="Q1911" s="57"/>
      <c r="R1911" s="57"/>
      <c r="S1911" s="61"/>
      <c r="T1911" s="57"/>
      <c r="U1911" s="57"/>
      <c r="V1911" s="57"/>
      <c r="W1911" s="57"/>
      <c r="X1911" s="57"/>
      <c r="Y1911" s="57"/>
      <c r="Z1911" s="57"/>
      <c r="AA1911" s="57"/>
      <c r="AB1911" s="57"/>
      <c r="AC1911" s="57"/>
      <c r="AD1911" s="57"/>
      <c r="AE1911" s="57"/>
      <c r="AF1911" s="57"/>
      <c r="AG1911" s="57"/>
      <c r="AH1911" s="57"/>
      <c r="AI1911" s="57"/>
      <c r="AJ1911" s="57"/>
      <c r="AK1911" s="57"/>
      <c r="AL1911" s="57"/>
      <c r="AM1911" s="57"/>
      <c r="AN1911" s="57"/>
      <c r="AO1911" s="57"/>
      <c r="AP1911" s="57"/>
      <c r="AQ1911" s="57"/>
      <c r="AR1911" s="57"/>
      <c r="AS1911" s="57"/>
      <c r="AT1911" s="57"/>
      <c r="AU1911" s="57"/>
      <c r="AV1911" s="57"/>
      <c r="AW1911" s="57"/>
      <c r="AX1911" s="57"/>
      <c r="AY1911" s="57"/>
      <c r="AZ1911" s="57"/>
      <c r="BA1911" s="57"/>
      <c r="BB1911" s="57"/>
      <c r="BC1911" s="57"/>
      <c r="BD1911" s="57"/>
      <c r="BE1911" s="57"/>
      <c r="BF1911" s="57"/>
    </row>
    <row r="1912" spans="1:58" x14ac:dyDescent="0.25">
      <c r="A1912" s="53"/>
      <c r="B1912" s="60"/>
      <c r="C1912" s="57">
        <f t="shared" si="140"/>
        <v>0</v>
      </c>
      <c r="D1912" s="56"/>
      <c r="E1912" s="57">
        <f>[1]DETAY!$A$2</f>
        <v>0</v>
      </c>
      <c r="F1912" s="90">
        <f t="shared" si="141"/>
        <v>0</v>
      </c>
      <c r="G1912" s="92">
        <f t="shared" si="142"/>
        <v>0</v>
      </c>
      <c r="H1912" s="62" t="e">
        <f t="shared" si="143"/>
        <v>#DIV/0!</v>
      </c>
      <c r="I1912" s="57"/>
      <c r="J1912" s="57"/>
      <c r="K1912" s="57"/>
      <c r="L1912" s="57"/>
      <c r="M1912" s="58"/>
      <c r="N1912" s="57"/>
      <c r="O1912" s="57"/>
      <c r="P1912" s="57"/>
      <c r="Q1912" s="57"/>
      <c r="R1912" s="57"/>
      <c r="S1912" s="61"/>
      <c r="T1912" s="57"/>
      <c r="U1912" s="57"/>
      <c r="V1912" s="57"/>
      <c r="W1912" s="57"/>
      <c r="X1912" s="57"/>
      <c r="Y1912" s="57"/>
      <c r="Z1912" s="57"/>
      <c r="AA1912" s="57"/>
      <c r="AB1912" s="57"/>
      <c r="AC1912" s="57"/>
      <c r="AD1912" s="57"/>
      <c r="AE1912" s="57"/>
      <c r="AF1912" s="57"/>
      <c r="AG1912" s="57"/>
      <c r="AH1912" s="57"/>
      <c r="AI1912" s="57"/>
      <c r="AJ1912" s="57"/>
      <c r="AK1912" s="57"/>
      <c r="AL1912" s="57"/>
      <c r="AM1912" s="57"/>
      <c r="AN1912" s="57"/>
      <c r="AO1912" s="57"/>
      <c r="AP1912" s="57"/>
      <c r="AQ1912" s="57"/>
      <c r="AR1912" s="57"/>
      <c r="AS1912" s="57"/>
      <c r="AT1912" s="57"/>
      <c r="AU1912" s="57"/>
      <c r="AV1912" s="57"/>
      <c r="AW1912" s="57"/>
      <c r="AX1912" s="57"/>
      <c r="AY1912" s="57"/>
      <c r="AZ1912" s="57"/>
      <c r="BA1912" s="57"/>
      <c r="BB1912" s="57"/>
      <c r="BC1912" s="57"/>
      <c r="BD1912" s="57"/>
      <c r="BE1912" s="57"/>
      <c r="BF1912" s="57"/>
    </row>
    <row r="1913" spans="1:58" x14ac:dyDescent="0.25">
      <c r="A1913" s="53"/>
      <c r="B1913" s="60"/>
      <c r="C1913" s="57">
        <f t="shared" si="140"/>
        <v>0</v>
      </c>
      <c r="D1913" s="56"/>
      <c r="E1913" s="57">
        <f>[1]DETAY!$A$2</f>
        <v>0</v>
      </c>
      <c r="F1913" s="90">
        <f t="shared" si="141"/>
        <v>0</v>
      </c>
      <c r="G1913" s="92">
        <f t="shared" si="142"/>
        <v>0</v>
      </c>
      <c r="H1913" s="62" t="e">
        <f t="shared" si="143"/>
        <v>#DIV/0!</v>
      </c>
      <c r="I1913" s="57"/>
      <c r="J1913" s="57"/>
      <c r="K1913" s="57"/>
      <c r="L1913" s="57"/>
      <c r="M1913" s="58"/>
      <c r="N1913" s="57"/>
      <c r="O1913" s="57"/>
      <c r="P1913" s="57"/>
      <c r="Q1913" s="57"/>
      <c r="R1913" s="57"/>
      <c r="S1913" s="61"/>
      <c r="T1913" s="57"/>
      <c r="U1913" s="57"/>
      <c r="V1913" s="57"/>
      <c r="W1913" s="57"/>
      <c r="X1913" s="57"/>
      <c r="Y1913" s="57"/>
      <c r="Z1913" s="57"/>
      <c r="AA1913" s="57"/>
      <c r="AB1913" s="57"/>
      <c r="AC1913" s="57"/>
      <c r="AD1913" s="57"/>
      <c r="AE1913" s="57"/>
      <c r="AF1913" s="57"/>
      <c r="AG1913" s="57"/>
      <c r="AH1913" s="57"/>
      <c r="AI1913" s="57"/>
      <c r="AJ1913" s="57"/>
      <c r="AK1913" s="57"/>
      <c r="AL1913" s="57"/>
      <c r="AM1913" s="57"/>
      <c r="AN1913" s="57"/>
      <c r="AO1913" s="57"/>
      <c r="AP1913" s="57"/>
      <c r="AQ1913" s="57"/>
      <c r="AR1913" s="57"/>
      <c r="AS1913" s="57"/>
      <c r="AT1913" s="57"/>
      <c r="AU1913" s="57"/>
      <c r="AV1913" s="57"/>
      <c r="AW1913" s="57"/>
      <c r="AX1913" s="57"/>
      <c r="AY1913" s="57"/>
      <c r="AZ1913" s="57"/>
      <c r="BA1913" s="57"/>
      <c r="BB1913" s="57"/>
      <c r="BC1913" s="57"/>
      <c r="BD1913" s="57"/>
      <c r="BE1913" s="57"/>
      <c r="BF1913" s="57"/>
    </row>
    <row r="1914" spans="1:58" x14ac:dyDescent="0.25">
      <c r="A1914" s="53"/>
      <c r="B1914" s="60"/>
      <c r="C1914" s="57">
        <f t="shared" si="140"/>
        <v>0</v>
      </c>
      <c r="D1914" s="56"/>
      <c r="E1914" s="57">
        <f>[1]DETAY!$A$2</f>
        <v>0</v>
      </c>
      <c r="F1914" s="90">
        <f t="shared" si="141"/>
        <v>0</v>
      </c>
      <c r="G1914" s="92">
        <f t="shared" si="142"/>
        <v>0</v>
      </c>
      <c r="H1914" s="62" t="e">
        <f t="shared" si="143"/>
        <v>#DIV/0!</v>
      </c>
      <c r="I1914" s="57"/>
      <c r="J1914" s="57"/>
      <c r="K1914" s="57"/>
      <c r="L1914" s="57"/>
      <c r="M1914" s="58"/>
      <c r="N1914" s="57"/>
      <c r="O1914" s="57"/>
      <c r="P1914" s="57"/>
      <c r="Q1914" s="57"/>
      <c r="R1914" s="57"/>
      <c r="S1914" s="61"/>
      <c r="T1914" s="57"/>
      <c r="U1914" s="57"/>
      <c r="V1914" s="57"/>
      <c r="W1914" s="57"/>
      <c r="X1914" s="57"/>
      <c r="Y1914" s="57"/>
      <c r="Z1914" s="57"/>
      <c r="AA1914" s="57"/>
      <c r="AB1914" s="57"/>
      <c r="AC1914" s="57"/>
      <c r="AD1914" s="57"/>
      <c r="AE1914" s="57"/>
      <c r="AF1914" s="57"/>
      <c r="AG1914" s="57"/>
      <c r="AH1914" s="57"/>
      <c r="AI1914" s="57"/>
      <c r="AJ1914" s="57"/>
      <c r="AK1914" s="57"/>
      <c r="AL1914" s="57"/>
      <c r="AM1914" s="57"/>
      <c r="AN1914" s="57"/>
      <c r="AO1914" s="57"/>
      <c r="AP1914" s="57"/>
      <c r="AQ1914" s="57"/>
      <c r="AR1914" s="57"/>
      <c r="AS1914" s="57"/>
      <c r="AT1914" s="57"/>
      <c r="AU1914" s="57"/>
      <c r="AV1914" s="57"/>
      <c r="AW1914" s="57"/>
      <c r="AX1914" s="57"/>
      <c r="AY1914" s="57"/>
      <c r="AZ1914" s="57"/>
      <c r="BA1914" s="57"/>
      <c r="BB1914" s="57"/>
      <c r="BC1914" s="57"/>
      <c r="BD1914" s="57"/>
      <c r="BE1914" s="57"/>
      <c r="BF1914" s="57"/>
    </row>
    <row r="1915" spans="1:58" x14ac:dyDescent="0.25">
      <c r="A1915" s="53"/>
      <c r="B1915" s="60"/>
      <c r="C1915" s="57">
        <f t="shared" si="140"/>
        <v>0</v>
      </c>
      <c r="D1915" s="56"/>
      <c r="E1915" s="57">
        <f>[1]DETAY!$A$2</f>
        <v>0</v>
      </c>
      <c r="F1915" s="90">
        <f t="shared" si="141"/>
        <v>0</v>
      </c>
      <c r="G1915" s="92">
        <f t="shared" si="142"/>
        <v>0</v>
      </c>
      <c r="H1915" s="62" t="e">
        <f t="shared" si="143"/>
        <v>#DIV/0!</v>
      </c>
      <c r="I1915" s="57"/>
      <c r="J1915" s="57"/>
      <c r="K1915" s="57"/>
      <c r="L1915" s="57"/>
      <c r="M1915" s="58"/>
      <c r="N1915" s="57"/>
      <c r="O1915" s="57"/>
      <c r="P1915" s="57"/>
      <c r="Q1915" s="57"/>
      <c r="R1915" s="57"/>
      <c r="S1915" s="61"/>
      <c r="T1915" s="57"/>
      <c r="U1915" s="57"/>
      <c r="V1915" s="57"/>
      <c r="W1915" s="57"/>
      <c r="X1915" s="57"/>
      <c r="Y1915" s="57"/>
      <c r="Z1915" s="57"/>
      <c r="AA1915" s="57"/>
      <c r="AB1915" s="57"/>
      <c r="AC1915" s="57"/>
      <c r="AD1915" s="57"/>
      <c r="AE1915" s="57"/>
      <c r="AF1915" s="57"/>
      <c r="AG1915" s="57"/>
      <c r="AH1915" s="57"/>
      <c r="AI1915" s="57"/>
      <c r="AJ1915" s="57"/>
      <c r="AK1915" s="57"/>
      <c r="AL1915" s="57"/>
      <c r="AM1915" s="57"/>
      <c r="AN1915" s="57"/>
      <c r="AO1915" s="57"/>
      <c r="AP1915" s="57"/>
      <c r="AQ1915" s="57"/>
      <c r="AR1915" s="57"/>
      <c r="AS1915" s="57"/>
      <c r="AT1915" s="57"/>
      <c r="AU1915" s="57"/>
      <c r="AV1915" s="57"/>
      <c r="AW1915" s="57"/>
      <c r="AX1915" s="57"/>
      <c r="AY1915" s="57"/>
      <c r="AZ1915" s="57"/>
      <c r="BA1915" s="57"/>
      <c r="BB1915" s="57"/>
      <c r="BC1915" s="57"/>
      <c r="BD1915" s="57"/>
      <c r="BE1915" s="57"/>
      <c r="BF1915" s="57"/>
    </row>
    <row r="1916" spans="1:58" x14ac:dyDescent="0.25">
      <c r="A1916" s="53"/>
      <c r="B1916" s="60"/>
      <c r="C1916" s="57">
        <f t="shared" si="140"/>
        <v>0</v>
      </c>
      <c r="D1916" s="56"/>
      <c r="E1916" s="57">
        <f>[1]DETAY!$A$2</f>
        <v>0</v>
      </c>
      <c r="F1916" s="90">
        <f t="shared" si="141"/>
        <v>0</v>
      </c>
      <c r="G1916" s="92">
        <f t="shared" si="142"/>
        <v>0</v>
      </c>
      <c r="H1916" s="62" t="e">
        <f t="shared" si="143"/>
        <v>#DIV/0!</v>
      </c>
      <c r="I1916" s="57"/>
      <c r="J1916" s="57"/>
      <c r="K1916" s="57"/>
      <c r="L1916" s="57"/>
      <c r="M1916" s="58"/>
      <c r="N1916" s="57"/>
      <c r="O1916" s="57"/>
      <c r="P1916" s="57"/>
      <c r="Q1916" s="57"/>
      <c r="R1916" s="57"/>
      <c r="S1916" s="61"/>
      <c r="T1916" s="57"/>
      <c r="U1916" s="57"/>
      <c r="V1916" s="57"/>
      <c r="W1916" s="57"/>
      <c r="X1916" s="57"/>
      <c r="Y1916" s="57"/>
      <c r="Z1916" s="57"/>
      <c r="AA1916" s="57"/>
      <c r="AB1916" s="57"/>
      <c r="AC1916" s="57"/>
      <c r="AD1916" s="57"/>
      <c r="AE1916" s="57"/>
      <c r="AF1916" s="57"/>
      <c r="AG1916" s="57"/>
      <c r="AH1916" s="57"/>
      <c r="AI1916" s="57"/>
      <c r="AJ1916" s="57"/>
      <c r="AK1916" s="57"/>
      <c r="AL1916" s="57"/>
      <c r="AM1916" s="57"/>
      <c r="AN1916" s="57"/>
      <c r="AO1916" s="57"/>
      <c r="AP1916" s="57"/>
      <c r="AQ1916" s="57"/>
      <c r="AR1916" s="57"/>
      <c r="AS1916" s="57"/>
      <c r="AT1916" s="57"/>
      <c r="AU1916" s="57"/>
      <c r="AV1916" s="57"/>
      <c r="AW1916" s="57"/>
      <c r="AX1916" s="57"/>
      <c r="AY1916" s="57"/>
      <c r="AZ1916" s="57"/>
      <c r="BA1916" s="57"/>
      <c r="BB1916" s="57"/>
      <c r="BC1916" s="57"/>
      <c r="BD1916" s="57"/>
      <c r="BE1916" s="57"/>
      <c r="BF1916" s="57"/>
    </row>
    <row r="1917" spans="1:58" x14ac:dyDescent="0.25">
      <c r="A1917" s="53"/>
      <c r="B1917" s="60"/>
      <c r="C1917" s="57">
        <f t="shared" si="140"/>
        <v>0</v>
      </c>
      <c r="D1917" s="56"/>
      <c r="E1917" s="57">
        <f>[1]DETAY!$A$2</f>
        <v>0</v>
      </c>
      <c r="F1917" s="90">
        <f t="shared" si="141"/>
        <v>0</v>
      </c>
      <c r="G1917" s="92">
        <f t="shared" si="142"/>
        <v>0</v>
      </c>
      <c r="H1917" s="62" t="e">
        <f t="shared" si="143"/>
        <v>#DIV/0!</v>
      </c>
      <c r="I1917" s="57"/>
      <c r="J1917" s="57"/>
      <c r="K1917" s="57"/>
      <c r="L1917" s="57"/>
      <c r="M1917" s="58"/>
      <c r="N1917" s="57"/>
      <c r="O1917" s="57"/>
      <c r="P1917" s="57"/>
      <c r="Q1917" s="57"/>
      <c r="R1917" s="57"/>
      <c r="S1917" s="61"/>
      <c r="T1917" s="57"/>
      <c r="U1917" s="57"/>
      <c r="V1917" s="57"/>
      <c r="W1917" s="57"/>
      <c r="X1917" s="57"/>
      <c r="Y1917" s="57"/>
      <c r="Z1917" s="57"/>
      <c r="AA1917" s="57"/>
      <c r="AB1917" s="57"/>
      <c r="AC1917" s="57"/>
      <c r="AD1917" s="57"/>
      <c r="AE1917" s="57"/>
      <c r="AF1917" s="57"/>
      <c r="AG1917" s="57"/>
      <c r="AH1917" s="57"/>
      <c r="AI1917" s="57"/>
      <c r="AJ1917" s="57"/>
      <c r="AK1917" s="57"/>
      <c r="AL1917" s="57"/>
      <c r="AM1917" s="57"/>
      <c r="AN1917" s="57"/>
      <c r="AO1917" s="57"/>
      <c r="AP1917" s="57"/>
      <c r="AQ1917" s="57"/>
      <c r="AR1917" s="57"/>
      <c r="AS1917" s="57"/>
      <c r="AT1917" s="57"/>
      <c r="AU1917" s="57"/>
      <c r="AV1917" s="57"/>
      <c r="AW1917" s="57"/>
      <c r="AX1917" s="57"/>
      <c r="AY1917" s="57"/>
      <c r="AZ1917" s="57"/>
      <c r="BA1917" s="57"/>
      <c r="BB1917" s="57"/>
      <c r="BC1917" s="57"/>
      <c r="BD1917" s="57"/>
      <c r="BE1917" s="57"/>
      <c r="BF1917" s="57"/>
    </row>
    <row r="1918" spans="1:58" x14ac:dyDescent="0.25">
      <c r="A1918" s="53"/>
      <c r="B1918" s="60"/>
      <c r="C1918" s="57">
        <f t="shared" si="140"/>
        <v>0</v>
      </c>
      <c r="D1918" s="56"/>
      <c r="E1918" s="57">
        <f>[1]DETAY!$A$2</f>
        <v>0</v>
      </c>
      <c r="F1918" s="90">
        <f t="shared" si="141"/>
        <v>0</v>
      </c>
      <c r="G1918" s="92">
        <f t="shared" si="142"/>
        <v>0</v>
      </c>
      <c r="H1918" s="62" t="e">
        <f t="shared" si="143"/>
        <v>#DIV/0!</v>
      </c>
      <c r="I1918" s="57"/>
      <c r="J1918" s="57"/>
      <c r="K1918" s="57"/>
      <c r="L1918" s="57"/>
      <c r="M1918" s="58"/>
      <c r="N1918" s="57"/>
      <c r="O1918" s="57"/>
      <c r="P1918" s="57"/>
      <c r="Q1918" s="57"/>
      <c r="R1918" s="57"/>
      <c r="S1918" s="61"/>
      <c r="T1918" s="57"/>
      <c r="U1918" s="57"/>
      <c r="V1918" s="57"/>
      <c r="W1918" s="57"/>
      <c r="X1918" s="57"/>
      <c r="Y1918" s="57"/>
      <c r="Z1918" s="57"/>
      <c r="AA1918" s="57"/>
      <c r="AB1918" s="57"/>
      <c r="AC1918" s="57"/>
      <c r="AD1918" s="57"/>
      <c r="AE1918" s="57"/>
      <c r="AF1918" s="57"/>
      <c r="AG1918" s="57"/>
      <c r="AH1918" s="57"/>
      <c r="AI1918" s="57"/>
      <c r="AJ1918" s="57"/>
      <c r="AK1918" s="57"/>
      <c r="AL1918" s="57"/>
      <c r="AM1918" s="57"/>
      <c r="AN1918" s="57"/>
      <c r="AO1918" s="57"/>
      <c r="AP1918" s="57"/>
      <c r="AQ1918" s="57"/>
      <c r="AR1918" s="57"/>
      <c r="AS1918" s="57"/>
      <c r="AT1918" s="57"/>
      <c r="AU1918" s="57"/>
      <c r="AV1918" s="57"/>
      <c r="AW1918" s="57"/>
      <c r="AX1918" s="57"/>
      <c r="AY1918" s="57"/>
      <c r="AZ1918" s="57"/>
      <c r="BA1918" s="57"/>
      <c r="BB1918" s="57"/>
      <c r="BC1918" s="57"/>
      <c r="BD1918" s="57"/>
      <c r="BE1918" s="57"/>
      <c r="BF1918" s="57"/>
    </row>
    <row r="1919" spans="1:58" x14ac:dyDescent="0.25">
      <c r="A1919" s="53"/>
      <c r="B1919" s="60"/>
      <c r="C1919" s="57">
        <f t="shared" si="140"/>
        <v>0</v>
      </c>
      <c r="D1919" s="56"/>
      <c r="E1919" s="57">
        <f>[1]DETAY!$A$2</f>
        <v>0</v>
      </c>
      <c r="F1919" s="90">
        <f t="shared" si="141"/>
        <v>0</v>
      </c>
      <c r="G1919" s="92">
        <f t="shared" si="142"/>
        <v>0</v>
      </c>
      <c r="H1919" s="62" t="e">
        <f t="shared" si="143"/>
        <v>#DIV/0!</v>
      </c>
      <c r="I1919" s="57"/>
      <c r="J1919" s="57"/>
      <c r="K1919" s="57"/>
      <c r="L1919" s="57"/>
      <c r="M1919" s="58"/>
      <c r="N1919" s="57"/>
      <c r="O1919" s="57"/>
      <c r="P1919" s="57"/>
      <c r="Q1919" s="57"/>
      <c r="R1919" s="57"/>
      <c r="S1919" s="61"/>
      <c r="T1919" s="57"/>
      <c r="U1919" s="57"/>
      <c r="V1919" s="57"/>
      <c r="W1919" s="57"/>
      <c r="X1919" s="57"/>
      <c r="Y1919" s="57"/>
      <c r="Z1919" s="57"/>
      <c r="AA1919" s="57"/>
      <c r="AB1919" s="57"/>
      <c r="AC1919" s="57"/>
      <c r="AD1919" s="57"/>
      <c r="AE1919" s="57"/>
      <c r="AF1919" s="57"/>
      <c r="AG1919" s="57"/>
      <c r="AH1919" s="57"/>
      <c r="AI1919" s="57"/>
      <c r="AJ1919" s="57"/>
      <c r="AK1919" s="57"/>
      <c r="AL1919" s="57"/>
      <c r="AM1919" s="57"/>
      <c r="AN1919" s="57"/>
      <c r="AO1919" s="57"/>
      <c r="AP1919" s="57"/>
      <c r="AQ1919" s="57"/>
      <c r="AR1919" s="57"/>
      <c r="AS1919" s="57"/>
      <c r="AT1919" s="57"/>
      <c r="AU1919" s="57"/>
      <c r="AV1919" s="57"/>
      <c r="AW1919" s="57"/>
      <c r="AX1919" s="57"/>
      <c r="AY1919" s="57"/>
      <c r="AZ1919" s="57"/>
      <c r="BA1919" s="57"/>
      <c r="BB1919" s="57"/>
      <c r="BC1919" s="57"/>
      <c r="BD1919" s="57"/>
      <c r="BE1919" s="57"/>
      <c r="BF1919" s="57"/>
    </row>
    <row r="1920" spans="1:58" x14ac:dyDescent="0.25">
      <c r="A1920" s="53"/>
      <c r="B1920" s="60"/>
      <c r="C1920" s="57">
        <f t="shared" si="140"/>
        <v>0</v>
      </c>
      <c r="D1920" s="56"/>
      <c r="E1920" s="57">
        <f>[1]DETAY!$A$2</f>
        <v>0</v>
      </c>
      <c r="F1920" s="90">
        <f t="shared" si="141"/>
        <v>0</v>
      </c>
      <c r="G1920" s="92">
        <f t="shared" si="142"/>
        <v>0</v>
      </c>
      <c r="H1920" s="62" t="e">
        <f t="shared" si="143"/>
        <v>#DIV/0!</v>
      </c>
      <c r="I1920" s="57"/>
      <c r="J1920" s="57"/>
      <c r="K1920" s="57"/>
      <c r="L1920" s="57"/>
      <c r="M1920" s="58"/>
      <c r="N1920" s="57"/>
      <c r="O1920" s="57"/>
      <c r="P1920" s="57"/>
      <c r="Q1920" s="57"/>
      <c r="R1920" s="57"/>
      <c r="S1920" s="61"/>
      <c r="T1920" s="57"/>
      <c r="U1920" s="57"/>
      <c r="V1920" s="57"/>
      <c r="W1920" s="57"/>
      <c r="X1920" s="57"/>
      <c r="Y1920" s="57"/>
      <c r="Z1920" s="57"/>
      <c r="AA1920" s="57"/>
      <c r="AB1920" s="57"/>
      <c r="AC1920" s="57"/>
      <c r="AD1920" s="57"/>
      <c r="AE1920" s="57"/>
      <c r="AF1920" s="57"/>
      <c r="AG1920" s="57"/>
      <c r="AH1920" s="57"/>
      <c r="AI1920" s="57"/>
      <c r="AJ1920" s="57"/>
      <c r="AK1920" s="57"/>
      <c r="AL1920" s="57"/>
      <c r="AM1920" s="57"/>
      <c r="AN1920" s="57"/>
      <c r="AO1920" s="57"/>
      <c r="AP1920" s="57"/>
      <c r="AQ1920" s="57"/>
      <c r="AR1920" s="57"/>
      <c r="AS1920" s="57"/>
      <c r="AT1920" s="57"/>
      <c r="AU1920" s="57"/>
      <c r="AV1920" s="57"/>
      <c r="AW1920" s="57"/>
      <c r="AX1920" s="57"/>
      <c r="AY1920" s="57"/>
      <c r="AZ1920" s="57"/>
      <c r="BA1920" s="57"/>
      <c r="BB1920" s="57"/>
      <c r="BC1920" s="57"/>
      <c r="BD1920" s="57"/>
      <c r="BE1920" s="57"/>
      <c r="BF1920" s="57"/>
    </row>
    <row r="1921" spans="1:58" x14ac:dyDescent="0.25">
      <c r="A1921" s="53"/>
      <c r="B1921" s="60"/>
      <c r="C1921" s="57">
        <f t="shared" si="140"/>
        <v>0</v>
      </c>
      <c r="D1921" s="56"/>
      <c r="E1921" s="57">
        <f>[1]DETAY!$A$2</f>
        <v>0</v>
      </c>
      <c r="F1921" s="90">
        <f t="shared" si="141"/>
        <v>0</v>
      </c>
      <c r="G1921" s="92">
        <f t="shared" si="142"/>
        <v>0</v>
      </c>
      <c r="H1921" s="62" t="e">
        <f t="shared" si="143"/>
        <v>#DIV/0!</v>
      </c>
      <c r="I1921" s="57"/>
      <c r="J1921" s="57"/>
      <c r="K1921" s="57"/>
      <c r="L1921" s="57"/>
      <c r="M1921" s="58"/>
      <c r="N1921" s="57"/>
      <c r="O1921" s="57"/>
      <c r="P1921" s="57"/>
      <c r="Q1921" s="57"/>
      <c r="R1921" s="57"/>
      <c r="S1921" s="61"/>
      <c r="T1921" s="57"/>
      <c r="U1921" s="57"/>
      <c r="V1921" s="57"/>
      <c r="W1921" s="57"/>
      <c r="X1921" s="57"/>
      <c r="Y1921" s="57"/>
      <c r="Z1921" s="57"/>
      <c r="AA1921" s="57"/>
      <c r="AB1921" s="57"/>
      <c r="AC1921" s="57"/>
      <c r="AD1921" s="57"/>
      <c r="AE1921" s="57"/>
      <c r="AF1921" s="57"/>
      <c r="AG1921" s="57"/>
      <c r="AH1921" s="57"/>
      <c r="AI1921" s="57"/>
      <c r="AJ1921" s="57"/>
      <c r="AK1921" s="57"/>
      <c r="AL1921" s="57"/>
      <c r="AM1921" s="57"/>
      <c r="AN1921" s="57"/>
      <c r="AO1921" s="57"/>
      <c r="AP1921" s="57"/>
      <c r="AQ1921" s="57"/>
      <c r="AR1921" s="57"/>
      <c r="AS1921" s="57"/>
      <c r="AT1921" s="57"/>
      <c r="AU1921" s="57"/>
      <c r="AV1921" s="57"/>
      <c r="AW1921" s="57"/>
      <c r="AX1921" s="57"/>
      <c r="AY1921" s="57"/>
      <c r="AZ1921" s="57"/>
      <c r="BA1921" s="57"/>
      <c r="BB1921" s="57"/>
      <c r="BC1921" s="57"/>
      <c r="BD1921" s="57"/>
      <c r="BE1921" s="57"/>
      <c r="BF1921" s="57"/>
    </row>
    <row r="1922" spans="1:58" x14ac:dyDescent="0.25">
      <c r="A1922" s="53"/>
      <c r="B1922" s="60"/>
      <c r="C1922" s="57">
        <f t="shared" si="140"/>
        <v>0</v>
      </c>
      <c r="D1922" s="56"/>
      <c r="E1922" s="57">
        <f>[1]DETAY!$A$2</f>
        <v>0</v>
      </c>
      <c r="F1922" s="90">
        <f t="shared" si="141"/>
        <v>0</v>
      </c>
      <c r="G1922" s="92">
        <f t="shared" si="142"/>
        <v>0</v>
      </c>
      <c r="H1922" s="62" t="e">
        <f t="shared" si="143"/>
        <v>#DIV/0!</v>
      </c>
      <c r="I1922" s="57"/>
      <c r="J1922" s="57"/>
      <c r="K1922" s="57"/>
      <c r="L1922" s="57"/>
      <c r="M1922" s="58"/>
      <c r="N1922" s="57"/>
      <c r="O1922" s="57"/>
      <c r="P1922" s="57"/>
      <c r="Q1922" s="57"/>
      <c r="R1922" s="57"/>
      <c r="S1922" s="61"/>
      <c r="T1922" s="57"/>
      <c r="U1922" s="57"/>
      <c r="V1922" s="57"/>
      <c r="W1922" s="57"/>
      <c r="X1922" s="57"/>
      <c r="Y1922" s="57"/>
      <c r="Z1922" s="57"/>
      <c r="AA1922" s="57"/>
      <c r="AB1922" s="57"/>
      <c r="AC1922" s="57"/>
      <c r="AD1922" s="57"/>
      <c r="AE1922" s="57"/>
      <c r="AF1922" s="57"/>
      <c r="AG1922" s="57"/>
      <c r="AH1922" s="57"/>
      <c r="AI1922" s="57"/>
      <c r="AJ1922" s="57"/>
      <c r="AK1922" s="57"/>
      <c r="AL1922" s="57"/>
      <c r="AM1922" s="57"/>
      <c r="AN1922" s="57"/>
      <c r="AO1922" s="57"/>
      <c r="AP1922" s="57"/>
      <c r="AQ1922" s="57"/>
      <c r="AR1922" s="57"/>
      <c r="AS1922" s="57"/>
      <c r="AT1922" s="57"/>
      <c r="AU1922" s="57"/>
      <c r="AV1922" s="57"/>
      <c r="AW1922" s="57"/>
      <c r="AX1922" s="57"/>
      <c r="AY1922" s="57"/>
      <c r="AZ1922" s="57"/>
      <c r="BA1922" s="57"/>
      <c r="BB1922" s="57"/>
      <c r="BC1922" s="57"/>
      <c r="BD1922" s="57"/>
      <c r="BE1922" s="57"/>
      <c r="BF1922" s="57"/>
    </row>
    <row r="1923" spans="1:58" x14ac:dyDescent="0.25">
      <c r="A1923" s="53"/>
      <c r="B1923" s="60"/>
      <c r="C1923" s="57">
        <f t="shared" si="140"/>
        <v>0</v>
      </c>
      <c r="D1923" s="56"/>
      <c r="E1923" s="57">
        <f>[1]DETAY!$A$2</f>
        <v>0</v>
      </c>
      <c r="F1923" s="90">
        <f t="shared" si="141"/>
        <v>0</v>
      </c>
      <c r="G1923" s="92">
        <f t="shared" si="142"/>
        <v>0</v>
      </c>
      <c r="H1923" s="62" t="e">
        <f t="shared" si="143"/>
        <v>#DIV/0!</v>
      </c>
      <c r="I1923" s="57"/>
      <c r="J1923" s="57"/>
      <c r="K1923" s="57"/>
      <c r="L1923" s="57"/>
      <c r="M1923" s="58"/>
      <c r="N1923" s="57"/>
      <c r="O1923" s="57"/>
      <c r="P1923" s="57"/>
      <c r="Q1923" s="57"/>
      <c r="R1923" s="57"/>
      <c r="S1923" s="61"/>
      <c r="T1923" s="57"/>
      <c r="U1923" s="57"/>
      <c r="V1923" s="57"/>
      <c r="W1923" s="57"/>
      <c r="X1923" s="57"/>
      <c r="Y1923" s="57"/>
      <c r="Z1923" s="57"/>
      <c r="AA1923" s="57"/>
      <c r="AB1923" s="57"/>
      <c r="AC1923" s="57"/>
      <c r="AD1923" s="57"/>
      <c r="AE1923" s="57"/>
      <c r="AF1923" s="57"/>
      <c r="AG1923" s="57"/>
      <c r="AH1923" s="57"/>
      <c r="AI1923" s="57"/>
      <c r="AJ1923" s="57"/>
      <c r="AK1923" s="57"/>
      <c r="AL1923" s="57"/>
      <c r="AM1923" s="57"/>
      <c r="AN1923" s="57"/>
      <c r="AO1923" s="57"/>
      <c r="AP1923" s="57"/>
      <c r="AQ1923" s="57"/>
      <c r="AR1923" s="57"/>
      <c r="AS1923" s="57"/>
      <c r="AT1923" s="57"/>
      <c r="AU1923" s="57"/>
      <c r="AV1923" s="57"/>
      <c r="AW1923" s="57"/>
      <c r="AX1923" s="57"/>
      <c r="AY1923" s="57"/>
      <c r="AZ1923" s="57"/>
      <c r="BA1923" s="57"/>
      <c r="BB1923" s="57"/>
      <c r="BC1923" s="57"/>
      <c r="BD1923" s="57"/>
      <c r="BE1923" s="57"/>
      <c r="BF1923" s="57"/>
    </row>
    <row r="1924" spans="1:58" x14ac:dyDescent="0.25">
      <c r="A1924" s="53"/>
      <c r="B1924" s="60"/>
      <c r="C1924" s="57">
        <f t="shared" si="140"/>
        <v>0</v>
      </c>
      <c r="D1924" s="56"/>
      <c r="E1924" s="57">
        <f>[1]DETAY!$A$2</f>
        <v>0</v>
      </c>
      <c r="F1924" s="90">
        <f t="shared" si="141"/>
        <v>0</v>
      </c>
      <c r="G1924" s="92">
        <f t="shared" si="142"/>
        <v>0</v>
      </c>
      <c r="H1924" s="62" t="e">
        <f t="shared" si="143"/>
        <v>#DIV/0!</v>
      </c>
      <c r="I1924" s="57"/>
      <c r="J1924" s="57"/>
      <c r="K1924" s="57"/>
      <c r="L1924" s="57"/>
      <c r="M1924" s="58"/>
      <c r="N1924" s="57"/>
      <c r="O1924" s="57"/>
      <c r="P1924" s="57"/>
      <c r="Q1924" s="57"/>
      <c r="R1924" s="57"/>
      <c r="S1924" s="61"/>
      <c r="T1924" s="57"/>
      <c r="U1924" s="57"/>
      <c r="V1924" s="57"/>
      <c r="W1924" s="57"/>
      <c r="X1924" s="57"/>
      <c r="Y1924" s="57"/>
      <c r="Z1924" s="57"/>
      <c r="AA1924" s="57"/>
      <c r="AB1924" s="57"/>
      <c r="AC1924" s="57"/>
      <c r="AD1924" s="57"/>
      <c r="AE1924" s="57"/>
      <c r="AF1924" s="57"/>
      <c r="AG1924" s="57"/>
      <c r="AH1924" s="57"/>
      <c r="AI1924" s="57"/>
      <c r="AJ1924" s="57"/>
      <c r="AK1924" s="57"/>
      <c r="AL1924" s="57"/>
      <c r="AM1924" s="57"/>
      <c r="AN1924" s="57"/>
      <c r="AO1924" s="57"/>
      <c r="AP1924" s="57"/>
      <c r="AQ1924" s="57"/>
      <c r="AR1924" s="57"/>
      <c r="AS1924" s="57"/>
      <c r="AT1924" s="57"/>
      <c r="AU1924" s="57"/>
      <c r="AV1924" s="57"/>
      <c r="AW1924" s="57"/>
      <c r="AX1924" s="57"/>
      <c r="AY1924" s="57"/>
      <c r="AZ1924" s="57"/>
      <c r="BA1924" s="57"/>
      <c r="BB1924" s="57"/>
      <c r="BC1924" s="57"/>
      <c r="BD1924" s="57"/>
      <c r="BE1924" s="57"/>
      <c r="BF1924" s="57"/>
    </row>
    <row r="1925" spans="1:58" x14ac:dyDescent="0.25">
      <c r="A1925" s="53"/>
      <c r="B1925" s="60"/>
      <c r="C1925" s="57">
        <f t="shared" si="140"/>
        <v>0</v>
      </c>
      <c r="D1925" s="56"/>
      <c r="E1925" s="57">
        <f>[1]DETAY!$A$2</f>
        <v>0</v>
      </c>
      <c r="F1925" s="90">
        <f t="shared" si="141"/>
        <v>0</v>
      </c>
      <c r="G1925" s="92">
        <f t="shared" si="142"/>
        <v>0</v>
      </c>
      <c r="H1925" s="62" t="e">
        <f t="shared" si="143"/>
        <v>#DIV/0!</v>
      </c>
      <c r="I1925" s="57"/>
      <c r="J1925" s="57"/>
      <c r="K1925" s="57"/>
      <c r="L1925" s="57"/>
      <c r="M1925" s="58"/>
      <c r="N1925" s="57"/>
      <c r="O1925" s="57"/>
      <c r="P1925" s="57"/>
      <c r="Q1925" s="57"/>
      <c r="R1925" s="57"/>
      <c r="S1925" s="61"/>
      <c r="T1925" s="57"/>
      <c r="U1925" s="57"/>
      <c r="V1925" s="57"/>
      <c r="W1925" s="57"/>
      <c r="X1925" s="57"/>
      <c r="Y1925" s="57"/>
      <c r="Z1925" s="57"/>
      <c r="AA1925" s="57"/>
      <c r="AB1925" s="57"/>
      <c r="AC1925" s="57"/>
      <c r="AD1925" s="57"/>
      <c r="AE1925" s="57"/>
      <c r="AF1925" s="57"/>
      <c r="AG1925" s="57"/>
      <c r="AH1925" s="57"/>
      <c r="AI1925" s="57"/>
      <c r="AJ1925" s="57"/>
      <c r="AK1925" s="57"/>
      <c r="AL1925" s="57"/>
      <c r="AM1925" s="57"/>
      <c r="AN1925" s="57"/>
      <c r="AO1925" s="57"/>
      <c r="AP1925" s="57"/>
      <c r="AQ1925" s="57"/>
      <c r="AR1925" s="57"/>
      <c r="AS1925" s="57"/>
      <c r="AT1925" s="57"/>
      <c r="AU1925" s="57"/>
      <c r="AV1925" s="57"/>
      <c r="AW1925" s="57"/>
      <c r="AX1925" s="57"/>
      <c r="AY1925" s="57"/>
      <c r="AZ1925" s="57"/>
      <c r="BA1925" s="57"/>
      <c r="BB1925" s="57"/>
      <c r="BC1925" s="57"/>
      <c r="BD1925" s="57"/>
      <c r="BE1925" s="57"/>
      <c r="BF1925" s="57"/>
    </row>
    <row r="1926" spans="1:58" x14ac:dyDescent="0.25">
      <c r="A1926" s="53"/>
      <c r="B1926" s="60"/>
      <c r="C1926" s="57">
        <f t="shared" si="140"/>
        <v>0</v>
      </c>
      <c r="D1926" s="56"/>
      <c r="E1926" s="57">
        <f>[1]DETAY!$A$2</f>
        <v>0</v>
      </c>
      <c r="F1926" s="90">
        <f t="shared" si="141"/>
        <v>0</v>
      </c>
      <c r="G1926" s="92">
        <f t="shared" si="142"/>
        <v>0</v>
      </c>
      <c r="H1926" s="62" t="e">
        <f t="shared" si="143"/>
        <v>#DIV/0!</v>
      </c>
      <c r="I1926" s="57"/>
      <c r="J1926" s="57"/>
      <c r="K1926" s="57"/>
      <c r="L1926" s="57"/>
      <c r="M1926" s="58"/>
      <c r="N1926" s="57"/>
      <c r="O1926" s="57"/>
      <c r="P1926" s="57"/>
      <c r="Q1926" s="57"/>
      <c r="R1926" s="57"/>
      <c r="S1926" s="61"/>
      <c r="T1926" s="57"/>
      <c r="U1926" s="57"/>
      <c r="V1926" s="57"/>
      <c r="W1926" s="57"/>
      <c r="X1926" s="57"/>
      <c r="Y1926" s="57"/>
      <c r="Z1926" s="57"/>
      <c r="AA1926" s="57"/>
      <c r="AB1926" s="57"/>
      <c r="AC1926" s="57"/>
      <c r="AD1926" s="57"/>
      <c r="AE1926" s="57"/>
      <c r="AF1926" s="57"/>
      <c r="AG1926" s="57"/>
      <c r="AH1926" s="57"/>
      <c r="AI1926" s="57"/>
      <c r="AJ1926" s="57"/>
      <c r="AK1926" s="57"/>
      <c r="AL1926" s="57"/>
      <c r="AM1926" s="57"/>
      <c r="AN1926" s="57"/>
      <c r="AO1926" s="57"/>
      <c r="AP1926" s="57"/>
      <c r="AQ1926" s="57"/>
      <c r="AR1926" s="57"/>
      <c r="AS1926" s="57"/>
      <c r="AT1926" s="57"/>
      <c r="AU1926" s="57"/>
      <c r="AV1926" s="57"/>
      <c r="AW1926" s="57"/>
      <c r="AX1926" s="57"/>
      <c r="AY1926" s="57"/>
      <c r="AZ1926" s="57"/>
      <c r="BA1926" s="57"/>
      <c r="BB1926" s="57"/>
      <c r="BC1926" s="57"/>
      <c r="BD1926" s="57"/>
      <c r="BE1926" s="57"/>
      <c r="BF1926" s="57"/>
    </row>
    <row r="1927" spans="1:58" x14ac:dyDescent="0.25">
      <c r="A1927" s="53"/>
      <c r="B1927" s="60"/>
      <c r="C1927" s="57">
        <f t="shared" si="140"/>
        <v>0</v>
      </c>
      <c r="D1927" s="56"/>
      <c r="E1927" s="57">
        <f>[1]DETAY!$A$2</f>
        <v>0</v>
      </c>
      <c r="F1927" s="90">
        <f t="shared" si="141"/>
        <v>0</v>
      </c>
      <c r="G1927" s="92">
        <f t="shared" si="142"/>
        <v>0</v>
      </c>
      <c r="H1927" s="62" t="e">
        <f t="shared" si="143"/>
        <v>#DIV/0!</v>
      </c>
      <c r="I1927" s="57"/>
      <c r="J1927" s="57"/>
      <c r="K1927" s="57"/>
      <c r="L1927" s="57"/>
      <c r="M1927" s="58"/>
      <c r="N1927" s="57"/>
      <c r="O1927" s="57"/>
      <c r="P1927" s="57"/>
      <c r="Q1927" s="57"/>
      <c r="R1927" s="57"/>
      <c r="S1927" s="61"/>
      <c r="T1927" s="57"/>
      <c r="U1927" s="57"/>
      <c r="V1927" s="57"/>
      <c r="W1927" s="57"/>
      <c r="X1927" s="57"/>
      <c r="Y1927" s="57"/>
      <c r="Z1927" s="57"/>
      <c r="AA1927" s="57"/>
      <c r="AB1927" s="57"/>
      <c r="AC1927" s="57"/>
      <c r="AD1927" s="57"/>
      <c r="AE1927" s="57"/>
      <c r="AF1927" s="57"/>
      <c r="AG1927" s="57"/>
      <c r="AH1927" s="57"/>
      <c r="AI1927" s="57"/>
      <c r="AJ1927" s="57"/>
      <c r="AK1927" s="57"/>
      <c r="AL1927" s="57"/>
      <c r="AM1927" s="57"/>
      <c r="AN1927" s="57"/>
      <c r="AO1927" s="57"/>
      <c r="AP1927" s="57"/>
      <c r="AQ1927" s="57"/>
      <c r="AR1927" s="57"/>
      <c r="AS1927" s="57"/>
      <c r="AT1927" s="57"/>
      <c r="AU1927" s="57"/>
      <c r="AV1927" s="57"/>
      <c r="AW1927" s="57"/>
      <c r="AX1927" s="57"/>
      <c r="AY1927" s="57"/>
      <c r="AZ1927" s="57"/>
      <c r="BA1927" s="57"/>
      <c r="BB1927" s="57"/>
      <c r="BC1927" s="57"/>
      <c r="BD1927" s="57"/>
      <c r="BE1927" s="57"/>
      <c r="BF1927" s="57"/>
    </row>
    <row r="1928" spans="1:58" x14ac:dyDescent="0.25">
      <c r="A1928" s="53"/>
      <c r="B1928" s="60"/>
      <c r="C1928" s="57">
        <f t="shared" ref="C1928:C1991" si="144">WEEKNUM(B1928)</f>
        <v>0</v>
      </c>
      <c r="D1928" s="56"/>
      <c r="E1928" s="57">
        <f>[1]DETAY!$A$2</f>
        <v>0</v>
      </c>
      <c r="F1928" s="90">
        <f t="shared" ref="F1928:F1991" si="145">D1928-G1928</f>
        <v>0</v>
      </c>
      <c r="G1928" s="92">
        <f t="shared" ref="G1928:G1991" si="146">SUBTOTAL(9,I1928:BD1928)</f>
        <v>0</v>
      </c>
      <c r="H1928" s="62" t="e">
        <f t="shared" ref="H1928:H1991" si="147">F1928/D1928</f>
        <v>#DIV/0!</v>
      </c>
      <c r="I1928" s="57"/>
      <c r="J1928" s="57"/>
      <c r="K1928" s="57"/>
      <c r="L1928" s="57"/>
      <c r="M1928" s="58"/>
      <c r="N1928" s="57"/>
      <c r="O1928" s="57"/>
      <c r="P1928" s="57"/>
      <c r="Q1928" s="57"/>
      <c r="R1928" s="57"/>
      <c r="S1928" s="61"/>
      <c r="T1928" s="57"/>
      <c r="U1928" s="57"/>
      <c r="V1928" s="57"/>
      <c r="W1928" s="57"/>
      <c r="X1928" s="57"/>
      <c r="Y1928" s="57"/>
      <c r="Z1928" s="57"/>
      <c r="AA1928" s="57"/>
      <c r="AB1928" s="57"/>
      <c r="AC1928" s="57"/>
      <c r="AD1928" s="57"/>
      <c r="AE1928" s="57"/>
      <c r="AF1928" s="57"/>
      <c r="AG1928" s="57"/>
      <c r="AH1928" s="57"/>
      <c r="AI1928" s="57"/>
      <c r="AJ1928" s="57"/>
      <c r="AK1928" s="57"/>
      <c r="AL1928" s="57"/>
      <c r="AM1928" s="57"/>
      <c r="AN1928" s="57"/>
      <c r="AO1928" s="57"/>
      <c r="AP1928" s="57"/>
      <c r="AQ1928" s="57"/>
      <c r="AR1928" s="57"/>
      <c r="AS1928" s="57"/>
      <c r="AT1928" s="57"/>
      <c r="AU1928" s="57"/>
      <c r="AV1928" s="57"/>
      <c r="AW1928" s="57"/>
      <c r="AX1928" s="57"/>
      <c r="AY1928" s="57"/>
      <c r="AZ1928" s="57"/>
      <c r="BA1928" s="57"/>
      <c r="BB1928" s="57"/>
      <c r="BC1928" s="57"/>
      <c r="BD1928" s="57"/>
      <c r="BE1928" s="57"/>
      <c r="BF1928" s="57"/>
    </row>
    <row r="1929" spans="1:58" x14ac:dyDescent="0.25">
      <c r="A1929" s="53"/>
      <c r="B1929" s="60"/>
      <c r="C1929" s="57">
        <f t="shared" si="144"/>
        <v>0</v>
      </c>
      <c r="D1929" s="56"/>
      <c r="E1929" s="57">
        <f>[1]DETAY!$A$2</f>
        <v>0</v>
      </c>
      <c r="F1929" s="90">
        <f t="shared" si="145"/>
        <v>0</v>
      </c>
      <c r="G1929" s="92">
        <f t="shared" si="146"/>
        <v>0</v>
      </c>
      <c r="H1929" s="62" t="e">
        <f t="shared" si="147"/>
        <v>#DIV/0!</v>
      </c>
      <c r="I1929" s="57"/>
      <c r="J1929" s="57"/>
      <c r="K1929" s="57"/>
      <c r="L1929" s="57"/>
      <c r="M1929" s="58"/>
      <c r="N1929" s="57"/>
      <c r="O1929" s="57"/>
      <c r="P1929" s="57"/>
      <c r="Q1929" s="57"/>
      <c r="R1929" s="57"/>
      <c r="S1929" s="61"/>
      <c r="T1929" s="57"/>
      <c r="U1929" s="57"/>
      <c r="V1929" s="57"/>
      <c r="W1929" s="57"/>
      <c r="X1929" s="57"/>
      <c r="Y1929" s="57"/>
      <c r="Z1929" s="57"/>
      <c r="AA1929" s="57"/>
      <c r="AB1929" s="57"/>
      <c r="AC1929" s="57"/>
      <c r="AD1929" s="57"/>
      <c r="AE1929" s="57"/>
      <c r="AF1929" s="57"/>
      <c r="AG1929" s="57"/>
      <c r="AH1929" s="57"/>
      <c r="AI1929" s="57"/>
      <c r="AJ1929" s="57"/>
      <c r="AK1929" s="57"/>
      <c r="AL1929" s="57"/>
      <c r="AM1929" s="57"/>
      <c r="AN1929" s="57"/>
      <c r="AO1929" s="57"/>
      <c r="AP1929" s="57"/>
      <c r="AQ1929" s="57"/>
      <c r="AR1929" s="57"/>
      <c r="AS1929" s="57"/>
      <c r="AT1929" s="57"/>
      <c r="AU1929" s="57"/>
      <c r="AV1929" s="57"/>
      <c r="AW1929" s="57"/>
      <c r="AX1929" s="57"/>
      <c r="AY1929" s="57"/>
      <c r="AZ1929" s="57"/>
      <c r="BA1929" s="57"/>
      <c r="BB1929" s="57"/>
      <c r="BC1929" s="57"/>
      <c r="BD1929" s="57"/>
      <c r="BE1929" s="57"/>
      <c r="BF1929" s="57"/>
    </row>
    <row r="1930" spans="1:58" x14ac:dyDescent="0.25">
      <c r="A1930" s="53"/>
      <c r="B1930" s="60"/>
      <c r="C1930" s="57">
        <f t="shared" si="144"/>
        <v>0</v>
      </c>
      <c r="D1930" s="56"/>
      <c r="E1930" s="57">
        <f>[1]DETAY!$A$2</f>
        <v>0</v>
      </c>
      <c r="F1930" s="90">
        <f t="shared" si="145"/>
        <v>0</v>
      </c>
      <c r="G1930" s="92">
        <f t="shared" si="146"/>
        <v>0</v>
      </c>
      <c r="H1930" s="62" t="e">
        <f t="shared" si="147"/>
        <v>#DIV/0!</v>
      </c>
      <c r="I1930" s="57"/>
      <c r="J1930" s="57"/>
      <c r="K1930" s="57"/>
      <c r="L1930" s="57"/>
      <c r="M1930" s="58"/>
      <c r="N1930" s="57"/>
      <c r="O1930" s="57"/>
      <c r="P1930" s="57"/>
      <c r="Q1930" s="57"/>
      <c r="R1930" s="57"/>
      <c r="S1930" s="61"/>
      <c r="T1930" s="57"/>
      <c r="U1930" s="57"/>
      <c r="V1930" s="57"/>
      <c r="W1930" s="57"/>
      <c r="X1930" s="57"/>
      <c r="Y1930" s="57"/>
      <c r="Z1930" s="57"/>
      <c r="AA1930" s="57"/>
      <c r="AB1930" s="57"/>
      <c r="AC1930" s="57"/>
      <c r="AD1930" s="57"/>
      <c r="AE1930" s="57"/>
      <c r="AF1930" s="57"/>
      <c r="AG1930" s="57"/>
      <c r="AH1930" s="57"/>
      <c r="AI1930" s="57"/>
      <c r="AJ1930" s="57"/>
      <c r="AK1930" s="57"/>
      <c r="AL1930" s="57"/>
      <c r="AM1930" s="57"/>
      <c r="AN1930" s="57"/>
      <c r="AO1930" s="57"/>
      <c r="AP1930" s="57"/>
      <c r="AQ1930" s="57"/>
      <c r="AR1930" s="57"/>
      <c r="AS1930" s="57"/>
      <c r="AT1930" s="57"/>
      <c r="AU1930" s="57"/>
      <c r="AV1930" s="57"/>
      <c r="AW1930" s="57"/>
      <c r="AX1930" s="57"/>
      <c r="AY1930" s="57"/>
      <c r="AZ1930" s="57"/>
      <c r="BA1930" s="57"/>
      <c r="BB1930" s="57"/>
      <c r="BC1930" s="57"/>
      <c r="BD1930" s="57"/>
      <c r="BE1930" s="57"/>
      <c r="BF1930" s="57"/>
    </row>
    <row r="1931" spans="1:58" x14ac:dyDescent="0.25">
      <c r="A1931" s="53"/>
      <c r="B1931" s="60"/>
      <c r="C1931" s="57">
        <f t="shared" si="144"/>
        <v>0</v>
      </c>
      <c r="D1931" s="56"/>
      <c r="E1931" s="57">
        <f>[1]DETAY!$A$2</f>
        <v>0</v>
      </c>
      <c r="F1931" s="90">
        <f t="shared" si="145"/>
        <v>0</v>
      </c>
      <c r="G1931" s="92">
        <f t="shared" si="146"/>
        <v>0</v>
      </c>
      <c r="H1931" s="62" t="e">
        <f t="shared" si="147"/>
        <v>#DIV/0!</v>
      </c>
      <c r="I1931" s="57"/>
      <c r="J1931" s="57"/>
      <c r="K1931" s="57"/>
      <c r="L1931" s="57"/>
      <c r="M1931" s="58"/>
      <c r="N1931" s="57"/>
      <c r="O1931" s="57"/>
      <c r="P1931" s="57"/>
      <c r="Q1931" s="57"/>
      <c r="R1931" s="57"/>
      <c r="S1931" s="61"/>
      <c r="T1931" s="57"/>
      <c r="U1931" s="57"/>
      <c r="V1931" s="57"/>
      <c r="W1931" s="57"/>
      <c r="X1931" s="57"/>
      <c r="Y1931" s="57"/>
      <c r="Z1931" s="57"/>
      <c r="AA1931" s="57"/>
      <c r="AB1931" s="57"/>
      <c r="AC1931" s="57"/>
      <c r="AD1931" s="57"/>
      <c r="AE1931" s="57"/>
      <c r="AF1931" s="57"/>
      <c r="AG1931" s="57"/>
      <c r="AH1931" s="57"/>
      <c r="AI1931" s="57"/>
      <c r="AJ1931" s="57"/>
      <c r="AK1931" s="57"/>
      <c r="AL1931" s="57"/>
      <c r="AM1931" s="57"/>
      <c r="AN1931" s="57"/>
      <c r="AO1931" s="57"/>
      <c r="AP1931" s="57"/>
      <c r="AQ1931" s="57"/>
      <c r="AR1931" s="57"/>
      <c r="AS1931" s="57"/>
      <c r="AT1931" s="57"/>
      <c r="AU1931" s="57"/>
      <c r="AV1931" s="57"/>
      <c r="AW1931" s="57"/>
      <c r="AX1931" s="57"/>
      <c r="AY1931" s="57"/>
      <c r="AZ1931" s="57"/>
      <c r="BA1931" s="57"/>
      <c r="BB1931" s="57"/>
      <c r="BC1931" s="57"/>
      <c r="BD1931" s="57"/>
      <c r="BE1931" s="57"/>
      <c r="BF1931" s="57"/>
    </row>
    <row r="1932" spans="1:58" x14ac:dyDescent="0.25">
      <c r="A1932" s="53"/>
      <c r="B1932" s="60"/>
      <c r="C1932" s="57">
        <f t="shared" si="144"/>
        <v>0</v>
      </c>
      <c r="D1932" s="56"/>
      <c r="E1932" s="57">
        <f>[1]DETAY!$A$2</f>
        <v>0</v>
      </c>
      <c r="F1932" s="90">
        <f t="shared" si="145"/>
        <v>0</v>
      </c>
      <c r="G1932" s="92">
        <f t="shared" si="146"/>
        <v>0</v>
      </c>
      <c r="H1932" s="62" t="e">
        <f t="shared" si="147"/>
        <v>#DIV/0!</v>
      </c>
      <c r="I1932" s="57"/>
      <c r="J1932" s="57"/>
      <c r="K1932" s="57"/>
      <c r="L1932" s="57"/>
      <c r="M1932" s="58"/>
      <c r="N1932" s="57"/>
      <c r="O1932" s="57"/>
      <c r="P1932" s="57"/>
      <c r="Q1932" s="57"/>
      <c r="R1932" s="57"/>
      <c r="S1932" s="61"/>
      <c r="T1932" s="57"/>
      <c r="U1932" s="57"/>
      <c r="V1932" s="57"/>
      <c r="W1932" s="57"/>
      <c r="X1932" s="57"/>
      <c r="Y1932" s="57"/>
      <c r="Z1932" s="57"/>
      <c r="AA1932" s="57"/>
      <c r="AB1932" s="57"/>
      <c r="AC1932" s="57"/>
      <c r="AD1932" s="57"/>
      <c r="AE1932" s="57"/>
      <c r="AF1932" s="57"/>
      <c r="AG1932" s="57"/>
      <c r="AH1932" s="57"/>
      <c r="AI1932" s="57"/>
      <c r="AJ1932" s="57"/>
      <c r="AK1932" s="57"/>
      <c r="AL1932" s="57"/>
      <c r="AM1932" s="57"/>
      <c r="AN1932" s="57"/>
      <c r="AO1932" s="57"/>
      <c r="AP1932" s="57"/>
      <c r="AQ1932" s="57"/>
      <c r="AR1932" s="57"/>
      <c r="AS1932" s="57"/>
      <c r="AT1932" s="57"/>
      <c r="AU1932" s="57"/>
      <c r="AV1932" s="57"/>
      <c r="AW1932" s="57"/>
      <c r="AX1932" s="57"/>
      <c r="AY1932" s="57"/>
      <c r="AZ1932" s="57"/>
      <c r="BA1932" s="57"/>
      <c r="BB1932" s="57"/>
      <c r="BC1932" s="57"/>
      <c r="BD1932" s="57"/>
      <c r="BE1932" s="57"/>
      <c r="BF1932" s="57"/>
    </row>
    <row r="1933" spans="1:58" x14ac:dyDescent="0.25">
      <c r="A1933" s="53"/>
      <c r="B1933" s="60"/>
      <c r="C1933" s="57">
        <f t="shared" si="144"/>
        <v>0</v>
      </c>
      <c r="D1933" s="56"/>
      <c r="E1933" s="57">
        <f>[1]DETAY!$A$2</f>
        <v>0</v>
      </c>
      <c r="F1933" s="90">
        <f t="shared" si="145"/>
        <v>0</v>
      </c>
      <c r="G1933" s="92">
        <f t="shared" si="146"/>
        <v>0</v>
      </c>
      <c r="H1933" s="62" t="e">
        <f t="shared" si="147"/>
        <v>#DIV/0!</v>
      </c>
      <c r="I1933" s="57"/>
      <c r="J1933" s="57"/>
      <c r="K1933" s="57"/>
      <c r="L1933" s="57"/>
      <c r="M1933" s="58"/>
      <c r="N1933" s="57"/>
      <c r="O1933" s="57"/>
      <c r="P1933" s="57"/>
      <c r="Q1933" s="57"/>
      <c r="R1933" s="57"/>
      <c r="S1933" s="61"/>
      <c r="T1933" s="57"/>
      <c r="U1933" s="57"/>
      <c r="V1933" s="57"/>
      <c r="W1933" s="57"/>
      <c r="X1933" s="57"/>
      <c r="Y1933" s="57"/>
      <c r="Z1933" s="57"/>
      <c r="AA1933" s="57"/>
      <c r="AB1933" s="57"/>
      <c r="AC1933" s="57"/>
      <c r="AD1933" s="57"/>
      <c r="AE1933" s="57"/>
      <c r="AF1933" s="57"/>
      <c r="AG1933" s="57"/>
      <c r="AH1933" s="57"/>
      <c r="AI1933" s="57"/>
      <c r="AJ1933" s="57"/>
      <c r="AK1933" s="57"/>
      <c r="AL1933" s="57"/>
      <c r="AM1933" s="57"/>
      <c r="AN1933" s="57"/>
      <c r="AO1933" s="57"/>
      <c r="AP1933" s="57"/>
      <c r="AQ1933" s="57"/>
      <c r="AR1933" s="57"/>
      <c r="AS1933" s="57"/>
      <c r="AT1933" s="57"/>
      <c r="AU1933" s="57"/>
      <c r="AV1933" s="57"/>
      <c r="AW1933" s="57"/>
      <c r="AX1933" s="57"/>
      <c r="AY1933" s="57"/>
      <c r="AZ1933" s="57"/>
      <c r="BA1933" s="57"/>
      <c r="BB1933" s="57"/>
      <c r="BC1933" s="57"/>
      <c r="BD1933" s="57"/>
      <c r="BE1933" s="57"/>
      <c r="BF1933" s="57"/>
    </row>
    <row r="1934" spans="1:58" x14ac:dyDescent="0.25">
      <c r="A1934" s="53"/>
      <c r="B1934" s="60"/>
      <c r="C1934" s="57">
        <f t="shared" si="144"/>
        <v>0</v>
      </c>
      <c r="D1934" s="56"/>
      <c r="E1934" s="57">
        <f>[1]DETAY!$A$2</f>
        <v>0</v>
      </c>
      <c r="F1934" s="90">
        <f t="shared" si="145"/>
        <v>0</v>
      </c>
      <c r="G1934" s="92">
        <f t="shared" si="146"/>
        <v>0</v>
      </c>
      <c r="H1934" s="62" t="e">
        <f t="shared" si="147"/>
        <v>#DIV/0!</v>
      </c>
      <c r="I1934" s="57"/>
      <c r="J1934" s="57"/>
      <c r="K1934" s="57"/>
      <c r="L1934" s="57"/>
      <c r="M1934" s="58"/>
      <c r="N1934" s="57"/>
      <c r="O1934" s="57"/>
      <c r="P1934" s="57"/>
      <c r="Q1934" s="57"/>
      <c r="R1934" s="57"/>
      <c r="S1934" s="61"/>
      <c r="T1934" s="57"/>
      <c r="U1934" s="57"/>
      <c r="V1934" s="57"/>
      <c r="W1934" s="57"/>
      <c r="X1934" s="57"/>
      <c r="Y1934" s="57"/>
      <c r="Z1934" s="57"/>
      <c r="AA1934" s="57"/>
      <c r="AB1934" s="57"/>
      <c r="AC1934" s="57"/>
      <c r="AD1934" s="57"/>
      <c r="AE1934" s="57"/>
      <c r="AF1934" s="57"/>
      <c r="AG1934" s="57"/>
      <c r="AH1934" s="57"/>
      <c r="AI1934" s="57"/>
      <c r="AJ1934" s="57"/>
      <c r="AK1934" s="57"/>
      <c r="AL1934" s="57"/>
      <c r="AM1934" s="57"/>
      <c r="AN1934" s="57"/>
      <c r="AO1934" s="57"/>
      <c r="AP1934" s="57"/>
      <c r="AQ1934" s="57"/>
      <c r="AR1934" s="57"/>
      <c r="AS1934" s="57"/>
      <c r="AT1934" s="57"/>
      <c r="AU1934" s="57"/>
      <c r="AV1934" s="57"/>
      <c r="AW1934" s="57"/>
      <c r="AX1934" s="57"/>
      <c r="AY1934" s="57"/>
      <c r="AZ1934" s="57"/>
      <c r="BA1934" s="57"/>
      <c r="BB1934" s="57"/>
      <c r="BC1934" s="57"/>
      <c r="BD1934" s="57"/>
      <c r="BE1934" s="57"/>
      <c r="BF1934" s="57"/>
    </row>
    <row r="1935" spans="1:58" x14ac:dyDescent="0.25">
      <c r="A1935" s="53"/>
      <c r="B1935" s="60"/>
      <c r="C1935" s="57">
        <f t="shared" si="144"/>
        <v>0</v>
      </c>
      <c r="D1935" s="56"/>
      <c r="E1935" s="57">
        <f>[1]DETAY!$A$2</f>
        <v>0</v>
      </c>
      <c r="F1935" s="90">
        <f t="shared" si="145"/>
        <v>0</v>
      </c>
      <c r="G1935" s="92">
        <f t="shared" si="146"/>
        <v>0</v>
      </c>
      <c r="H1935" s="62" t="e">
        <f t="shared" si="147"/>
        <v>#DIV/0!</v>
      </c>
      <c r="I1935" s="57"/>
      <c r="J1935" s="57"/>
      <c r="K1935" s="57"/>
      <c r="L1935" s="57"/>
      <c r="M1935" s="58"/>
      <c r="N1935" s="57"/>
      <c r="O1935" s="57"/>
      <c r="P1935" s="57"/>
      <c r="Q1935" s="57"/>
      <c r="R1935" s="57"/>
      <c r="S1935" s="61"/>
      <c r="T1935" s="57"/>
      <c r="U1935" s="57"/>
      <c r="V1935" s="57"/>
      <c r="W1935" s="57"/>
      <c r="X1935" s="57"/>
      <c r="Y1935" s="57"/>
      <c r="Z1935" s="57"/>
      <c r="AA1935" s="57"/>
      <c r="AB1935" s="57"/>
      <c r="AC1935" s="57"/>
      <c r="AD1935" s="57"/>
      <c r="AE1935" s="57"/>
      <c r="AF1935" s="57"/>
      <c r="AG1935" s="57"/>
      <c r="AH1935" s="57"/>
      <c r="AI1935" s="57"/>
      <c r="AJ1935" s="57"/>
      <c r="AK1935" s="57"/>
      <c r="AL1935" s="57"/>
      <c r="AM1935" s="57"/>
      <c r="AN1935" s="57"/>
      <c r="AO1935" s="57"/>
      <c r="AP1935" s="57"/>
      <c r="AQ1935" s="57"/>
      <c r="AR1935" s="57"/>
      <c r="AS1935" s="57"/>
      <c r="AT1935" s="57"/>
      <c r="AU1935" s="57"/>
      <c r="AV1935" s="57"/>
      <c r="AW1935" s="57"/>
      <c r="AX1935" s="57"/>
      <c r="AY1935" s="57"/>
      <c r="AZ1935" s="57"/>
      <c r="BA1935" s="57"/>
      <c r="BB1935" s="57"/>
      <c r="BC1935" s="57"/>
      <c r="BD1935" s="57"/>
      <c r="BE1935" s="57"/>
      <c r="BF1935" s="57"/>
    </row>
    <row r="1936" spans="1:58" x14ac:dyDescent="0.25">
      <c r="A1936" s="53"/>
      <c r="B1936" s="60"/>
      <c r="C1936" s="57">
        <f t="shared" si="144"/>
        <v>0</v>
      </c>
      <c r="D1936" s="56"/>
      <c r="E1936" s="57">
        <f>[1]DETAY!$A$2</f>
        <v>0</v>
      </c>
      <c r="F1936" s="90">
        <f t="shared" si="145"/>
        <v>0</v>
      </c>
      <c r="G1936" s="92">
        <f t="shared" si="146"/>
        <v>0</v>
      </c>
      <c r="H1936" s="62" t="e">
        <f t="shared" si="147"/>
        <v>#DIV/0!</v>
      </c>
      <c r="I1936" s="57"/>
      <c r="J1936" s="57"/>
      <c r="K1936" s="57"/>
      <c r="L1936" s="57"/>
      <c r="M1936" s="58"/>
      <c r="N1936" s="57"/>
      <c r="O1936" s="57"/>
      <c r="P1936" s="57"/>
      <c r="Q1936" s="57"/>
      <c r="R1936" s="57"/>
      <c r="S1936" s="61"/>
      <c r="T1936" s="57"/>
      <c r="U1936" s="57"/>
      <c r="V1936" s="57"/>
      <c r="W1936" s="57"/>
      <c r="X1936" s="57"/>
      <c r="Y1936" s="57"/>
      <c r="Z1936" s="57"/>
      <c r="AA1936" s="57"/>
      <c r="AB1936" s="57"/>
      <c r="AC1936" s="57"/>
      <c r="AD1936" s="57"/>
      <c r="AE1936" s="57"/>
      <c r="AF1936" s="57"/>
      <c r="AG1936" s="57"/>
      <c r="AH1936" s="57"/>
      <c r="AI1936" s="57"/>
      <c r="AJ1936" s="57"/>
      <c r="AK1936" s="57"/>
      <c r="AL1936" s="57"/>
      <c r="AM1936" s="57"/>
      <c r="AN1936" s="57"/>
      <c r="AO1936" s="57"/>
      <c r="AP1936" s="57"/>
      <c r="AQ1936" s="57"/>
      <c r="AR1936" s="57"/>
      <c r="AS1936" s="57"/>
      <c r="AT1936" s="57"/>
      <c r="AU1936" s="57"/>
      <c r="AV1936" s="57"/>
      <c r="AW1936" s="57"/>
      <c r="AX1936" s="57"/>
      <c r="AY1936" s="57"/>
      <c r="AZ1936" s="57"/>
      <c r="BA1936" s="57"/>
      <c r="BB1936" s="57"/>
      <c r="BC1936" s="57"/>
      <c r="BD1936" s="57"/>
      <c r="BE1936" s="57"/>
      <c r="BF1936" s="57"/>
    </row>
    <row r="1937" spans="1:58" x14ac:dyDescent="0.25">
      <c r="A1937" s="53"/>
      <c r="B1937" s="60"/>
      <c r="C1937" s="57">
        <f t="shared" si="144"/>
        <v>0</v>
      </c>
      <c r="D1937" s="56"/>
      <c r="E1937" s="57">
        <f>[1]DETAY!$A$2</f>
        <v>0</v>
      </c>
      <c r="F1937" s="90">
        <f t="shared" si="145"/>
        <v>0</v>
      </c>
      <c r="G1937" s="92">
        <f t="shared" si="146"/>
        <v>0</v>
      </c>
      <c r="H1937" s="62" t="e">
        <f t="shared" si="147"/>
        <v>#DIV/0!</v>
      </c>
      <c r="I1937" s="57"/>
      <c r="J1937" s="57"/>
      <c r="K1937" s="57"/>
      <c r="L1937" s="57"/>
      <c r="M1937" s="58"/>
      <c r="N1937" s="57"/>
      <c r="O1937" s="57"/>
      <c r="P1937" s="57"/>
      <c r="Q1937" s="57"/>
      <c r="R1937" s="57"/>
      <c r="S1937" s="61"/>
      <c r="T1937" s="57"/>
      <c r="U1937" s="57"/>
      <c r="V1937" s="57"/>
      <c r="W1937" s="57"/>
      <c r="X1937" s="57"/>
      <c r="Y1937" s="57"/>
      <c r="Z1937" s="57"/>
      <c r="AA1937" s="57"/>
      <c r="AB1937" s="57"/>
      <c r="AC1937" s="57"/>
      <c r="AD1937" s="57"/>
      <c r="AE1937" s="57"/>
      <c r="AF1937" s="57"/>
      <c r="AG1937" s="57"/>
      <c r="AH1937" s="57"/>
      <c r="AI1937" s="57"/>
      <c r="AJ1937" s="57"/>
      <c r="AK1937" s="57"/>
      <c r="AL1937" s="57"/>
      <c r="AM1937" s="57"/>
      <c r="AN1937" s="57"/>
      <c r="AO1937" s="57"/>
      <c r="AP1937" s="57"/>
      <c r="AQ1937" s="57"/>
      <c r="AR1937" s="57"/>
      <c r="AS1937" s="57"/>
      <c r="AT1937" s="57"/>
      <c r="AU1937" s="57"/>
      <c r="AV1937" s="57"/>
      <c r="AW1937" s="57"/>
      <c r="AX1937" s="57"/>
      <c r="AY1937" s="57"/>
      <c r="AZ1937" s="57"/>
      <c r="BA1937" s="57"/>
      <c r="BB1937" s="57"/>
      <c r="BC1937" s="57"/>
      <c r="BD1937" s="57"/>
      <c r="BE1937" s="57"/>
      <c r="BF1937" s="57"/>
    </row>
    <row r="1938" spans="1:58" x14ac:dyDescent="0.25">
      <c r="A1938" s="53"/>
      <c r="B1938" s="60"/>
      <c r="C1938" s="57">
        <f t="shared" si="144"/>
        <v>0</v>
      </c>
      <c r="D1938" s="56"/>
      <c r="E1938" s="57">
        <f>[1]DETAY!$A$2</f>
        <v>0</v>
      </c>
      <c r="F1938" s="90">
        <f t="shared" si="145"/>
        <v>0</v>
      </c>
      <c r="G1938" s="92">
        <f t="shared" si="146"/>
        <v>0</v>
      </c>
      <c r="H1938" s="62" t="e">
        <f t="shared" si="147"/>
        <v>#DIV/0!</v>
      </c>
      <c r="I1938" s="57"/>
      <c r="J1938" s="57"/>
      <c r="K1938" s="57"/>
      <c r="L1938" s="57"/>
      <c r="M1938" s="58"/>
      <c r="N1938" s="57"/>
      <c r="O1938" s="57"/>
      <c r="P1938" s="57"/>
      <c r="Q1938" s="57"/>
      <c r="R1938" s="57"/>
      <c r="S1938" s="61"/>
      <c r="T1938" s="57"/>
      <c r="U1938" s="57"/>
      <c r="V1938" s="57"/>
      <c r="W1938" s="57"/>
      <c r="X1938" s="57"/>
      <c r="Y1938" s="57"/>
      <c r="Z1938" s="57"/>
      <c r="AA1938" s="57"/>
      <c r="AB1938" s="57"/>
      <c r="AC1938" s="57"/>
      <c r="AD1938" s="57"/>
      <c r="AE1938" s="57"/>
      <c r="AF1938" s="57"/>
      <c r="AG1938" s="57"/>
      <c r="AH1938" s="57"/>
      <c r="AI1938" s="57"/>
      <c r="AJ1938" s="57"/>
      <c r="AK1938" s="57"/>
      <c r="AL1938" s="57"/>
      <c r="AM1938" s="57"/>
      <c r="AN1938" s="57"/>
      <c r="AO1938" s="57"/>
      <c r="AP1938" s="57"/>
      <c r="AQ1938" s="57"/>
      <c r="AR1938" s="57"/>
      <c r="AS1938" s="57"/>
      <c r="AT1938" s="57"/>
      <c r="AU1938" s="57"/>
      <c r="AV1938" s="57"/>
      <c r="AW1938" s="57"/>
      <c r="AX1938" s="57"/>
      <c r="AY1938" s="57"/>
      <c r="AZ1938" s="57"/>
      <c r="BA1938" s="57"/>
      <c r="BB1938" s="57"/>
      <c r="BC1938" s="57"/>
      <c r="BD1938" s="57"/>
      <c r="BE1938" s="57"/>
      <c r="BF1938" s="57"/>
    </row>
    <row r="1939" spans="1:58" x14ac:dyDescent="0.25">
      <c r="A1939" s="53"/>
      <c r="B1939" s="60"/>
      <c r="C1939" s="57">
        <f t="shared" si="144"/>
        <v>0</v>
      </c>
      <c r="D1939" s="56"/>
      <c r="E1939" s="57">
        <f>[1]DETAY!$A$2</f>
        <v>0</v>
      </c>
      <c r="F1939" s="90">
        <f t="shared" si="145"/>
        <v>0</v>
      </c>
      <c r="G1939" s="92">
        <f t="shared" si="146"/>
        <v>0</v>
      </c>
      <c r="H1939" s="62" t="e">
        <f t="shared" si="147"/>
        <v>#DIV/0!</v>
      </c>
      <c r="I1939" s="57"/>
      <c r="J1939" s="57"/>
      <c r="K1939" s="57"/>
      <c r="L1939" s="57"/>
      <c r="M1939" s="58"/>
      <c r="N1939" s="57"/>
      <c r="O1939" s="57"/>
      <c r="P1939" s="57"/>
      <c r="Q1939" s="57"/>
      <c r="R1939" s="57"/>
      <c r="S1939" s="61"/>
      <c r="T1939" s="57"/>
      <c r="U1939" s="57"/>
      <c r="V1939" s="57"/>
      <c r="W1939" s="57"/>
      <c r="X1939" s="57"/>
      <c r="Y1939" s="57"/>
      <c r="Z1939" s="57"/>
      <c r="AA1939" s="57"/>
      <c r="AB1939" s="57"/>
      <c r="AC1939" s="57"/>
      <c r="AD1939" s="57"/>
      <c r="AE1939" s="57"/>
      <c r="AF1939" s="57"/>
      <c r="AG1939" s="57"/>
      <c r="AH1939" s="57"/>
      <c r="AI1939" s="57"/>
      <c r="AJ1939" s="57"/>
      <c r="AK1939" s="57"/>
      <c r="AL1939" s="57"/>
      <c r="AM1939" s="57"/>
      <c r="AN1939" s="57"/>
      <c r="AO1939" s="57"/>
      <c r="AP1939" s="57"/>
      <c r="AQ1939" s="57"/>
      <c r="AR1939" s="57"/>
      <c r="AS1939" s="57"/>
      <c r="AT1939" s="57"/>
      <c r="AU1939" s="57"/>
      <c r="AV1939" s="57"/>
      <c r="AW1939" s="57"/>
      <c r="AX1939" s="57"/>
      <c r="AY1939" s="57"/>
      <c r="AZ1939" s="57"/>
      <c r="BA1939" s="57"/>
      <c r="BB1939" s="57"/>
      <c r="BC1939" s="57"/>
      <c r="BD1939" s="57"/>
      <c r="BE1939" s="57"/>
      <c r="BF1939" s="57"/>
    </row>
    <row r="1940" spans="1:58" x14ac:dyDescent="0.25">
      <c r="A1940" s="53"/>
      <c r="B1940" s="60"/>
      <c r="C1940" s="57">
        <f t="shared" si="144"/>
        <v>0</v>
      </c>
      <c r="D1940" s="56"/>
      <c r="E1940" s="57">
        <f>[1]DETAY!$A$2</f>
        <v>0</v>
      </c>
      <c r="F1940" s="90">
        <f t="shared" si="145"/>
        <v>0</v>
      </c>
      <c r="G1940" s="92">
        <f t="shared" si="146"/>
        <v>0</v>
      </c>
      <c r="H1940" s="62" t="e">
        <f t="shared" si="147"/>
        <v>#DIV/0!</v>
      </c>
      <c r="I1940" s="57"/>
      <c r="J1940" s="57"/>
      <c r="K1940" s="57"/>
      <c r="L1940" s="57"/>
      <c r="M1940" s="58"/>
      <c r="N1940" s="57"/>
      <c r="O1940" s="57"/>
      <c r="P1940" s="57"/>
      <c r="Q1940" s="57"/>
      <c r="R1940" s="57"/>
      <c r="S1940" s="61"/>
      <c r="T1940" s="57"/>
      <c r="U1940" s="57"/>
      <c r="V1940" s="57"/>
      <c r="W1940" s="57"/>
      <c r="X1940" s="57"/>
      <c r="Y1940" s="57"/>
      <c r="Z1940" s="57"/>
      <c r="AA1940" s="57"/>
      <c r="AB1940" s="57"/>
      <c r="AC1940" s="57"/>
      <c r="AD1940" s="57"/>
      <c r="AE1940" s="57"/>
      <c r="AF1940" s="57"/>
      <c r="AG1940" s="57"/>
      <c r="AH1940" s="57"/>
      <c r="AI1940" s="57"/>
      <c r="AJ1940" s="57"/>
      <c r="AK1940" s="57"/>
      <c r="AL1940" s="57"/>
      <c r="AM1940" s="57"/>
      <c r="AN1940" s="57"/>
      <c r="AO1940" s="57"/>
      <c r="AP1940" s="57"/>
      <c r="AQ1940" s="57"/>
      <c r="AR1940" s="57"/>
      <c r="AS1940" s="57"/>
      <c r="AT1940" s="57"/>
      <c r="AU1940" s="57"/>
      <c r="AV1940" s="57"/>
      <c r="AW1940" s="57"/>
      <c r="AX1940" s="57"/>
      <c r="AY1940" s="57"/>
      <c r="AZ1940" s="57"/>
      <c r="BA1940" s="57"/>
      <c r="BB1940" s="57"/>
      <c r="BC1940" s="57"/>
      <c r="BD1940" s="57"/>
      <c r="BE1940" s="57"/>
      <c r="BF1940" s="57"/>
    </row>
    <row r="1941" spans="1:58" x14ac:dyDescent="0.25">
      <c r="A1941" s="53"/>
      <c r="B1941" s="60"/>
      <c r="C1941" s="57">
        <f t="shared" si="144"/>
        <v>0</v>
      </c>
      <c r="D1941" s="56"/>
      <c r="E1941" s="57">
        <f>[1]DETAY!$A$2</f>
        <v>0</v>
      </c>
      <c r="F1941" s="90">
        <f t="shared" si="145"/>
        <v>0</v>
      </c>
      <c r="G1941" s="92">
        <f t="shared" si="146"/>
        <v>0</v>
      </c>
      <c r="H1941" s="62" t="e">
        <f t="shared" si="147"/>
        <v>#DIV/0!</v>
      </c>
      <c r="I1941" s="57"/>
      <c r="J1941" s="57"/>
      <c r="K1941" s="57"/>
      <c r="L1941" s="57"/>
      <c r="M1941" s="58"/>
      <c r="N1941" s="57"/>
      <c r="O1941" s="57"/>
      <c r="P1941" s="57"/>
      <c r="Q1941" s="57"/>
      <c r="R1941" s="57"/>
      <c r="S1941" s="61"/>
      <c r="T1941" s="57"/>
      <c r="U1941" s="57"/>
      <c r="V1941" s="57"/>
      <c r="W1941" s="57"/>
      <c r="X1941" s="57"/>
      <c r="Y1941" s="57"/>
      <c r="Z1941" s="57"/>
      <c r="AA1941" s="57"/>
      <c r="AB1941" s="57"/>
      <c r="AC1941" s="57"/>
      <c r="AD1941" s="57"/>
      <c r="AE1941" s="57"/>
      <c r="AF1941" s="57"/>
      <c r="AG1941" s="57"/>
      <c r="AH1941" s="57"/>
      <c r="AI1941" s="57"/>
      <c r="AJ1941" s="57"/>
      <c r="AK1941" s="57"/>
      <c r="AL1941" s="57"/>
      <c r="AM1941" s="57"/>
      <c r="AN1941" s="57"/>
      <c r="AO1941" s="57"/>
      <c r="AP1941" s="57"/>
      <c r="AQ1941" s="57"/>
      <c r="AR1941" s="57"/>
      <c r="AS1941" s="57"/>
      <c r="AT1941" s="57"/>
      <c r="AU1941" s="57"/>
      <c r="AV1941" s="57"/>
      <c r="AW1941" s="57"/>
      <c r="AX1941" s="57"/>
      <c r="AY1941" s="57"/>
      <c r="AZ1941" s="57"/>
      <c r="BA1941" s="57"/>
      <c r="BB1941" s="57"/>
      <c r="BC1941" s="57"/>
      <c r="BD1941" s="57"/>
      <c r="BE1941" s="57"/>
      <c r="BF1941" s="57"/>
    </row>
    <row r="1942" spans="1:58" x14ac:dyDescent="0.25">
      <c r="A1942" s="53"/>
      <c r="B1942" s="60"/>
      <c r="C1942" s="57">
        <f t="shared" si="144"/>
        <v>0</v>
      </c>
      <c r="D1942" s="56"/>
      <c r="E1942" s="57">
        <f>[1]DETAY!$A$2</f>
        <v>0</v>
      </c>
      <c r="F1942" s="90">
        <f t="shared" si="145"/>
        <v>0</v>
      </c>
      <c r="G1942" s="92">
        <f t="shared" si="146"/>
        <v>0</v>
      </c>
      <c r="H1942" s="62" t="e">
        <f t="shared" si="147"/>
        <v>#DIV/0!</v>
      </c>
      <c r="I1942" s="57"/>
      <c r="J1942" s="57"/>
      <c r="K1942" s="57"/>
      <c r="L1942" s="57"/>
      <c r="M1942" s="58"/>
      <c r="N1942" s="57"/>
      <c r="O1942" s="57"/>
      <c r="P1942" s="57"/>
      <c r="Q1942" s="57"/>
      <c r="R1942" s="57"/>
      <c r="S1942" s="61"/>
      <c r="T1942" s="57"/>
      <c r="U1942" s="57"/>
      <c r="V1942" s="57"/>
      <c r="W1942" s="57"/>
      <c r="X1942" s="57"/>
      <c r="Y1942" s="57"/>
      <c r="Z1942" s="57"/>
      <c r="AA1942" s="57"/>
      <c r="AB1942" s="57"/>
      <c r="AC1942" s="57"/>
      <c r="AD1942" s="57"/>
      <c r="AE1942" s="57"/>
      <c r="AF1942" s="57"/>
      <c r="AG1942" s="57"/>
      <c r="AH1942" s="57"/>
      <c r="AI1942" s="57"/>
      <c r="AJ1942" s="57"/>
      <c r="AK1942" s="57"/>
      <c r="AL1942" s="57"/>
      <c r="AM1942" s="57"/>
      <c r="AN1942" s="57"/>
      <c r="AO1942" s="57"/>
      <c r="AP1942" s="57"/>
      <c r="AQ1942" s="57"/>
      <c r="AR1942" s="57"/>
      <c r="AS1942" s="57"/>
      <c r="AT1942" s="57"/>
      <c r="AU1942" s="57"/>
      <c r="AV1942" s="57"/>
      <c r="AW1942" s="57"/>
      <c r="AX1942" s="57"/>
      <c r="AY1942" s="57"/>
      <c r="AZ1942" s="57"/>
      <c r="BA1942" s="57"/>
      <c r="BB1942" s="57"/>
      <c r="BC1942" s="57"/>
      <c r="BD1942" s="57"/>
      <c r="BE1942" s="57"/>
      <c r="BF1942" s="57"/>
    </row>
    <row r="1943" spans="1:58" x14ac:dyDescent="0.25">
      <c r="A1943" s="53"/>
      <c r="B1943" s="60"/>
      <c r="C1943" s="57">
        <f t="shared" si="144"/>
        <v>0</v>
      </c>
      <c r="D1943" s="56"/>
      <c r="E1943" s="57">
        <f>[1]DETAY!$A$2</f>
        <v>0</v>
      </c>
      <c r="F1943" s="90">
        <f t="shared" si="145"/>
        <v>0</v>
      </c>
      <c r="G1943" s="92">
        <f t="shared" si="146"/>
        <v>0</v>
      </c>
      <c r="H1943" s="62" t="e">
        <f t="shared" si="147"/>
        <v>#DIV/0!</v>
      </c>
      <c r="I1943" s="57"/>
      <c r="J1943" s="57"/>
      <c r="K1943" s="57"/>
      <c r="L1943" s="57"/>
      <c r="M1943" s="58"/>
      <c r="N1943" s="57"/>
      <c r="O1943" s="57"/>
      <c r="P1943" s="57"/>
      <c r="Q1943" s="57"/>
      <c r="R1943" s="57"/>
      <c r="S1943" s="61"/>
      <c r="T1943" s="57"/>
      <c r="U1943" s="57"/>
      <c r="V1943" s="57"/>
      <c r="W1943" s="57"/>
      <c r="X1943" s="57"/>
      <c r="Y1943" s="57"/>
      <c r="Z1943" s="57"/>
      <c r="AA1943" s="57"/>
      <c r="AB1943" s="57"/>
      <c r="AC1943" s="57"/>
      <c r="AD1943" s="57"/>
      <c r="AE1943" s="57"/>
      <c r="AF1943" s="57"/>
      <c r="AG1943" s="57"/>
      <c r="AH1943" s="57"/>
      <c r="AI1943" s="57"/>
      <c r="AJ1943" s="57"/>
      <c r="AK1943" s="57"/>
      <c r="AL1943" s="57"/>
      <c r="AM1943" s="57"/>
      <c r="AN1943" s="57"/>
      <c r="AO1943" s="57"/>
      <c r="AP1943" s="57"/>
      <c r="AQ1943" s="57"/>
      <c r="AR1943" s="57"/>
      <c r="AS1943" s="57"/>
      <c r="AT1943" s="57"/>
      <c r="AU1943" s="57"/>
      <c r="AV1943" s="57"/>
      <c r="AW1943" s="57"/>
      <c r="AX1943" s="57"/>
      <c r="AY1943" s="57"/>
      <c r="AZ1943" s="57"/>
      <c r="BA1943" s="57"/>
      <c r="BB1943" s="57"/>
      <c r="BC1943" s="57"/>
      <c r="BD1943" s="57"/>
      <c r="BE1943" s="57"/>
      <c r="BF1943" s="57"/>
    </row>
    <row r="1944" spans="1:58" x14ac:dyDescent="0.25">
      <c r="A1944" s="53"/>
      <c r="B1944" s="60"/>
      <c r="C1944" s="57">
        <f t="shared" si="144"/>
        <v>0</v>
      </c>
      <c r="D1944" s="56"/>
      <c r="E1944" s="57">
        <f>[1]DETAY!$A$2</f>
        <v>0</v>
      </c>
      <c r="F1944" s="90">
        <f t="shared" si="145"/>
        <v>0</v>
      </c>
      <c r="G1944" s="92">
        <f t="shared" si="146"/>
        <v>0</v>
      </c>
      <c r="H1944" s="62" t="e">
        <f t="shared" si="147"/>
        <v>#DIV/0!</v>
      </c>
      <c r="I1944" s="57"/>
      <c r="J1944" s="57"/>
      <c r="K1944" s="57"/>
      <c r="L1944" s="57"/>
      <c r="M1944" s="58"/>
      <c r="N1944" s="57"/>
      <c r="O1944" s="57"/>
      <c r="P1944" s="57"/>
      <c r="Q1944" s="57"/>
      <c r="R1944" s="57"/>
      <c r="S1944" s="61"/>
      <c r="T1944" s="57"/>
      <c r="U1944" s="57"/>
      <c r="V1944" s="57"/>
      <c r="W1944" s="57"/>
      <c r="X1944" s="57"/>
      <c r="Y1944" s="57"/>
      <c r="Z1944" s="57"/>
      <c r="AA1944" s="57"/>
      <c r="AB1944" s="57"/>
      <c r="AC1944" s="57"/>
      <c r="AD1944" s="57"/>
      <c r="AE1944" s="57"/>
      <c r="AF1944" s="57"/>
      <c r="AG1944" s="57"/>
      <c r="AH1944" s="57"/>
      <c r="AI1944" s="57"/>
      <c r="AJ1944" s="57"/>
      <c r="AK1944" s="57"/>
      <c r="AL1944" s="57"/>
      <c r="AM1944" s="57"/>
      <c r="AN1944" s="57"/>
      <c r="AO1944" s="57"/>
      <c r="AP1944" s="57"/>
      <c r="AQ1944" s="57"/>
      <c r="AR1944" s="57"/>
      <c r="AS1944" s="57"/>
      <c r="AT1944" s="57"/>
      <c r="AU1944" s="57"/>
      <c r="AV1944" s="57"/>
      <c r="AW1944" s="57"/>
      <c r="AX1944" s="57"/>
      <c r="AY1944" s="57"/>
      <c r="AZ1944" s="57"/>
      <c r="BA1944" s="57"/>
      <c r="BB1944" s="57"/>
      <c r="BC1944" s="57"/>
      <c r="BD1944" s="57"/>
      <c r="BE1944" s="57"/>
      <c r="BF1944" s="57"/>
    </row>
    <row r="1945" spans="1:58" x14ac:dyDescent="0.25">
      <c r="A1945" s="53"/>
      <c r="B1945" s="60"/>
      <c r="C1945" s="57">
        <f t="shared" si="144"/>
        <v>0</v>
      </c>
      <c r="D1945" s="56"/>
      <c r="E1945" s="57">
        <f>[1]DETAY!$A$2</f>
        <v>0</v>
      </c>
      <c r="F1945" s="90">
        <f t="shared" si="145"/>
        <v>0</v>
      </c>
      <c r="G1945" s="92">
        <f t="shared" si="146"/>
        <v>0</v>
      </c>
      <c r="H1945" s="62" t="e">
        <f t="shared" si="147"/>
        <v>#DIV/0!</v>
      </c>
      <c r="I1945" s="57"/>
      <c r="J1945" s="57"/>
      <c r="K1945" s="57"/>
      <c r="L1945" s="57"/>
      <c r="M1945" s="58"/>
      <c r="N1945" s="57"/>
      <c r="O1945" s="57"/>
      <c r="P1945" s="57"/>
      <c r="Q1945" s="57"/>
      <c r="R1945" s="57"/>
      <c r="S1945" s="61"/>
      <c r="T1945" s="57"/>
      <c r="U1945" s="57"/>
      <c r="V1945" s="57"/>
      <c r="W1945" s="57"/>
      <c r="X1945" s="57"/>
      <c r="Y1945" s="57"/>
      <c r="Z1945" s="57"/>
      <c r="AA1945" s="57"/>
      <c r="AB1945" s="57"/>
      <c r="AC1945" s="57"/>
      <c r="AD1945" s="57"/>
      <c r="AE1945" s="57"/>
      <c r="AF1945" s="57"/>
      <c r="AG1945" s="57"/>
      <c r="AH1945" s="57"/>
      <c r="AI1945" s="57"/>
      <c r="AJ1945" s="57"/>
      <c r="AK1945" s="57"/>
      <c r="AL1945" s="57"/>
      <c r="AM1945" s="57"/>
      <c r="AN1945" s="57"/>
      <c r="AO1945" s="57"/>
      <c r="AP1945" s="57"/>
      <c r="AQ1945" s="57"/>
      <c r="AR1945" s="57"/>
      <c r="AS1945" s="57"/>
      <c r="AT1945" s="57"/>
      <c r="AU1945" s="57"/>
      <c r="AV1945" s="57"/>
      <c r="AW1945" s="57"/>
      <c r="AX1945" s="57"/>
      <c r="AY1945" s="57"/>
      <c r="AZ1945" s="57"/>
      <c r="BA1945" s="57"/>
      <c r="BB1945" s="57"/>
      <c r="BC1945" s="57"/>
      <c r="BD1945" s="57"/>
      <c r="BE1945" s="57"/>
      <c r="BF1945" s="57"/>
    </row>
    <row r="1946" spans="1:58" x14ac:dyDescent="0.25">
      <c r="A1946" s="53"/>
      <c r="B1946" s="60"/>
      <c r="C1946" s="57">
        <f t="shared" si="144"/>
        <v>0</v>
      </c>
      <c r="D1946" s="56"/>
      <c r="E1946" s="57">
        <f>[1]DETAY!$A$2</f>
        <v>0</v>
      </c>
      <c r="F1946" s="90">
        <f t="shared" si="145"/>
        <v>0</v>
      </c>
      <c r="G1946" s="92">
        <f t="shared" si="146"/>
        <v>0</v>
      </c>
      <c r="H1946" s="62" t="e">
        <f t="shared" si="147"/>
        <v>#DIV/0!</v>
      </c>
      <c r="I1946" s="57"/>
      <c r="J1946" s="57"/>
      <c r="K1946" s="57"/>
      <c r="L1946" s="57"/>
      <c r="M1946" s="58"/>
      <c r="N1946" s="57"/>
      <c r="O1946" s="57"/>
      <c r="P1946" s="57"/>
      <c r="Q1946" s="57"/>
      <c r="R1946" s="57"/>
      <c r="S1946" s="61"/>
      <c r="T1946" s="57"/>
      <c r="U1946" s="57"/>
      <c r="V1946" s="57"/>
      <c r="W1946" s="57"/>
      <c r="X1946" s="57"/>
      <c r="Y1946" s="57"/>
      <c r="Z1946" s="57"/>
      <c r="AA1946" s="57"/>
      <c r="AB1946" s="57"/>
      <c r="AC1946" s="57"/>
      <c r="AD1946" s="57"/>
      <c r="AE1946" s="57"/>
      <c r="AF1946" s="57"/>
      <c r="AG1946" s="57"/>
      <c r="AH1946" s="57"/>
      <c r="AI1946" s="57"/>
      <c r="AJ1946" s="57"/>
      <c r="AK1946" s="57"/>
      <c r="AL1946" s="57"/>
      <c r="AM1946" s="57"/>
      <c r="AN1946" s="57"/>
      <c r="AO1946" s="57"/>
      <c r="AP1946" s="57"/>
      <c r="AQ1946" s="57"/>
      <c r="AR1946" s="57"/>
      <c r="AS1946" s="57"/>
      <c r="AT1946" s="57"/>
      <c r="AU1946" s="57"/>
      <c r="AV1946" s="57"/>
      <c r="AW1946" s="57"/>
      <c r="AX1946" s="57"/>
      <c r="AY1946" s="57"/>
      <c r="AZ1946" s="57"/>
      <c r="BA1946" s="57"/>
      <c r="BB1946" s="57"/>
      <c r="BC1946" s="57"/>
      <c r="BD1946" s="57"/>
      <c r="BE1946" s="57"/>
      <c r="BF1946" s="57"/>
    </row>
    <row r="1947" spans="1:58" x14ac:dyDescent="0.25">
      <c r="A1947" s="53"/>
      <c r="B1947" s="60"/>
      <c r="C1947" s="57">
        <f t="shared" si="144"/>
        <v>0</v>
      </c>
      <c r="D1947" s="56"/>
      <c r="E1947" s="57">
        <f>[1]DETAY!$A$2</f>
        <v>0</v>
      </c>
      <c r="F1947" s="90">
        <f t="shared" si="145"/>
        <v>0</v>
      </c>
      <c r="G1947" s="92">
        <f t="shared" si="146"/>
        <v>0</v>
      </c>
      <c r="H1947" s="62" t="e">
        <f t="shared" si="147"/>
        <v>#DIV/0!</v>
      </c>
      <c r="I1947" s="57"/>
      <c r="J1947" s="57"/>
      <c r="K1947" s="57"/>
      <c r="L1947" s="57"/>
      <c r="M1947" s="58"/>
      <c r="N1947" s="57"/>
      <c r="O1947" s="57"/>
      <c r="P1947" s="57"/>
      <c r="Q1947" s="57"/>
      <c r="R1947" s="57"/>
      <c r="S1947" s="61"/>
      <c r="T1947" s="57"/>
      <c r="U1947" s="57"/>
      <c r="V1947" s="57"/>
      <c r="W1947" s="57"/>
      <c r="X1947" s="57"/>
      <c r="Y1947" s="57"/>
      <c r="Z1947" s="57"/>
      <c r="AA1947" s="57"/>
      <c r="AB1947" s="57"/>
      <c r="AC1947" s="57"/>
      <c r="AD1947" s="57"/>
      <c r="AE1947" s="57"/>
      <c r="AF1947" s="57"/>
      <c r="AG1947" s="57"/>
      <c r="AH1947" s="57"/>
      <c r="AI1947" s="57"/>
      <c r="AJ1947" s="57"/>
      <c r="AK1947" s="57"/>
      <c r="AL1947" s="57"/>
      <c r="AM1947" s="57"/>
      <c r="AN1947" s="57"/>
      <c r="AO1947" s="57"/>
      <c r="AP1947" s="57"/>
      <c r="AQ1947" s="57"/>
      <c r="AR1947" s="57"/>
      <c r="AS1947" s="57"/>
      <c r="AT1947" s="57"/>
      <c r="AU1947" s="57"/>
      <c r="AV1947" s="57"/>
      <c r="AW1947" s="57"/>
      <c r="AX1947" s="57"/>
      <c r="AY1947" s="57"/>
      <c r="AZ1947" s="57"/>
      <c r="BA1947" s="57"/>
      <c r="BB1947" s="57"/>
      <c r="BC1947" s="57"/>
      <c r="BD1947" s="57"/>
      <c r="BE1947" s="57"/>
      <c r="BF1947" s="57"/>
    </row>
    <row r="1948" spans="1:58" x14ac:dyDescent="0.25">
      <c r="A1948" s="53"/>
      <c r="B1948" s="60"/>
      <c r="C1948" s="57">
        <f t="shared" si="144"/>
        <v>0</v>
      </c>
      <c r="D1948" s="56"/>
      <c r="E1948" s="57">
        <f>[1]DETAY!$A$2</f>
        <v>0</v>
      </c>
      <c r="F1948" s="90">
        <f t="shared" si="145"/>
        <v>0</v>
      </c>
      <c r="G1948" s="92">
        <f t="shared" si="146"/>
        <v>0</v>
      </c>
      <c r="H1948" s="62" t="e">
        <f t="shared" si="147"/>
        <v>#DIV/0!</v>
      </c>
      <c r="I1948" s="57"/>
      <c r="J1948" s="57"/>
      <c r="K1948" s="57"/>
      <c r="L1948" s="57"/>
      <c r="M1948" s="58"/>
      <c r="N1948" s="57"/>
      <c r="O1948" s="57"/>
      <c r="P1948" s="57"/>
      <c r="Q1948" s="57"/>
      <c r="R1948" s="57"/>
      <c r="S1948" s="61"/>
      <c r="T1948" s="57"/>
      <c r="U1948" s="57"/>
      <c r="V1948" s="57"/>
      <c r="W1948" s="57"/>
      <c r="X1948" s="57"/>
      <c r="Y1948" s="57"/>
      <c r="Z1948" s="57"/>
      <c r="AA1948" s="57"/>
      <c r="AB1948" s="57"/>
      <c r="AC1948" s="57"/>
      <c r="AD1948" s="57"/>
      <c r="AE1948" s="57"/>
      <c r="AF1948" s="57"/>
      <c r="AG1948" s="57"/>
      <c r="AH1948" s="57"/>
      <c r="AI1948" s="57"/>
      <c r="AJ1948" s="57"/>
      <c r="AK1948" s="57"/>
      <c r="AL1948" s="57"/>
      <c r="AM1948" s="57"/>
      <c r="AN1948" s="57"/>
      <c r="AO1948" s="57"/>
      <c r="AP1948" s="57"/>
      <c r="AQ1948" s="57"/>
      <c r="AR1948" s="57"/>
      <c r="AS1948" s="57"/>
      <c r="AT1948" s="57"/>
      <c r="AU1948" s="57"/>
      <c r="AV1948" s="57"/>
      <c r="AW1948" s="57"/>
      <c r="AX1948" s="57"/>
      <c r="AY1948" s="57"/>
      <c r="AZ1948" s="57"/>
      <c r="BA1948" s="57"/>
      <c r="BB1948" s="57"/>
      <c r="BC1948" s="57"/>
      <c r="BD1948" s="57"/>
      <c r="BE1948" s="57"/>
      <c r="BF1948" s="57"/>
    </row>
    <row r="1949" spans="1:58" x14ac:dyDescent="0.25">
      <c r="A1949" s="53"/>
      <c r="B1949" s="60"/>
      <c r="C1949" s="57">
        <f t="shared" si="144"/>
        <v>0</v>
      </c>
      <c r="D1949" s="56"/>
      <c r="E1949" s="57">
        <f>[1]DETAY!$A$2</f>
        <v>0</v>
      </c>
      <c r="F1949" s="90">
        <f t="shared" si="145"/>
        <v>0</v>
      </c>
      <c r="G1949" s="92">
        <f t="shared" si="146"/>
        <v>0</v>
      </c>
      <c r="H1949" s="62" t="e">
        <f t="shared" si="147"/>
        <v>#DIV/0!</v>
      </c>
      <c r="I1949" s="57"/>
      <c r="J1949" s="57"/>
      <c r="K1949" s="57"/>
      <c r="L1949" s="57"/>
      <c r="M1949" s="58"/>
      <c r="N1949" s="57"/>
      <c r="O1949" s="57"/>
      <c r="P1949" s="57"/>
      <c r="Q1949" s="57"/>
      <c r="R1949" s="57"/>
      <c r="S1949" s="61"/>
      <c r="T1949" s="57"/>
      <c r="U1949" s="57"/>
      <c r="V1949" s="57"/>
      <c r="W1949" s="57"/>
      <c r="X1949" s="57"/>
      <c r="Y1949" s="57"/>
      <c r="Z1949" s="57"/>
      <c r="AA1949" s="57"/>
      <c r="AB1949" s="57"/>
      <c r="AC1949" s="57"/>
      <c r="AD1949" s="57"/>
      <c r="AE1949" s="57"/>
      <c r="AF1949" s="57"/>
      <c r="AG1949" s="57"/>
      <c r="AH1949" s="57"/>
      <c r="AI1949" s="57"/>
      <c r="AJ1949" s="57"/>
      <c r="AK1949" s="57"/>
      <c r="AL1949" s="57"/>
      <c r="AM1949" s="57"/>
      <c r="AN1949" s="57"/>
      <c r="AO1949" s="57"/>
      <c r="AP1949" s="57"/>
      <c r="AQ1949" s="57"/>
      <c r="AR1949" s="57"/>
      <c r="AS1949" s="57"/>
      <c r="AT1949" s="57"/>
      <c r="AU1949" s="57"/>
      <c r="AV1949" s="57"/>
      <c r="AW1949" s="57"/>
      <c r="AX1949" s="57"/>
      <c r="AY1949" s="57"/>
      <c r="AZ1949" s="57"/>
      <c r="BA1949" s="57"/>
      <c r="BB1949" s="57"/>
      <c r="BC1949" s="57"/>
      <c r="BD1949" s="57"/>
      <c r="BE1949" s="57"/>
      <c r="BF1949" s="57"/>
    </row>
    <row r="1950" spans="1:58" x14ac:dyDescent="0.25">
      <c r="A1950" s="53"/>
      <c r="B1950" s="60"/>
      <c r="C1950" s="57">
        <f t="shared" si="144"/>
        <v>0</v>
      </c>
      <c r="D1950" s="56"/>
      <c r="E1950" s="57">
        <f>[1]DETAY!$A$2</f>
        <v>0</v>
      </c>
      <c r="F1950" s="90">
        <f t="shared" si="145"/>
        <v>0</v>
      </c>
      <c r="G1950" s="92">
        <f t="shared" si="146"/>
        <v>0</v>
      </c>
      <c r="H1950" s="62" t="e">
        <f t="shared" si="147"/>
        <v>#DIV/0!</v>
      </c>
      <c r="I1950" s="57"/>
      <c r="J1950" s="57"/>
      <c r="K1950" s="57"/>
      <c r="L1950" s="57"/>
      <c r="M1950" s="58"/>
      <c r="N1950" s="57"/>
      <c r="O1950" s="57"/>
      <c r="P1950" s="57"/>
      <c r="Q1950" s="57"/>
      <c r="R1950" s="57"/>
      <c r="S1950" s="61"/>
      <c r="T1950" s="57"/>
      <c r="U1950" s="57"/>
      <c r="V1950" s="57"/>
      <c r="W1950" s="57"/>
      <c r="X1950" s="57"/>
      <c r="Y1950" s="57"/>
      <c r="Z1950" s="57"/>
      <c r="AA1950" s="57"/>
      <c r="AB1950" s="57"/>
      <c r="AC1950" s="57"/>
      <c r="AD1950" s="57"/>
      <c r="AE1950" s="57"/>
      <c r="AF1950" s="57"/>
      <c r="AG1950" s="57"/>
      <c r="AH1950" s="57"/>
      <c r="AI1950" s="57"/>
      <c r="AJ1950" s="57"/>
      <c r="AK1950" s="57"/>
      <c r="AL1950" s="57"/>
      <c r="AM1950" s="57"/>
      <c r="AN1950" s="57"/>
      <c r="AO1950" s="57"/>
      <c r="AP1950" s="57"/>
      <c r="AQ1950" s="57"/>
      <c r="AR1950" s="57"/>
      <c r="AS1950" s="57"/>
      <c r="AT1950" s="57"/>
      <c r="AU1950" s="57"/>
      <c r="AV1950" s="57"/>
      <c r="AW1950" s="57"/>
      <c r="AX1950" s="57"/>
      <c r="AY1950" s="57"/>
      <c r="AZ1950" s="57"/>
      <c r="BA1950" s="57"/>
      <c r="BB1950" s="57"/>
      <c r="BC1950" s="57"/>
      <c r="BD1950" s="57"/>
      <c r="BE1950" s="57"/>
      <c r="BF1950" s="57"/>
    </row>
    <row r="1951" spans="1:58" x14ac:dyDescent="0.25">
      <c r="A1951" s="53"/>
      <c r="B1951" s="60"/>
      <c r="C1951" s="57">
        <f t="shared" si="144"/>
        <v>0</v>
      </c>
      <c r="D1951" s="56"/>
      <c r="E1951" s="57">
        <f>[1]DETAY!$A$2</f>
        <v>0</v>
      </c>
      <c r="F1951" s="90">
        <f t="shared" si="145"/>
        <v>0</v>
      </c>
      <c r="G1951" s="92">
        <f t="shared" si="146"/>
        <v>0</v>
      </c>
      <c r="H1951" s="62" t="e">
        <f t="shared" si="147"/>
        <v>#DIV/0!</v>
      </c>
      <c r="I1951" s="57"/>
      <c r="J1951" s="57"/>
      <c r="K1951" s="57"/>
      <c r="L1951" s="57"/>
      <c r="M1951" s="58"/>
      <c r="N1951" s="57"/>
      <c r="O1951" s="57"/>
      <c r="P1951" s="57"/>
      <c r="Q1951" s="57"/>
      <c r="R1951" s="57"/>
      <c r="S1951" s="61"/>
      <c r="T1951" s="57"/>
      <c r="U1951" s="57"/>
      <c r="V1951" s="57"/>
      <c r="W1951" s="57"/>
      <c r="X1951" s="57"/>
      <c r="Y1951" s="57"/>
      <c r="Z1951" s="57"/>
      <c r="AA1951" s="57"/>
      <c r="AB1951" s="57"/>
      <c r="AC1951" s="57"/>
      <c r="AD1951" s="57"/>
      <c r="AE1951" s="57"/>
      <c r="AF1951" s="57"/>
      <c r="AG1951" s="57"/>
      <c r="AH1951" s="57"/>
      <c r="AI1951" s="57"/>
      <c r="AJ1951" s="57"/>
      <c r="AK1951" s="57"/>
      <c r="AL1951" s="57"/>
      <c r="AM1951" s="57"/>
      <c r="AN1951" s="57"/>
      <c r="AO1951" s="57"/>
      <c r="AP1951" s="57"/>
      <c r="AQ1951" s="57"/>
      <c r="AR1951" s="57"/>
      <c r="AS1951" s="57"/>
      <c r="AT1951" s="57"/>
      <c r="AU1951" s="57"/>
      <c r="AV1951" s="57"/>
      <c r="AW1951" s="57"/>
      <c r="AX1951" s="57"/>
      <c r="AY1951" s="57"/>
      <c r="AZ1951" s="57"/>
      <c r="BA1951" s="57"/>
      <c r="BB1951" s="57"/>
      <c r="BC1951" s="57"/>
      <c r="BD1951" s="57"/>
      <c r="BE1951" s="57"/>
      <c r="BF1951" s="57"/>
    </row>
    <row r="1952" spans="1:58" x14ac:dyDescent="0.25">
      <c r="A1952" s="53"/>
      <c r="B1952" s="60"/>
      <c r="C1952" s="57">
        <f t="shared" si="144"/>
        <v>0</v>
      </c>
      <c r="D1952" s="56"/>
      <c r="E1952" s="57">
        <f>[1]DETAY!$A$2</f>
        <v>0</v>
      </c>
      <c r="F1952" s="90">
        <f t="shared" si="145"/>
        <v>0</v>
      </c>
      <c r="G1952" s="92">
        <f t="shared" si="146"/>
        <v>0</v>
      </c>
      <c r="H1952" s="62" t="e">
        <f t="shared" si="147"/>
        <v>#DIV/0!</v>
      </c>
      <c r="I1952" s="57"/>
      <c r="J1952" s="57"/>
      <c r="K1952" s="57"/>
      <c r="L1952" s="57"/>
      <c r="M1952" s="58"/>
      <c r="N1952" s="57"/>
      <c r="O1952" s="57"/>
      <c r="P1952" s="57"/>
      <c r="Q1952" s="57"/>
      <c r="R1952" s="57"/>
      <c r="S1952" s="61"/>
      <c r="T1952" s="57"/>
      <c r="U1952" s="57"/>
      <c r="V1952" s="57"/>
      <c r="W1952" s="57"/>
      <c r="X1952" s="57"/>
      <c r="Y1952" s="57"/>
      <c r="Z1952" s="57"/>
      <c r="AA1952" s="57"/>
      <c r="AB1952" s="57"/>
      <c r="AC1952" s="57"/>
      <c r="AD1952" s="57"/>
      <c r="AE1952" s="57"/>
      <c r="AF1952" s="57"/>
      <c r="AG1952" s="57"/>
      <c r="AH1952" s="57"/>
      <c r="AI1952" s="57"/>
      <c r="AJ1952" s="57"/>
      <c r="AK1952" s="57"/>
      <c r="AL1952" s="57"/>
      <c r="AM1952" s="57"/>
      <c r="AN1952" s="57"/>
      <c r="AO1952" s="57"/>
      <c r="AP1952" s="57"/>
      <c r="AQ1952" s="57"/>
      <c r="AR1952" s="57"/>
      <c r="AS1952" s="57"/>
      <c r="AT1952" s="57"/>
      <c r="AU1952" s="57"/>
      <c r="AV1952" s="57"/>
      <c r="AW1952" s="57"/>
      <c r="AX1952" s="57"/>
      <c r="AY1952" s="57"/>
      <c r="AZ1952" s="57"/>
      <c r="BA1952" s="57"/>
      <c r="BB1952" s="57"/>
      <c r="BC1952" s="57"/>
      <c r="BD1952" s="57"/>
      <c r="BE1952" s="57"/>
      <c r="BF1952" s="57"/>
    </row>
    <row r="1953" spans="1:58" x14ac:dyDescent="0.25">
      <c r="A1953" s="53"/>
      <c r="B1953" s="60"/>
      <c r="C1953" s="57">
        <f t="shared" si="144"/>
        <v>0</v>
      </c>
      <c r="D1953" s="56"/>
      <c r="E1953" s="57">
        <f>[1]DETAY!$A$2</f>
        <v>0</v>
      </c>
      <c r="F1953" s="90">
        <f t="shared" si="145"/>
        <v>0</v>
      </c>
      <c r="G1953" s="92">
        <f t="shared" si="146"/>
        <v>0</v>
      </c>
      <c r="H1953" s="62" t="e">
        <f t="shared" si="147"/>
        <v>#DIV/0!</v>
      </c>
      <c r="I1953" s="57"/>
      <c r="J1953" s="57"/>
      <c r="K1953" s="57"/>
      <c r="L1953" s="57"/>
      <c r="M1953" s="58"/>
      <c r="N1953" s="57"/>
      <c r="O1953" s="57"/>
      <c r="P1953" s="57"/>
      <c r="Q1953" s="57"/>
      <c r="R1953" s="57"/>
      <c r="S1953" s="61"/>
      <c r="T1953" s="57"/>
      <c r="U1953" s="57"/>
      <c r="V1953" s="57"/>
      <c r="W1953" s="57"/>
      <c r="X1953" s="57"/>
      <c r="Y1953" s="57"/>
      <c r="Z1953" s="57"/>
      <c r="AA1953" s="57"/>
      <c r="AB1953" s="57"/>
      <c r="AC1953" s="57"/>
      <c r="AD1953" s="57"/>
      <c r="AE1953" s="57"/>
      <c r="AF1953" s="57"/>
      <c r="AG1953" s="57"/>
      <c r="AH1953" s="57"/>
      <c r="AI1953" s="57"/>
      <c r="AJ1953" s="57"/>
      <c r="AK1953" s="57"/>
      <c r="AL1953" s="57"/>
      <c r="AM1953" s="57"/>
      <c r="AN1953" s="57"/>
      <c r="AO1953" s="57"/>
      <c r="AP1953" s="57"/>
      <c r="AQ1953" s="57"/>
      <c r="AR1953" s="57"/>
      <c r="AS1953" s="57"/>
      <c r="AT1953" s="57"/>
      <c r="AU1953" s="57"/>
      <c r="AV1953" s="57"/>
      <c r="AW1953" s="57"/>
      <c r="AX1953" s="57"/>
      <c r="AY1953" s="57"/>
      <c r="AZ1953" s="57"/>
      <c r="BA1953" s="57"/>
      <c r="BB1953" s="57"/>
      <c r="BC1953" s="57"/>
      <c r="BD1953" s="57"/>
      <c r="BE1953" s="57"/>
      <c r="BF1953" s="57"/>
    </row>
    <row r="1954" spans="1:58" x14ac:dyDescent="0.25">
      <c r="A1954" s="53"/>
      <c r="B1954" s="60"/>
      <c r="C1954" s="57">
        <f t="shared" si="144"/>
        <v>0</v>
      </c>
      <c r="D1954" s="56"/>
      <c r="E1954" s="57">
        <f>[1]DETAY!$A$2</f>
        <v>0</v>
      </c>
      <c r="F1954" s="90">
        <f t="shared" si="145"/>
        <v>0</v>
      </c>
      <c r="G1954" s="92">
        <f t="shared" si="146"/>
        <v>0</v>
      </c>
      <c r="H1954" s="62" t="e">
        <f t="shared" si="147"/>
        <v>#DIV/0!</v>
      </c>
      <c r="I1954" s="57"/>
      <c r="J1954" s="57"/>
      <c r="K1954" s="57"/>
      <c r="L1954" s="57"/>
      <c r="M1954" s="58"/>
      <c r="N1954" s="57"/>
      <c r="O1954" s="57"/>
      <c r="P1954" s="57"/>
      <c r="Q1954" s="57"/>
      <c r="R1954" s="57"/>
      <c r="S1954" s="61"/>
      <c r="T1954" s="57"/>
      <c r="U1954" s="57"/>
      <c r="V1954" s="57"/>
      <c r="W1954" s="57"/>
      <c r="X1954" s="57"/>
      <c r="Y1954" s="57"/>
      <c r="Z1954" s="57"/>
      <c r="AA1954" s="57"/>
      <c r="AB1954" s="57"/>
      <c r="AC1954" s="57"/>
      <c r="AD1954" s="57"/>
      <c r="AE1954" s="57"/>
      <c r="AF1954" s="57"/>
      <c r="AG1954" s="57"/>
      <c r="AH1954" s="57"/>
      <c r="AI1954" s="57"/>
      <c r="AJ1954" s="57"/>
      <c r="AK1954" s="57"/>
      <c r="AL1954" s="57"/>
      <c r="AM1954" s="57"/>
      <c r="AN1954" s="57"/>
      <c r="AO1954" s="57"/>
      <c r="AP1954" s="57"/>
      <c r="AQ1954" s="57"/>
      <c r="AR1954" s="57"/>
      <c r="AS1954" s="57"/>
      <c r="AT1954" s="57"/>
      <c r="AU1954" s="57"/>
      <c r="AV1954" s="57"/>
      <c r="AW1954" s="57"/>
      <c r="AX1954" s="57"/>
      <c r="AY1954" s="57"/>
      <c r="AZ1954" s="57"/>
      <c r="BA1954" s="57"/>
      <c r="BB1954" s="57"/>
      <c r="BC1954" s="57"/>
      <c r="BD1954" s="57"/>
      <c r="BE1954" s="57"/>
      <c r="BF1954" s="57"/>
    </row>
    <row r="1955" spans="1:58" x14ac:dyDescent="0.25">
      <c r="A1955" s="53"/>
      <c r="B1955" s="60"/>
      <c r="C1955" s="57">
        <f t="shared" si="144"/>
        <v>0</v>
      </c>
      <c r="D1955" s="56"/>
      <c r="E1955" s="57">
        <f>[1]DETAY!$A$2</f>
        <v>0</v>
      </c>
      <c r="F1955" s="90">
        <f t="shared" si="145"/>
        <v>0</v>
      </c>
      <c r="G1955" s="92">
        <f t="shared" si="146"/>
        <v>0</v>
      </c>
      <c r="H1955" s="62" t="e">
        <f t="shared" si="147"/>
        <v>#DIV/0!</v>
      </c>
      <c r="I1955" s="57"/>
      <c r="J1955" s="57"/>
      <c r="K1955" s="57"/>
      <c r="L1955" s="57"/>
      <c r="M1955" s="58"/>
      <c r="N1955" s="57"/>
      <c r="O1955" s="57"/>
      <c r="P1955" s="57"/>
      <c r="Q1955" s="57"/>
      <c r="R1955" s="57"/>
      <c r="S1955" s="61"/>
      <c r="T1955" s="57"/>
      <c r="U1955" s="57"/>
      <c r="V1955" s="57"/>
      <c r="W1955" s="57"/>
      <c r="X1955" s="57"/>
      <c r="Y1955" s="57"/>
      <c r="Z1955" s="57"/>
      <c r="AA1955" s="57"/>
      <c r="AB1955" s="57"/>
      <c r="AC1955" s="57"/>
      <c r="AD1955" s="57"/>
      <c r="AE1955" s="57"/>
      <c r="AF1955" s="57"/>
      <c r="AG1955" s="57"/>
      <c r="AH1955" s="57"/>
      <c r="AI1955" s="57"/>
      <c r="AJ1955" s="57"/>
      <c r="AK1955" s="57"/>
      <c r="AL1955" s="57"/>
      <c r="AM1955" s="57"/>
      <c r="AN1955" s="57"/>
      <c r="AO1955" s="57"/>
      <c r="AP1955" s="57"/>
      <c r="AQ1955" s="57"/>
      <c r="AR1955" s="57"/>
      <c r="AS1955" s="57"/>
      <c r="AT1955" s="57"/>
      <c r="AU1955" s="57"/>
      <c r="AV1955" s="57"/>
      <c r="AW1955" s="57"/>
      <c r="AX1955" s="57"/>
      <c r="AY1955" s="57"/>
      <c r="AZ1955" s="57"/>
      <c r="BA1955" s="57"/>
      <c r="BB1955" s="57"/>
      <c r="BC1955" s="57"/>
      <c r="BD1955" s="57"/>
      <c r="BE1955" s="57"/>
      <c r="BF1955" s="57"/>
    </row>
    <row r="1956" spans="1:58" x14ac:dyDescent="0.25">
      <c r="A1956" s="53"/>
      <c r="B1956" s="60"/>
      <c r="C1956" s="57">
        <f t="shared" si="144"/>
        <v>0</v>
      </c>
      <c r="D1956" s="56"/>
      <c r="E1956" s="57">
        <f>[1]DETAY!$A$2</f>
        <v>0</v>
      </c>
      <c r="F1956" s="90">
        <f t="shared" si="145"/>
        <v>0</v>
      </c>
      <c r="G1956" s="92">
        <f t="shared" si="146"/>
        <v>0</v>
      </c>
      <c r="H1956" s="62" t="e">
        <f t="shared" si="147"/>
        <v>#DIV/0!</v>
      </c>
      <c r="I1956" s="57"/>
      <c r="J1956" s="57"/>
      <c r="K1956" s="57"/>
      <c r="L1956" s="57"/>
      <c r="M1956" s="58"/>
      <c r="N1956" s="57"/>
      <c r="O1956" s="57"/>
      <c r="P1956" s="57"/>
      <c r="Q1956" s="57"/>
      <c r="R1956" s="57"/>
      <c r="S1956" s="61"/>
      <c r="T1956" s="57"/>
      <c r="U1956" s="57"/>
      <c r="V1956" s="57"/>
      <c r="W1956" s="57"/>
      <c r="X1956" s="57"/>
      <c r="Y1956" s="57"/>
      <c r="Z1956" s="57"/>
      <c r="AA1956" s="57"/>
      <c r="AB1956" s="57"/>
      <c r="AC1956" s="57"/>
      <c r="AD1956" s="57"/>
      <c r="AE1956" s="57"/>
      <c r="AF1956" s="57"/>
      <c r="AG1956" s="57"/>
      <c r="AH1956" s="57"/>
      <c r="AI1956" s="57"/>
      <c r="AJ1956" s="57"/>
      <c r="AK1956" s="57"/>
      <c r="AL1956" s="57"/>
      <c r="AM1956" s="57"/>
      <c r="AN1956" s="57"/>
      <c r="AO1956" s="57"/>
      <c r="AP1956" s="57"/>
      <c r="AQ1956" s="57"/>
      <c r="AR1956" s="57"/>
      <c r="AS1956" s="57"/>
      <c r="AT1956" s="57"/>
      <c r="AU1956" s="57"/>
      <c r="AV1956" s="57"/>
      <c r="AW1956" s="57"/>
      <c r="AX1956" s="57"/>
      <c r="AY1956" s="57"/>
      <c r="AZ1956" s="57"/>
      <c r="BA1956" s="57"/>
      <c r="BB1956" s="57"/>
      <c r="BC1956" s="57"/>
      <c r="BD1956" s="57"/>
      <c r="BE1956" s="57"/>
      <c r="BF1956" s="57"/>
    </row>
    <row r="1957" spans="1:58" x14ac:dyDescent="0.25">
      <c r="A1957" s="53"/>
      <c r="B1957" s="60"/>
      <c r="C1957" s="57">
        <f t="shared" si="144"/>
        <v>0</v>
      </c>
      <c r="D1957" s="56"/>
      <c r="E1957" s="57">
        <f>[1]DETAY!$A$2</f>
        <v>0</v>
      </c>
      <c r="F1957" s="90">
        <f t="shared" si="145"/>
        <v>0</v>
      </c>
      <c r="G1957" s="92">
        <f t="shared" si="146"/>
        <v>0</v>
      </c>
      <c r="H1957" s="62" t="e">
        <f t="shared" si="147"/>
        <v>#DIV/0!</v>
      </c>
      <c r="I1957" s="57"/>
      <c r="J1957" s="57"/>
      <c r="K1957" s="57"/>
      <c r="L1957" s="57"/>
      <c r="M1957" s="58"/>
      <c r="N1957" s="57"/>
      <c r="O1957" s="57"/>
      <c r="P1957" s="57"/>
      <c r="Q1957" s="57"/>
      <c r="R1957" s="57"/>
      <c r="S1957" s="61"/>
      <c r="T1957" s="57"/>
      <c r="U1957" s="57"/>
      <c r="V1957" s="57"/>
      <c r="W1957" s="57"/>
      <c r="X1957" s="57"/>
      <c r="Y1957" s="57"/>
      <c r="Z1957" s="57"/>
      <c r="AA1957" s="57"/>
      <c r="AB1957" s="57"/>
      <c r="AC1957" s="57"/>
      <c r="AD1957" s="57"/>
      <c r="AE1957" s="57"/>
      <c r="AF1957" s="57"/>
      <c r="AG1957" s="57"/>
      <c r="AH1957" s="57"/>
      <c r="AI1957" s="57"/>
      <c r="AJ1957" s="57"/>
      <c r="AK1957" s="57"/>
      <c r="AL1957" s="57"/>
      <c r="AM1957" s="57"/>
      <c r="AN1957" s="57"/>
      <c r="AO1957" s="57"/>
      <c r="AP1957" s="57"/>
      <c r="AQ1957" s="57"/>
      <c r="AR1957" s="57"/>
      <c r="AS1957" s="57"/>
      <c r="AT1957" s="57"/>
      <c r="AU1957" s="57"/>
      <c r="AV1957" s="57"/>
      <c r="AW1957" s="57"/>
      <c r="AX1957" s="57"/>
      <c r="AY1957" s="57"/>
      <c r="AZ1957" s="57"/>
      <c r="BA1957" s="57"/>
      <c r="BB1957" s="57"/>
      <c r="BC1957" s="57"/>
      <c r="BD1957" s="57"/>
      <c r="BE1957" s="57"/>
      <c r="BF1957" s="57"/>
    </row>
    <row r="1958" spans="1:58" x14ac:dyDescent="0.25">
      <c r="A1958" s="53"/>
      <c r="B1958" s="60"/>
      <c r="C1958" s="57">
        <f t="shared" si="144"/>
        <v>0</v>
      </c>
      <c r="D1958" s="56"/>
      <c r="E1958" s="57">
        <f>[1]DETAY!$A$2</f>
        <v>0</v>
      </c>
      <c r="F1958" s="90">
        <f t="shared" si="145"/>
        <v>0</v>
      </c>
      <c r="G1958" s="92">
        <f t="shared" si="146"/>
        <v>0</v>
      </c>
      <c r="H1958" s="62" t="e">
        <f t="shared" si="147"/>
        <v>#DIV/0!</v>
      </c>
      <c r="I1958" s="57"/>
      <c r="J1958" s="57"/>
      <c r="K1958" s="57"/>
      <c r="L1958" s="57"/>
      <c r="M1958" s="58"/>
      <c r="N1958" s="57"/>
      <c r="O1958" s="57"/>
      <c r="P1958" s="57"/>
      <c r="Q1958" s="57"/>
      <c r="R1958" s="57"/>
      <c r="S1958" s="61"/>
      <c r="T1958" s="57"/>
      <c r="U1958" s="57"/>
      <c r="V1958" s="57"/>
      <c r="W1958" s="57"/>
      <c r="X1958" s="57"/>
      <c r="Y1958" s="57"/>
      <c r="Z1958" s="57"/>
      <c r="AA1958" s="57"/>
      <c r="AB1958" s="57"/>
      <c r="AC1958" s="57"/>
      <c r="AD1958" s="57"/>
      <c r="AE1958" s="57"/>
      <c r="AF1958" s="57"/>
      <c r="AG1958" s="57"/>
      <c r="AH1958" s="57"/>
      <c r="AI1958" s="57"/>
      <c r="AJ1958" s="57"/>
      <c r="AK1958" s="57"/>
      <c r="AL1958" s="57"/>
      <c r="AM1958" s="57"/>
      <c r="AN1958" s="57"/>
      <c r="AO1958" s="57"/>
      <c r="AP1958" s="57"/>
      <c r="AQ1958" s="57"/>
      <c r="AR1958" s="57"/>
      <c r="AS1958" s="57"/>
      <c r="AT1958" s="57"/>
      <c r="AU1958" s="57"/>
      <c r="AV1958" s="57"/>
      <c r="AW1958" s="57"/>
      <c r="AX1958" s="57"/>
      <c r="AY1958" s="57"/>
      <c r="AZ1958" s="57"/>
      <c r="BA1958" s="57"/>
      <c r="BB1958" s="57"/>
      <c r="BC1958" s="57"/>
      <c r="BD1958" s="57"/>
      <c r="BE1958" s="57"/>
      <c r="BF1958" s="57"/>
    </row>
    <row r="1959" spans="1:58" x14ac:dyDescent="0.25">
      <c r="A1959" s="53"/>
      <c r="B1959" s="60"/>
      <c r="C1959" s="57">
        <f t="shared" si="144"/>
        <v>0</v>
      </c>
      <c r="D1959" s="56"/>
      <c r="E1959" s="57">
        <f>[1]DETAY!$A$2</f>
        <v>0</v>
      </c>
      <c r="F1959" s="90">
        <f t="shared" si="145"/>
        <v>0</v>
      </c>
      <c r="G1959" s="92">
        <f t="shared" si="146"/>
        <v>0</v>
      </c>
      <c r="H1959" s="62" t="e">
        <f t="shared" si="147"/>
        <v>#DIV/0!</v>
      </c>
      <c r="I1959" s="57"/>
      <c r="J1959" s="57"/>
      <c r="K1959" s="57"/>
      <c r="L1959" s="57"/>
      <c r="M1959" s="58"/>
      <c r="N1959" s="57"/>
      <c r="O1959" s="57"/>
      <c r="P1959" s="57"/>
      <c r="Q1959" s="57"/>
      <c r="R1959" s="57"/>
      <c r="S1959" s="61"/>
      <c r="T1959" s="57"/>
      <c r="U1959" s="57"/>
      <c r="V1959" s="57"/>
      <c r="W1959" s="57"/>
      <c r="X1959" s="57"/>
      <c r="Y1959" s="57"/>
      <c r="Z1959" s="57"/>
      <c r="AA1959" s="57"/>
      <c r="AB1959" s="57"/>
      <c r="AC1959" s="57"/>
      <c r="AD1959" s="57"/>
      <c r="AE1959" s="57"/>
      <c r="AF1959" s="57"/>
      <c r="AG1959" s="57"/>
      <c r="AH1959" s="57"/>
      <c r="AI1959" s="57"/>
      <c r="AJ1959" s="57"/>
      <c r="AK1959" s="57"/>
      <c r="AL1959" s="57"/>
      <c r="AM1959" s="57"/>
      <c r="AN1959" s="57"/>
      <c r="AO1959" s="57"/>
      <c r="AP1959" s="57"/>
      <c r="AQ1959" s="57"/>
      <c r="AR1959" s="57"/>
      <c r="AS1959" s="57"/>
      <c r="AT1959" s="57"/>
      <c r="AU1959" s="57"/>
      <c r="AV1959" s="57"/>
      <c r="AW1959" s="57"/>
      <c r="AX1959" s="57"/>
      <c r="AY1959" s="57"/>
      <c r="AZ1959" s="57"/>
      <c r="BA1959" s="57"/>
      <c r="BB1959" s="57"/>
      <c r="BC1959" s="57"/>
      <c r="BD1959" s="57"/>
      <c r="BE1959" s="57"/>
      <c r="BF1959" s="57"/>
    </row>
    <row r="1960" spans="1:58" x14ac:dyDescent="0.25">
      <c r="A1960" s="53"/>
      <c r="B1960" s="60"/>
      <c r="C1960" s="57">
        <f t="shared" si="144"/>
        <v>0</v>
      </c>
      <c r="D1960" s="56"/>
      <c r="E1960" s="57">
        <f>[1]DETAY!$A$2</f>
        <v>0</v>
      </c>
      <c r="F1960" s="90">
        <f t="shared" si="145"/>
        <v>0</v>
      </c>
      <c r="G1960" s="92">
        <f t="shared" si="146"/>
        <v>0</v>
      </c>
      <c r="H1960" s="62" t="e">
        <f t="shared" si="147"/>
        <v>#DIV/0!</v>
      </c>
      <c r="I1960" s="57"/>
      <c r="J1960" s="57"/>
      <c r="K1960" s="57"/>
      <c r="L1960" s="57"/>
      <c r="M1960" s="58"/>
      <c r="N1960" s="57"/>
      <c r="O1960" s="57"/>
      <c r="P1960" s="57"/>
      <c r="Q1960" s="57"/>
      <c r="R1960" s="57"/>
      <c r="S1960" s="61"/>
      <c r="T1960" s="57"/>
      <c r="U1960" s="57"/>
      <c r="V1960" s="57"/>
      <c r="W1960" s="57"/>
      <c r="X1960" s="57"/>
      <c r="Y1960" s="57"/>
      <c r="Z1960" s="57"/>
      <c r="AA1960" s="57"/>
      <c r="AB1960" s="57"/>
      <c r="AC1960" s="57"/>
      <c r="AD1960" s="57"/>
      <c r="AE1960" s="57"/>
      <c r="AF1960" s="57"/>
      <c r="AG1960" s="57"/>
      <c r="AH1960" s="57"/>
      <c r="AI1960" s="57"/>
      <c r="AJ1960" s="57"/>
      <c r="AK1960" s="57"/>
      <c r="AL1960" s="57"/>
      <c r="AM1960" s="57"/>
      <c r="AN1960" s="57"/>
      <c r="AO1960" s="57"/>
      <c r="AP1960" s="57"/>
      <c r="AQ1960" s="57"/>
      <c r="AR1960" s="57"/>
      <c r="AS1960" s="57"/>
      <c r="AT1960" s="57"/>
      <c r="AU1960" s="57"/>
      <c r="AV1960" s="57"/>
      <c r="AW1960" s="57"/>
      <c r="AX1960" s="57"/>
      <c r="AY1960" s="57"/>
      <c r="AZ1960" s="57"/>
      <c r="BA1960" s="57"/>
      <c r="BB1960" s="57"/>
      <c r="BC1960" s="57"/>
      <c r="BD1960" s="57"/>
      <c r="BE1960" s="57"/>
      <c r="BF1960" s="57"/>
    </row>
    <row r="1961" spans="1:58" x14ac:dyDescent="0.25">
      <c r="A1961" s="53"/>
      <c r="B1961" s="60"/>
      <c r="C1961" s="57">
        <f t="shared" si="144"/>
        <v>0</v>
      </c>
      <c r="D1961" s="56"/>
      <c r="E1961" s="57">
        <f>[1]DETAY!$A$2</f>
        <v>0</v>
      </c>
      <c r="F1961" s="90">
        <f t="shared" si="145"/>
        <v>0</v>
      </c>
      <c r="G1961" s="92">
        <f t="shared" si="146"/>
        <v>0</v>
      </c>
      <c r="H1961" s="62" t="e">
        <f t="shared" si="147"/>
        <v>#DIV/0!</v>
      </c>
      <c r="I1961" s="57"/>
      <c r="J1961" s="57"/>
      <c r="K1961" s="57"/>
      <c r="L1961" s="57"/>
      <c r="M1961" s="58"/>
      <c r="N1961" s="57"/>
      <c r="O1961" s="57"/>
      <c r="P1961" s="57"/>
      <c r="Q1961" s="57"/>
      <c r="R1961" s="57"/>
      <c r="S1961" s="61"/>
      <c r="T1961" s="57"/>
      <c r="U1961" s="57"/>
      <c r="V1961" s="57"/>
      <c r="W1961" s="57"/>
      <c r="X1961" s="57"/>
      <c r="Y1961" s="57"/>
      <c r="Z1961" s="57"/>
      <c r="AA1961" s="57"/>
      <c r="AB1961" s="57"/>
      <c r="AC1961" s="57"/>
      <c r="AD1961" s="57"/>
      <c r="AE1961" s="57"/>
      <c r="AF1961" s="57"/>
      <c r="AG1961" s="57"/>
      <c r="AH1961" s="57"/>
      <c r="AI1961" s="57"/>
      <c r="AJ1961" s="57"/>
      <c r="AK1961" s="57"/>
      <c r="AL1961" s="57"/>
      <c r="AM1961" s="57"/>
      <c r="AN1961" s="57"/>
      <c r="AO1961" s="57"/>
      <c r="AP1961" s="57"/>
      <c r="AQ1961" s="57"/>
      <c r="AR1961" s="57"/>
      <c r="AS1961" s="57"/>
      <c r="AT1961" s="57"/>
      <c r="AU1961" s="57"/>
      <c r="AV1961" s="57"/>
      <c r="AW1961" s="57"/>
      <c r="AX1961" s="57"/>
      <c r="AY1961" s="57"/>
      <c r="AZ1961" s="57"/>
      <c r="BA1961" s="57"/>
      <c r="BB1961" s="57"/>
      <c r="BC1961" s="57"/>
      <c r="BD1961" s="57"/>
      <c r="BE1961" s="57"/>
      <c r="BF1961" s="57"/>
    </row>
    <row r="1962" spans="1:58" x14ac:dyDescent="0.25">
      <c r="A1962" s="53"/>
      <c r="B1962" s="60"/>
      <c r="C1962" s="57">
        <f t="shared" si="144"/>
        <v>0</v>
      </c>
      <c r="D1962" s="56"/>
      <c r="E1962" s="57">
        <f>[1]DETAY!$A$2</f>
        <v>0</v>
      </c>
      <c r="F1962" s="90">
        <f t="shared" si="145"/>
        <v>0</v>
      </c>
      <c r="G1962" s="92">
        <f t="shared" si="146"/>
        <v>0</v>
      </c>
      <c r="H1962" s="62" t="e">
        <f t="shared" si="147"/>
        <v>#DIV/0!</v>
      </c>
      <c r="I1962" s="57"/>
      <c r="J1962" s="57"/>
      <c r="K1962" s="57"/>
      <c r="L1962" s="57"/>
      <c r="M1962" s="58"/>
      <c r="N1962" s="57"/>
      <c r="O1962" s="57"/>
      <c r="P1962" s="57"/>
      <c r="Q1962" s="57"/>
      <c r="R1962" s="57"/>
      <c r="S1962" s="61"/>
      <c r="T1962" s="57"/>
      <c r="U1962" s="57"/>
      <c r="V1962" s="57"/>
      <c r="W1962" s="57"/>
      <c r="X1962" s="57"/>
      <c r="Y1962" s="57"/>
      <c r="Z1962" s="57"/>
      <c r="AA1962" s="57"/>
      <c r="AB1962" s="57"/>
      <c r="AC1962" s="57"/>
      <c r="AD1962" s="57"/>
      <c r="AE1962" s="57"/>
      <c r="AF1962" s="57"/>
      <c r="AG1962" s="57"/>
      <c r="AH1962" s="57"/>
      <c r="AI1962" s="57"/>
      <c r="AJ1962" s="57"/>
      <c r="AK1962" s="57"/>
      <c r="AL1962" s="57"/>
      <c r="AM1962" s="57"/>
      <c r="AN1962" s="57"/>
      <c r="AO1962" s="57"/>
      <c r="AP1962" s="57"/>
      <c r="AQ1962" s="57"/>
      <c r="AR1962" s="57"/>
      <c r="AS1962" s="57"/>
      <c r="AT1962" s="57"/>
      <c r="AU1962" s="57"/>
      <c r="AV1962" s="57"/>
      <c r="AW1962" s="57"/>
      <c r="AX1962" s="57"/>
      <c r="AY1962" s="57"/>
      <c r="AZ1962" s="57"/>
      <c r="BA1962" s="57"/>
      <c r="BB1962" s="57"/>
      <c r="BC1962" s="57"/>
      <c r="BD1962" s="57"/>
      <c r="BE1962" s="57"/>
      <c r="BF1962" s="57"/>
    </row>
    <row r="1963" spans="1:58" x14ac:dyDescent="0.25">
      <c r="A1963" s="53"/>
      <c r="B1963" s="60"/>
      <c r="C1963" s="57">
        <f t="shared" si="144"/>
        <v>0</v>
      </c>
      <c r="D1963" s="56"/>
      <c r="E1963" s="57">
        <f>[1]DETAY!$A$2</f>
        <v>0</v>
      </c>
      <c r="F1963" s="90">
        <f t="shared" si="145"/>
        <v>0</v>
      </c>
      <c r="G1963" s="92">
        <f t="shared" si="146"/>
        <v>0</v>
      </c>
      <c r="H1963" s="62" t="e">
        <f t="shared" si="147"/>
        <v>#DIV/0!</v>
      </c>
      <c r="I1963" s="57"/>
      <c r="J1963" s="57"/>
      <c r="K1963" s="57"/>
      <c r="L1963" s="57"/>
      <c r="M1963" s="58"/>
      <c r="N1963" s="57"/>
      <c r="O1963" s="57"/>
      <c r="P1963" s="57"/>
      <c r="Q1963" s="57"/>
      <c r="R1963" s="57"/>
      <c r="S1963" s="61"/>
      <c r="T1963" s="57"/>
      <c r="U1963" s="57"/>
      <c r="V1963" s="57"/>
      <c r="W1963" s="57"/>
      <c r="X1963" s="57"/>
      <c r="Y1963" s="57"/>
      <c r="Z1963" s="57"/>
      <c r="AA1963" s="57"/>
      <c r="AB1963" s="57"/>
      <c r="AC1963" s="57"/>
      <c r="AD1963" s="57"/>
      <c r="AE1963" s="57"/>
      <c r="AF1963" s="57"/>
      <c r="AG1963" s="57"/>
      <c r="AH1963" s="57"/>
      <c r="AI1963" s="57"/>
      <c r="AJ1963" s="57"/>
      <c r="AK1963" s="57"/>
      <c r="AL1963" s="57"/>
      <c r="AM1963" s="57"/>
      <c r="AN1963" s="57"/>
      <c r="AO1963" s="57"/>
      <c r="AP1963" s="57"/>
      <c r="AQ1963" s="57"/>
      <c r="AR1963" s="57"/>
      <c r="AS1963" s="57"/>
      <c r="AT1963" s="57"/>
      <c r="AU1963" s="57"/>
      <c r="AV1963" s="57"/>
      <c r="AW1963" s="57"/>
      <c r="AX1963" s="57"/>
      <c r="AY1963" s="57"/>
      <c r="AZ1963" s="57"/>
      <c r="BA1963" s="57"/>
      <c r="BB1963" s="57"/>
      <c r="BC1963" s="57"/>
      <c r="BD1963" s="57"/>
      <c r="BE1963" s="57"/>
      <c r="BF1963" s="57"/>
    </row>
    <row r="1964" spans="1:58" x14ac:dyDescent="0.25">
      <c r="A1964" s="53"/>
      <c r="B1964" s="60"/>
      <c r="C1964" s="57">
        <f t="shared" si="144"/>
        <v>0</v>
      </c>
      <c r="D1964" s="56"/>
      <c r="E1964" s="57">
        <f>[1]DETAY!$A$2</f>
        <v>0</v>
      </c>
      <c r="F1964" s="90">
        <f t="shared" si="145"/>
        <v>0</v>
      </c>
      <c r="G1964" s="92">
        <f t="shared" si="146"/>
        <v>0</v>
      </c>
      <c r="H1964" s="62" t="e">
        <f t="shared" si="147"/>
        <v>#DIV/0!</v>
      </c>
      <c r="I1964" s="57"/>
      <c r="J1964" s="57"/>
      <c r="K1964" s="57"/>
      <c r="L1964" s="57"/>
      <c r="M1964" s="58"/>
      <c r="N1964" s="57"/>
      <c r="O1964" s="57"/>
      <c r="P1964" s="57"/>
      <c r="Q1964" s="57"/>
      <c r="R1964" s="57"/>
      <c r="S1964" s="61"/>
      <c r="T1964" s="57"/>
      <c r="U1964" s="57"/>
      <c r="V1964" s="57"/>
      <c r="W1964" s="57"/>
      <c r="X1964" s="57"/>
      <c r="Y1964" s="57"/>
      <c r="Z1964" s="57"/>
      <c r="AA1964" s="57"/>
      <c r="AB1964" s="57"/>
      <c r="AC1964" s="57"/>
      <c r="AD1964" s="57"/>
      <c r="AE1964" s="57"/>
      <c r="AF1964" s="57"/>
      <c r="AG1964" s="57"/>
      <c r="AH1964" s="57"/>
      <c r="AI1964" s="57"/>
      <c r="AJ1964" s="57"/>
      <c r="AK1964" s="57"/>
      <c r="AL1964" s="57"/>
      <c r="AM1964" s="57"/>
      <c r="AN1964" s="57"/>
      <c r="AO1964" s="57"/>
      <c r="AP1964" s="57"/>
      <c r="AQ1964" s="57"/>
      <c r="AR1964" s="57"/>
      <c r="AS1964" s="57"/>
      <c r="AT1964" s="57"/>
      <c r="AU1964" s="57"/>
      <c r="AV1964" s="57"/>
      <c r="AW1964" s="57"/>
      <c r="AX1964" s="57"/>
      <c r="AY1964" s="57"/>
      <c r="AZ1964" s="57"/>
      <c r="BA1964" s="57"/>
      <c r="BB1964" s="57"/>
      <c r="BC1964" s="57"/>
      <c r="BD1964" s="57"/>
      <c r="BE1964" s="57"/>
      <c r="BF1964" s="57"/>
    </row>
    <row r="1965" spans="1:58" x14ac:dyDescent="0.25">
      <c r="A1965" s="53"/>
      <c r="B1965" s="60"/>
      <c r="C1965" s="57">
        <f t="shared" si="144"/>
        <v>0</v>
      </c>
      <c r="D1965" s="56"/>
      <c r="E1965" s="57">
        <f>[1]DETAY!$A$2</f>
        <v>0</v>
      </c>
      <c r="F1965" s="90">
        <f t="shared" si="145"/>
        <v>0</v>
      </c>
      <c r="G1965" s="92">
        <f t="shared" si="146"/>
        <v>0</v>
      </c>
      <c r="H1965" s="62" t="e">
        <f t="shared" si="147"/>
        <v>#DIV/0!</v>
      </c>
      <c r="I1965" s="57"/>
      <c r="J1965" s="57"/>
      <c r="K1965" s="57"/>
      <c r="L1965" s="57"/>
      <c r="M1965" s="58"/>
      <c r="N1965" s="57"/>
      <c r="O1965" s="57"/>
      <c r="P1965" s="57"/>
      <c r="Q1965" s="57"/>
      <c r="R1965" s="57"/>
      <c r="S1965" s="61"/>
      <c r="T1965" s="57"/>
      <c r="U1965" s="57"/>
      <c r="V1965" s="57"/>
      <c r="W1965" s="57"/>
      <c r="X1965" s="57"/>
      <c r="Y1965" s="57"/>
      <c r="Z1965" s="57"/>
      <c r="AA1965" s="57"/>
      <c r="AB1965" s="57"/>
      <c r="AC1965" s="57"/>
      <c r="AD1965" s="57"/>
      <c r="AE1965" s="57"/>
      <c r="AF1965" s="57"/>
      <c r="AG1965" s="57"/>
      <c r="AH1965" s="57"/>
      <c r="AI1965" s="57"/>
      <c r="AJ1965" s="57"/>
      <c r="AK1965" s="57"/>
      <c r="AL1965" s="57"/>
      <c r="AM1965" s="57"/>
      <c r="AN1965" s="57"/>
      <c r="AO1965" s="57"/>
      <c r="AP1965" s="57"/>
      <c r="AQ1965" s="57"/>
      <c r="AR1965" s="57"/>
      <c r="AS1965" s="57"/>
      <c r="AT1965" s="57"/>
      <c r="AU1965" s="57"/>
      <c r="AV1965" s="57"/>
      <c r="AW1965" s="57"/>
      <c r="AX1965" s="57"/>
      <c r="AY1965" s="57"/>
      <c r="AZ1965" s="57"/>
      <c r="BA1965" s="57"/>
      <c r="BB1965" s="57"/>
      <c r="BC1965" s="57"/>
      <c r="BD1965" s="57"/>
      <c r="BE1965" s="57"/>
      <c r="BF1965" s="57"/>
    </row>
    <row r="1966" spans="1:58" x14ac:dyDescent="0.25">
      <c r="A1966" s="53"/>
      <c r="B1966" s="60"/>
      <c r="C1966" s="57">
        <f t="shared" si="144"/>
        <v>0</v>
      </c>
      <c r="D1966" s="56"/>
      <c r="E1966" s="57">
        <f>[1]DETAY!$A$2</f>
        <v>0</v>
      </c>
      <c r="F1966" s="90">
        <f t="shared" si="145"/>
        <v>0</v>
      </c>
      <c r="G1966" s="92">
        <f t="shared" si="146"/>
        <v>0</v>
      </c>
      <c r="H1966" s="62" t="e">
        <f t="shared" si="147"/>
        <v>#DIV/0!</v>
      </c>
      <c r="I1966" s="57"/>
      <c r="J1966" s="57"/>
      <c r="K1966" s="57"/>
      <c r="L1966" s="57"/>
      <c r="M1966" s="58"/>
      <c r="N1966" s="57"/>
      <c r="O1966" s="57"/>
      <c r="P1966" s="57"/>
      <c r="Q1966" s="57"/>
      <c r="R1966" s="57"/>
      <c r="S1966" s="61"/>
      <c r="T1966" s="57"/>
      <c r="U1966" s="57"/>
      <c r="V1966" s="57"/>
      <c r="W1966" s="57"/>
      <c r="X1966" s="57"/>
      <c r="Y1966" s="57"/>
      <c r="Z1966" s="57"/>
      <c r="AA1966" s="57"/>
      <c r="AB1966" s="57"/>
      <c r="AC1966" s="57"/>
      <c r="AD1966" s="57"/>
      <c r="AE1966" s="57"/>
      <c r="AF1966" s="57"/>
      <c r="AG1966" s="57"/>
      <c r="AH1966" s="57"/>
      <c r="AI1966" s="57"/>
      <c r="AJ1966" s="57"/>
      <c r="AK1966" s="57"/>
      <c r="AL1966" s="57"/>
      <c r="AM1966" s="57"/>
      <c r="AN1966" s="57"/>
      <c r="AO1966" s="57"/>
      <c r="AP1966" s="57"/>
      <c r="AQ1966" s="57"/>
      <c r="AR1966" s="57"/>
      <c r="AS1966" s="57"/>
      <c r="AT1966" s="57"/>
      <c r="AU1966" s="57"/>
      <c r="AV1966" s="57"/>
      <c r="AW1966" s="57"/>
      <c r="AX1966" s="57"/>
      <c r="AY1966" s="57"/>
      <c r="AZ1966" s="57"/>
      <c r="BA1966" s="57"/>
      <c r="BB1966" s="57"/>
      <c r="BC1966" s="57"/>
      <c r="BD1966" s="57"/>
      <c r="BE1966" s="57"/>
      <c r="BF1966" s="57"/>
    </row>
    <row r="1967" spans="1:58" x14ac:dyDescent="0.25">
      <c r="A1967" s="53"/>
      <c r="B1967" s="60"/>
      <c r="C1967" s="57">
        <f t="shared" si="144"/>
        <v>0</v>
      </c>
      <c r="D1967" s="56"/>
      <c r="E1967" s="57">
        <f>[1]DETAY!$A$2</f>
        <v>0</v>
      </c>
      <c r="F1967" s="90">
        <f t="shared" si="145"/>
        <v>0</v>
      </c>
      <c r="G1967" s="92">
        <f t="shared" si="146"/>
        <v>0</v>
      </c>
      <c r="H1967" s="62" t="e">
        <f t="shared" si="147"/>
        <v>#DIV/0!</v>
      </c>
      <c r="I1967" s="57"/>
      <c r="J1967" s="57"/>
      <c r="K1967" s="57"/>
      <c r="L1967" s="57"/>
      <c r="M1967" s="58"/>
      <c r="N1967" s="57"/>
      <c r="O1967" s="57"/>
      <c r="P1967" s="57"/>
      <c r="Q1967" s="57"/>
      <c r="R1967" s="57"/>
      <c r="S1967" s="61"/>
      <c r="T1967" s="57"/>
      <c r="U1967" s="57"/>
      <c r="V1967" s="57"/>
      <c r="W1967" s="57"/>
      <c r="X1967" s="57"/>
      <c r="Y1967" s="57"/>
      <c r="Z1967" s="57"/>
      <c r="AA1967" s="57"/>
      <c r="AB1967" s="57"/>
      <c r="AC1967" s="57"/>
      <c r="AD1967" s="57"/>
      <c r="AE1967" s="57"/>
      <c r="AF1967" s="57"/>
      <c r="AG1967" s="57"/>
      <c r="AH1967" s="57"/>
      <c r="AI1967" s="57"/>
      <c r="AJ1967" s="57"/>
      <c r="AK1967" s="57"/>
      <c r="AL1967" s="57"/>
      <c r="AM1967" s="57"/>
      <c r="AN1967" s="57"/>
      <c r="AO1967" s="57"/>
      <c r="AP1967" s="57"/>
      <c r="AQ1967" s="57"/>
      <c r="AR1967" s="57"/>
      <c r="AS1967" s="57"/>
      <c r="AT1967" s="57"/>
      <c r="AU1967" s="57"/>
      <c r="AV1967" s="57"/>
      <c r="AW1967" s="57"/>
      <c r="AX1967" s="57"/>
      <c r="AY1967" s="57"/>
      <c r="AZ1967" s="57"/>
      <c r="BA1967" s="57"/>
      <c r="BB1967" s="57"/>
      <c r="BC1967" s="57"/>
      <c r="BD1967" s="57"/>
      <c r="BE1967" s="57"/>
      <c r="BF1967" s="57"/>
    </row>
    <row r="1968" spans="1:58" x14ac:dyDescent="0.25">
      <c r="A1968" s="53"/>
      <c r="B1968" s="60"/>
      <c r="C1968" s="57">
        <f t="shared" si="144"/>
        <v>0</v>
      </c>
      <c r="D1968" s="56"/>
      <c r="E1968" s="57">
        <f>[1]DETAY!$A$2</f>
        <v>0</v>
      </c>
      <c r="F1968" s="90">
        <f t="shared" si="145"/>
        <v>0</v>
      </c>
      <c r="G1968" s="92">
        <f t="shared" si="146"/>
        <v>0</v>
      </c>
      <c r="H1968" s="62" t="e">
        <f t="shared" si="147"/>
        <v>#DIV/0!</v>
      </c>
      <c r="I1968" s="57"/>
      <c r="J1968" s="57"/>
      <c r="K1968" s="57"/>
      <c r="L1968" s="57"/>
      <c r="M1968" s="58"/>
      <c r="N1968" s="57"/>
      <c r="O1968" s="57"/>
      <c r="P1968" s="57"/>
      <c r="Q1968" s="57"/>
      <c r="R1968" s="57"/>
      <c r="S1968" s="61"/>
      <c r="T1968" s="57"/>
      <c r="U1968" s="57"/>
      <c r="V1968" s="57"/>
      <c r="W1968" s="57"/>
      <c r="X1968" s="57"/>
      <c r="Y1968" s="57"/>
      <c r="Z1968" s="57"/>
      <c r="AA1968" s="57"/>
      <c r="AB1968" s="57"/>
      <c r="AC1968" s="57"/>
      <c r="AD1968" s="57"/>
      <c r="AE1968" s="57"/>
      <c r="AF1968" s="57"/>
      <c r="AG1968" s="57"/>
      <c r="AH1968" s="57"/>
      <c r="AI1968" s="57"/>
      <c r="AJ1968" s="57"/>
      <c r="AK1968" s="57"/>
      <c r="AL1968" s="57"/>
      <c r="AM1968" s="57"/>
      <c r="AN1968" s="57"/>
      <c r="AO1968" s="57"/>
      <c r="AP1968" s="57"/>
      <c r="AQ1968" s="57"/>
      <c r="AR1968" s="57"/>
      <c r="AS1968" s="57"/>
      <c r="AT1968" s="57"/>
      <c r="AU1968" s="57"/>
      <c r="AV1968" s="57"/>
      <c r="AW1968" s="57"/>
      <c r="AX1968" s="57"/>
      <c r="AY1968" s="57"/>
      <c r="AZ1968" s="57"/>
      <c r="BA1968" s="57"/>
      <c r="BB1968" s="57"/>
      <c r="BC1968" s="57"/>
      <c r="BD1968" s="57"/>
      <c r="BE1968" s="57"/>
      <c r="BF1968" s="57"/>
    </row>
    <row r="1969" spans="1:58" x14ac:dyDescent="0.25">
      <c r="A1969" s="53"/>
      <c r="B1969" s="60"/>
      <c r="C1969" s="57">
        <f t="shared" si="144"/>
        <v>0</v>
      </c>
      <c r="D1969" s="56"/>
      <c r="E1969" s="57">
        <f>[1]DETAY!$A$2</f>
        <v>0</v>
      </c>
      <c r="F1969" s="90">
        <f t="shared" si="145"/>
        <v>0</v>
      </c>
      <c r="G1969" s="92">
        <f t="shared" si="146"/>
        <v>0</v>
      </c>
      <c r="H1969" s="62" t="e">
        <f t="shared" si="147"/>
        <v>#DIV/0!</v>
      </c>
      <c r="I1969" s="57"/>
      <c r="J1969" s="57"/>
      <c r="K1969" s="57"/>
      <c r="L1969" s="57"/>
      <c r="M1969" s="58"/>
      <c r="N1969" s="57"/>
      <c r="O1969" s="57"/>
      <c r="P1969" s="57"/>
      <c r="Q1969" s="57"/>
      <c r="R1969" s="57"/>
      <c r="S1969" s="61"/>
      <c r="T1969" s="57"/>
      <c r="U1969" s="57"/>
      <c r="V1969" s="57"/>
      <c r="W1969" s="57"/>
      <c r="X1969" s="57"/>
      <c r="Y1969" s="57"/>
      <c r="Z1969" s="57"/>
      <c r="AA1969" s="57"/>
      <c r="AB1969" s="57"/>
      <c r="AC1969" s="57"/>
      <c r="AD1969" s="57"/>
      <c r="AE1969" s="57"/>
      <c r="AF1969" s="57"/>
      <c r="AG1969" s="57"/>
      <c r="AH1969" s="57"/>
      <c r="AI1969" s="57"/>
      <c r="AJ1969" s="57"/>
      <c r="AK1969" s="57"/>
      <c r="AL1969" s="57"/>
      <c r="AM1969" s="57"/>
      <c r="AN1969" s="57"/>
      <c r="AO1969" s="57"/>
      <c r="AP1969" s="57"/>
      <c r="AQ1969" s="57"/>
      <c r="AR1969" s="57"/>
      <c r="AS1969" s="57"/>
      <c r="AT1969" s="57"/>
      <c r="AU1969" s="57"/>
      <c r="AV1969" s="57"/>
      <c r="AW1969" s="57"/>
      <c r="AX1969" s="57"/>
      <c r="AY1969" s="57"/>
      <c r="AZ1969" s="57"/>
      <c r="BA1969" s="57"/>
      <c r="BB1969" s="57"/>
      <c r="BC1969" s="57"/>
      <c r="BD1969" s="57"/>
      <c r="BE1969" s="57"/>
      <c r="BF1969" s="57"/>
    </row>
    <row r="1970" spans="1:58" x14ac:dyDescent="0.25">
      <c r="A1970" s="53"/>
      <c r="B1970" s="60"/>
      <c r="C1970" s="57">
        <f t="shared" si="144"/>
        <v>0</v>
      </c>
      <c r="D1970" s="56"/>
      <c r="E1970" s="57">
        <f>[1]DETAY!$A$2</f>
        <v>0</v>
      </c>
      <c r="F1970" s="90">
        <f t="shared" si="145"/>
        <v>0</v>
      </c>
      <c r="G1970" s="92">
        <f t="shared" si="146"/>
        <v>0</v>
      </c>
      <c r="H1970" s="62" t="e">
        <f t="shared" si="147"/>
        <v>#DIV/0!</v>
      </c>
      <c r="I1970" s="57"/>
      <c r="J1970" s="57"/>
      <c r="K1970" s="57"/>
      <c r="L1970" s="57"/>
      <c r="M1970" s="58"/>
      <c r="N1970" s="57"/>
      <c r="O1970" s="57"/>
      <c r="P1970" s="57"/>
      <c r="Q1970" s="57"/>
      <c r="R1970" s="57"/>
      <c r="S1970" s="61"/>
      <c r="T1970" s="57"/>
      <c r="U1970" s="57"/>
      <c r="V1970" s="57"/>
      <c r="W1970" s="57"/>
      <c r="X1970" s="57"/>
      <c r="Y1970" s="57"/>
      <c r="Z1970" s="57"/>
      <c r="AA1970" s="57"/>
      <c r="AB1970" s="57"/>
      <c r="AC1970" s="57"/>
      <c r="AD1970" s="57"/>
      <c r="AE1970" s="57"/>
      <c r="AF1970" s="57"/>
      <c r="AG1970" s="57"/>
      <c r="AH1970" s="57"/>
      <c r="AI1970" s="57"/>
      <c r="AJ1970" s="57"/>
      <c r="AK1970" s="57"/>
      <c r="AL1970" s="57"/>
      <c r="AM1970" s="57"/>
      <c r="AN1970" s="57"/>
      <c r="AO1970" s="57"/>
      <c r="AP1970" s="57"/>
      <c r="AQ1970" s="57"/>
      <c r="AR1970" s="57"/>
      <c r="AS1970" s="57"/>
      <c r="AT1970" s="57"/>
      <c r="AU1970" s="57"/>
      <c r="AV1970" s="57"/>
      <c r="AW1970" s="57"/>
      <c r="AX1970" s="57"/>
      <c r="AY1970" s="57"/>
      <c r="AZ1970" s="57"/>
      <c r="BA1970" s="57"/>
      <c r="BB1970" s="57"/>
      <c r="BC1970" s="57"/>
      <c r="BD1970" s="57"/>
      <c r="BE1970" s="57"/>
      <c r="BF1970" s="57"/>
    </row>
    <row r="1971" spans="1:58" x14ac:dyDescent="0.25">
      <c r="A1971" s="53"/>
      <c r="B1971" s="60"/>
      <c r="C1971" s="57">
        <f t="shared" si="144"/>
        <v>0</v>
      </c>
      <c r="D1971" s="56"/>
      <c r="E1971" s="57">
        <f>[1]DETAY!$A$2</f>
        <v>0</v>
      </c>
      <c r="F1971" s="90">
        <f t="shared" si="145"/>
        <v>0</v>
      </c>
      <c r="G1971" s="92">
        <f t="shared" si="146"/>
        <v>0</v>
      </c>
      <c r="H1971" s="62" t="e">
        <f t="shared" si="147"/>
        <v>#DIV/0!</v>
      </c>
      <c r="I1971" s="57"/>
      <c r="J1971" s="57"/>
      <c r="K1971" s="57"/>
      <c r="L1971" s="57"/>
      <c r="M1971" s="58"/>
      <c r="N1971" s="57"/>
      <c r="O1971" s="57"/>
      <c r="P1971" s="57"/>
      <c r="Q1971" s="57"/>
      <c r="R1971" s="57"/>
      <c r="S1971" s="61"/>
      <c r="T1971" s="57"/>
      <c r="U1971" s="57"/>
      <c r="V1971" s="57"/>
      <c r="W1971" s="57"/>
      <c r="X1971" s="57"/>
      <c r="Y1971" s="57"/>
      <c r="Z1971" s="57"/>
      <c r="AA1971" s="57"/>
      <c r="AB1971" s="57"/>
      <c r="AC1971" s="57"/>
      <c r="AD1971" s="57"/>
      <c r="AE1971" s="57"/>
      <c r="AF1971" s="57"/>
      <c r="AG1971" s="57"/>
      <c r="AH1971" s="57"/>
      <c r="AI1971" s="57"/>
      <c r="AJ1971" s="57"/>
      <c r="AK1971" s="57"/>
      <c r="AL1971" s="57"/>
      <c r="AM1971" s="57"/>
      <c r="AN1971" s="57"/>
      <c r="AO1971" s="57"/>
      <c r="AP1971" s="57"/>
      <c r="AQ1971" s="57"/>
      <c r="AR1971" s="57"/>
      <c r="AS1971" s="57"/>
      <c r="AT1971" s="57"/>
      <c r="AU1971" s="57"/>
      <c r="AV1971" s="57"/>
      <c r="AW1971" s="57"/>
      <c r="AX1971" s="57"/>
      <c r="AY1971" s="57"/>
      <c r="AZ1971" s="57"/>
      <c r="BA1971" s="57"/>
      <c r="BB1971" s="57"/>
      <c r="BC1971" s="57"/>
      <c r="BD1971" s="57"/>
      <c r="BE1971" s="57"/>
      <c r="BF1971" s="57"/>
    </row>
    <row r="1972" spans="1:58" x14ac:dyDescent="0.25">
      <c r="A1972" s="53"/>
      <c r="B1972" s="60"/>
      <c r="C1972" s="57">
        <f t="shared" si="144"/>
        <v>0</v>
      </c>
      <c r="D1972" s="56"/>
      <c r="E1972" s="57">
        <f>[1]DETAY!$A$2</f>
        <v>0</v>
      </c>
      <c r="F1972" s="90">
        <f t="shared" si="145"/>
        <v>0</v>
      </c>
      <c r="G1972" s="92">
        <f t="shared" si="146"/>
        <v>0</v>
      </c>
      <c r="H1972" s="62" t="e">
        <f t="shared" si="147"/>
        <v>#DIV/0!</v>
      </c>
      <c r="I1972" s="57"/>
      <c r="J1972" s="57"/>
      <c r="K1972" s="57"/>
      <c r="L1972" s="57"/>
      <c r="M1972" s="58"/>
      <c r="N1972" s="57"/>
      <c r="O1972" s="57"/>
      <c r="P1972" s="57"/>
      <c r="Q1972" s="57"/>
      <c r="R1972" s="57"/>
      <c r="S1972" s="61"/>
      <c r="T1972" s="57"/>
      <c r="U1972" s="57"/>
      <c r="V1972" s="57"/>
      <c r="W1972" s="57"/>
      <c r="X1972" s="57"/>
      <c r="Y1972" s="57"/>
      <c r="Z1972" s="57"/>
      <c r="AA1972" s="57"/>
      <c r="AB1972" s="57"/>
      <c r="AC1972" s="57"/>
      <c r="AD1972" s="57"/>
      <c r="AE1972" s="57"/>
      <c r="AF1972" s="57"/>
      <c r="AG1972" s="57"/>
      <c r="AH1972" s="57"/>
      <c r="AI1972" s="57"/>
      <c r="AJ1972" s="57"/>
      <c r="AK1972" s="57"/>
      <c r="AL1972" s="57"/>
      <c r="AM1972" s="57"/>
      <c r="AN1972" s="57"/>
      <c r="AO1972" s="57"/>
      <c r="AP1972" s="57"/>
      <c r="AQ1972" s="57"/>
      <c r="AR1972" s="57"/>
      <c r="AS1972" s="57"/>
      <c r="AT1972" s="57"/>
      <c r="AU1972" s="57"/>
      <c r="AV1972" s="57"/>
      <c r="AW1972" s="57"/>
      <c r="AX1972" s="57"/>
      <c r="AY1972" s="57"/>
      <c r="AZ1972" s="57"/>
      <c r="BA1972" s="57"/>
      <c r="BB1972" s="57"/>
      <c r="BC1972" s="57"/>
      <c r="BD1972" s="57"/>
      <c r="BE1972" s="57"/>
      <c r="BF1972" s="57"/>
    </row>
    <row r="1973" spans="1:58" x14ac:dyDescent="0.25">
      <c r="A1973" s="53"/>
      <c r="B1973" s="60"/>
      <c r="C1973" s="57">
        <f t="shared" si="144"/>
        <v>0</v>
      </c>
      <c r="D1973" s="56"/>
      <c r="E1973" s="57">
        <f>[1]DETAY!$A$2</f>
        <v>0</v>
      </c>
      <c r="F1973" s="90">
        <f t="shared" si="145"/>
        <v>0</v>
      </c>
      <c r="G1973" s="92">
        <f t="shared" si="146"/>
        <v>0</v>
      </c>
      <c r="H1973" s="62" t="e">
        <f t="shared" si="147"/>
        <v>#DIV/0!</v>
      </c>
      <c r="I1973" s="57"/>
      <c r="J1973" s="57"/>
      <c r="K1973" s="57"/>
      <c r="L1973" s="57"/>
      <c r="M1973" s="58"/>
      <c r="N1973" s="57"/>
      <c r="O1973" s="57"/>
      <c r="P1973" s="57"/>
      <c r="Q1973" s="57"/>
      <c r="R1973" s="57"/>
      <c r="S1973" s="61"/>
      <c r="T1973" s="57"/>
      <c r="U1973" s="57"/>
      <c r="V1973" s="57"/>
      <c r="W1973" s="57"/>
      <c r="X1973" s="57"/>
      <c r="Y1973" s="57"/>
      <c r="Z1973" s="57"/>
      <c r="AA1973" s="57"/>
      <c r="AB1973" s="57"/>
      <c r="AC1973" s="57"/>
      <c r="AD1973" s="57"/>
      <c r="AE1973" s="57"/>
      <c r="AF1973" s="57"/>
      <c r="AG1973" s="57"/>
      <c r="AH1973" s="57"/>
      <c r="AI1973" s="57"/>
      <c r="AJ1973" s="57"/>
      <c r="AK1973" s="57"/>
      <c r="AL1973" s="57"/>
      <c r="AM1973" s="57"/>
      <c r="AN1973" s="57"/>
      <c r="AO1973" s="57"/>
      <c r="AP1973" s="57"/>
      <c r="AQ1973" s="57"/>
      <c r="AR1973" s="57"/>
      <c r="AS1973" s="57"/>
      <c r="AT1973" s="57"/>
      <c r="AU1973" s="57"/>
      <c r="AV1973" s="57"/>
      <c r="AW1973" s="57"/>
      <c r="AX1973" s="57"/>
      <c r="AY1973" s="57"/>
      <c r="AZ1973" s="57"/>
      <c r="BA1973" s="57"/>
      <c r="BB1973" s="57"/>
      <c r="BC1973" s="57"/>
      <c r="BD1973" s="57"/>
      <c r="BE1973" s="57"/>
      <c r="BF1973" s="57"/>
    </row>
    <row r="1974" spans="1:58" x14ac:dyDescent="0.25">
      <c r="A1974" s="53"/>
      <c r="B1974" s="60"/>
      <c r="C1974" s="57">
        <f t="shared" si="144"/>
        <v>0</v>
      </c>
      <c r="D1974" s="56"/>
      <c r="E1974" s="57">
        <f>[1]DETAY!$A$2</f>
        <v>0</v>
      </c>
      <c r="F1974" s="90">
        <f t="shared" si="145"/>
        <v>0</v>
      </c>
      <c r="G1974" s="92">
        <f t="shared" si="146"/>
        <v>0</v>
      </c>
      <c r="H1974" s="62" t="e">
        <f t="shared" si="147"/>
        <v>#DIV/0!</v>
      </c>
      <c r="I1974" s="57"/>
      <c r="J1974" s="57"/>
      <c r="K1974" s="57"/>
      <c r="L1974" s="57"/>
      <c r="M1974" s="58"/>
      <c r="N1974" s="57"/>
      <c r="O1974" s="57"/>
      <c r="P1974" s="57"/>
      <c r="Q1974" s="57"/>
      <c r="R1974" s="57"/>
      <c r="S1974" s="61"/>
      <c r="T1974" s="57"/>
      <c r="U1974" s="57"/>
      <c r="V1974" s="57"/>
      <c r="W1974" s="57"/>
      <c r="X1974" s="57"/>
      <c r="Y1974" s="57"/>
      <c r="Z1974" s="57"/>
      <c r="AA1974" s="57"/>
      <c r="AB1974" s="57"/>
      <c r="AC1974" s="57"/>
      <c r="AD1974" s="57"/>
      <c r="AE1974" s="57"/>
      <c r="AF1974" s="57"/>
      <c r="AG1974" s="57"/>
      <c r="AH1974" s="57"/>
      <c r="AI1974" s="57"/>
      <c r="AJ1974" s="57"/>
      <c r="AK1974" s="57"/>
      <c r="AL1974" s="57"/>
      <c r="AM1974" s="57"/>
      <c r="AN1974" s="57"/>
      <c r="AO1974" s="57"/>
      <c r="AP1974" s="57"/>
      <c r="AQ1974" s="57"/>
      <c r="AR1974" s="57"/>
      <c r="AS1974" s="57"/>
      <c r="AT1974" s="57"/>
      <c r="AU1974" s="57"/>
      <c r="AV1974" s="57"/>
      <c r="AW1974" s="57"/>
      <c r="AX1974" s="57"/>
      <c r="AY1974" s="57"/>
      <c r="AZ1974" s="57"/>
      <c r="BA1974" s="57"/>
      <c r="BB1974" s="57"/>
      <c r="BC1974" s="57"/>
      <c r="BD1974" s="57"/>
      <c r="BE1974" s="57"/>
      <c r="BF1974" s="57"/>
    </row>
    <row r="1975" spans="1:58" x14ac:dyDescent="0.25">
      <c r="A1975" s="53"/>
      <c r="B1975" s="60"/>
      <c r="C1975" s="57">
        <f t="shared" si="144"/>
        <v>0</v>
      </c>
      <c r="D1975" s="56"/>
      <c r="E1975" s="57">
        <f>[1]DETAY!$A$2</f>
        <v>0</v>
      </c>
      <c r="F1975" s="90">
        <f t="shared" si="145"/>
        <v>0</v>
      </c>
      <c r="G1975" s="92">
        <f t="shared" si="146"/>
        <v>0</v>
      </c>
      <c r="H1975" s="62" t="e">
        <f t="shared" si="147"/>
        <v>#DIV/0!</v>
      </c>
      <c r="I1975" s="57"/>
      <c r="J1975" s="57"/>
      <c r="K1975" s="57"/>
      <c r="L1975" s="57"/>
      <c r="M1975" s="58"/>
      <c r="N1975" s="57"/>
      <c r="O1975" s="57"/>
      <c r="P1975" s="57"/>
      <c r="Q1975" s="57"/>
      <c r="R1975" s="57"/>
      <c r="S1975" s="61"/>
      <c r="T1975" s="57"/>
      <c r="U1975" s="57"/>
      <c r="V1975" s="57"/>
      <c r="W1975" s="57"/>
      <c r="X1975" s="57"/>
      <c r="Y1975" s="57"/>
      <c r="Z1975" s="57"/>
      <c r="AA1975" s="57"/>
      <c r="AB1975" s="57"/>
      <c r="AC1975" s="57"/>
      <c r="AD1975" s="57"/>
      <c r="AE1975" s="57"/>
      <c r="AF1975" s="57"/>
      <c r="AG1975" s="57"/>
      <c r="AH1975" s="57"/>
      <c r="AI1975" s="57"/>
      <c r="AJ1975" s="57"/>
      <c r="AK1975" s="57"/>
      <c r="AL1975" s="57"/>
      <c r="AM1975" s="57"/>
      <c r="AN1975" s="57"/>
      <c r="AO1975" s="57"/>
      <c r="AP1975" s="57"/>
      <c r="AQ1975" s="57"/>
      <c r="AR1975" s="57"/>
      <c r="AS1975" s="57"/>
      <c r="AT1975" s="57"/>
      <c r="AU1975" s="57"/>
      <c r="AV1975" s="57"/>
      <c r="AW1975" s="57"/>
      <c r="AX1975" s="57"/>
      <c r="AY1975" s="57"/>
      <c r="AZ1975" s="57"/>
      <c r="BA1975" s="57"/>
      <c r="BB1975" s="57"/>
      <c r="BC1975" s="57"/>
      <c r="BD1975" s="57"/>
      <c r="BE1975" s="57"/>
      <c r="BF1975" s="57"/>
    </row>
    <row r="1976" spans="1:58" x14ac:dyDescent="0.25">
      <c r="A1976" s="53"/>
      <c r="B1976" s="60"/>
      <c r="C1976" s="57">
        <f t="shared" si="144"/>
        <v>0</v>
      </c>
      <c r="D1976" s="56"/>
      <c r="E1976" s="57">
        <f>[1]DETAY!$A$2</f>
        <v>0</v>
      </c>
      <c r="F1976" s="90">
        <f t="shared" si="145"/>
        <v>0</v>
      </c>
      <c r="G1976" s="92">
        <f t="shared" si="146"/>
        <v>0</v>
      </c>
      <c r="H1976" s="62" t="e">
        <f t="shared" si="147"/>
        <v>#DIV/0!</v>
      </c>
      <c r="I1976" s="57"/>
      <c r="J1976" s="57"/>
      <c r="K1976" s="57"/>
      <c r="L1976" s="57"/>
      <c r="M1976" s="58"/>
      <c r="N1976" s="57"/>
      <c r="O1976" s="57"/>
      <c r="P1976" s="57"/>
      <c r="Q1976" s="57"/>
      <c r="R1976" s="57"/>
      <c r="S1976" s="61"/>
      <c r="T1976" s="57"/>
      <c r="U1976" s="57"/>
      <c r="V1976" s="57"/>
      <c r="W1976" s="57"/>
      <c r="X1976" s="57"/>
      <c r="Y1976" s="57"/>
      <c r="Z1976" s="57"/>
      <c r="AA1976" s="57"/>
      <c r="AB1976" s="57"/>
      <c r="AC1976" s="57"/>
      <c r="AD1976" s="57"/>
      <c r="AE1976" s="57"/>
      <c r="AF1976" s="57"/>
      <c r="AG1976" s="57"/>
      <c r="AH1976" s="57"/>
      <c r="AI1976" s="57"/>
      <c r="AJ1976" s="57"/>
      <c r="AK1976" s="57"/>
      <c r="AL1976" s="57"/>
      <c r="AM1976" s="57"/>
      <c r="AN1976" s="57"/>
      <c r="AO1976" s="57"/>
      <c r="AP1976" s="57"/>
      <c r="AQ1976" s="57"/>
      <c r="AR1976" s="57"/>
      <c r="AS1976" s="57"/>
      <c r="AT1976" s="57"/>
      <c r="AU1976" s="57"/>
      <c r="AV1976" s="57"/>
      <c r="AW1976" s="57"/>
      <c r="AX1976" s="57"/>
      <c r="AY1976" s="57"/>
      <c r="AZ1976" s="57"/>
      <c r="BA1976" s="57"/>
      <c r="BB1976" s="57"/>
      <c r="BC1976" s="57"/>
      <c r="BD1976" s="57"/>
      <c r="BE1976" s="57"/>
      <c r="BF1976" s="57"/>
    </row>
    <row r="1977" spans="1:58" x14ac:dyDescent="0.25">
      <c r="A1977" s="53"/>
      <c r="B1977" s="60"/>
      <c r="C1977" s="57">
        <f t="shared" si="144"/>
        <v>0</v>
      </c>
      <c r="D1977" s="56"/>
      <c r="E1977" s="57">
        <f>[1]DETAY!$A$2</f>
        <v>0</v>
      </c>
      <c r="F1977" s="90">
        <f t="shared" si="145"/>
        <v>0</v>
      </c>
      <c r="G1977" s="92">
        <f t="shared" si="146"/>
        <v>0</v>
      </c>
      <c r="H1977" s="62" t="e">
        <f t="shared" si="147"/>
        <v>#DIV/0!</v>
      </c>
      <c r="I1977" s="57"/>
      <c r="J1977" s="57"/>
      <c r="K1977" s="57"/>
      <c r="L1977" s="57"/>
      <c r="M1977" s="58"/>
      <c r="N1977" s="57"/>
      <c r="O1977" s="57"/>
      <c r="P1977" s="57"/>
      <c r="Q1977" s="57"/>
      <c r="R1977" s="57"/>
      <c r="S1977" s="61"/>
      <c r="T1977" s="57"/>
      <c r="U1977" s="57"/>
      <c r="V1977" s="57"/>
      <c r="W1977" s="57"/>
      <c r="X1977" s="57"/>
      <c r="Y1977" s="57"/>
      <c r="Z1977" s="57"/>
      <c r="AA1977" s="57"/>
      <c r="AB1977" s="57"/>
      <c r="AC1977" s="57"/>
      <c r="AD1977" s="57"/>
      <c r="AE1977" s="57"/>
      <c r="AF1977" s="57"/>
      <c r="AG1977" s="57"/>
      <c r="AH1977" s="57"/>
      <c r="AI1977" s="57"/>
      <c r="AJ1977" s="57"/>
      <c r="AK1977" s="57"/>
      <c r="AL1977" s="57"/>
      <c r="AM1977" s="57"/>
      <c r="AN1977" s="57"/>
      <c r="AO1977" s="57"/>
      <c r="AP1977" s="57"/>
      <c r="AQ1977" s="57"/>
      <c r="AR1977" s="57"/>
      <c r="AS1977" s="57"/>
      <c r="AT1977" s="57"/>
      <c r="AU1977" s="57"/>
      <c r="AV1977" s="57"/>
      <c r="AW1977" s="57"/>
      <c r="AX1977" s="57"/>
      <c r="AY1977" s="57"/>
      <c r="AZ1977" s="57"/>
      <c r="BA1977" s="57"/>
      <c r="BB1977" s="57"/>
      <c r="BC1977" s="57"/>
      <c r="BD1977" s="57"/>
      <c r="BE1977" s="57"/>
      <c r="BF1977" s="57"/>
    </row>
    <row r="1978" spans="1:58" x14ac:dyDescent="0.25">
      <c r="A1978" s="53"/>
      <c r="B1978" s="60"/>
      <c r="C1978" s="57">
        <f t="shared" si="144"/>
        <v>0</v>
      </c>
      <c r="D1978" s="56"/>
      <c r="E1978" s="57">
        <f>[1]DETAY!$A$2</f>
        <v>0</v>
      </c>
      <c r="F1978" s="90">
        <f t="shared" si="145"/>
        <v>0</v>
      </c>
      <c r="G1978" s="92">
        <f t="shared" si="146"/>
        <v>0</v>
      </c>
      <c r="H1978" s="62" t="e">
        <f t="shared" si="147"/>
        <v>#DIV/0!</v>
      </c>
      <c r="I1978" s="57"/>
      <c r="J1978" s="57"/>
      <c r="K1978" s="57"/>
      <c r="L1978" s="57"/>
      <c r="M1978" s="58"/>
      <c r="N1978" s="57"/>
      <c r="O1978" s="57"/>
      <c r="P1978" s="57"/>
      <c r="Q1978" s="57"/>
      <c r="R1978" s="57"/>
      <c r="S1978" s="61"/>
      <c r="T1978" s="57"/>
      <c r="U1978" s="57"/>
      <c r="V1978" s="57"/>
      <c r="W1978" s="57"/>
      <c r="X1978" s="57"/>
      <c r="Y1978" s="57"/>
      <c r="Z1978" s="57"/>
      <c r="AA1978" s="57"/>
      <c r="AB1978" s="57"/>
      <c r="AC1978" s="57"/>
      <c r="AD1978" s="57"/>
      <c r="AE1978" s="57"/>
      <c r="AF1978" s="57"/>
      <c r="AG1978" s="57"/>
      <c r="AH1978" s="57"/>
      <c r="AI1978" s="57"/>
      <c r="AJ1978" s="57"/>
      <c r="AK1978" s="57"/>
      <c r="AL1978" s="57"/>
      <c r="AM1978" s="57"/>
      <c r="AN1978" s="57"/>
      <c r="AO1978" s="57"/>
      <c r="AP1978" s="57"/>
      <c r="AQ1978" s="57"/>
      <c r="AR1978" s="57"/>
      <c r="AS1978" s="57"/>
      <c r="AT1978" s="57"/>
      <c r="AU1978" s="57"/>
      <c r="AV1978" s="57"/>
      <c r="AW1978" s="57"/>
      <c r="AX1978" s="57"/>
      <c r="AY1978" s="57"/>
      <c r="AZ1978" s="57"/>
      <c r="BA1978" s="57"/>
      <c r="BB1978" s="57"/>
      <c r="BC1978" s="57"/>
      <c r="BD1978" s="57"/>
      <c r="BE1978" s="57"/>
      <c r="BF1978" s="57"/>
    </row>
    <row r="1979" spans="1:58" x14ac:dyDescent="0.25">
      <c r="A1979" s="53"/>
      <c r="B1979" s="60"/>
      <c r="C1979" s="57">
        <f t="shared" si="144"/>
        <v>0</v>
      </c>
      <c r="D1979" s="56"/>
      <c r="E1979" s="57">
        <f>[1]DETAY!$A$2</f>
        <v>0</v>
      </c>
      <c r="F1979" s="90">
        <f t="shared" si="145"/>
        <v>0</v>
      </c>
      <c r="G1979" s="92">
        <f t="shared" si="146"/>
        <v>0</v>
      </c>
      <c r="H1979" s="62" t="e">
        <f t="shared" si="147"/>
        <v>#DIV/0!</v>
      </c>
      <c r="I1979" s="57"/>
      <c r="J1979" s="57"/>
      <c r="K1979" s="57"/>
      <c r="L1979" s="57"/>
      <c r="M1979" s="58"/>
      <c r="N1979" s="57"/>
      <c r="O1979" s="57"/>
      <c r="P1979" s="57"/>
      <c r="Q1979" s="57"/>
      <c r="R1979" s="57"/>
      <c r="S1979" s="61"/>
      <c r="T1979" s="57"/>
      <c r="U1979" s="57"/>
      <c r="V1979" s="57"/>
      <c r="W1979" s="57"/>
      <c r="X1979" s="57"/>
      <c r="Y1979" s="57"/>
      <c r="Z1979" s="57"/>
      <c r="AA1979" s="57"/>
      <c r="AB1979" s="57"/>
      <c r="AC1979" s="57"/>
      <c r="AD1979" s="57"/>
      <c r="AE1979" s="57"/>
      <c r="AF1979" s="57"/>
      <c r="AG1979" s="57"/>
      <c r="AH1979" s="57"/>
      <c r="AI1979" s="57"/>
      <c r="AJ1979" s="57"/>
      <c r="AK1979" s="57"/>
      <c r="AL1979" s="57"/>
      <c r="AM1979" s="57"/>
      <c r="AN1979" s="57"/>
      <c r="AO1979" s="57"/>
      <c r="AP1979" s="57"/>
      <c r="AQ1979" s="57"/>
      <c r="AR1979" s="57"/>
      <c r="AS1979" s="57"/>
      <c r="AT1979" s="57"/>
      <c r="AU1979" s="57"/>
      <c r="AV1979" s="57"/>
      <c r="AW1979" s="57"/>
      <c r="AX1979" s="57"/>
      <c r="AY1979" s="57"/>
      <c r="AZ1979" s="57"/>
      <c r="BA1979" s="57"/>
      <c r="BB1979" s="57"/>
      <c r="BC1979" s="57"/>
      <c r="BD1979" s="57"/>
      <c r="BE1979" s="57"/>
      <c r="BF1979" s="57"/>
    </row>
    <row r="1980" spans="1:58" x14ac:dyDescent="0.25">
      <c r="A1980" s="53"/>
      <c r="B1980" s="60"/>
      <c r="C1980" s="57">
        <f t="shared" si="144"/>
        <v>0</v>
      </c>
      <c r="D1980" s="56"/>
      <c r="E1980" s="57">
        <f>[1]DETAY!$A$2</f>
        <v>0</v>
      </c>
      <c r="F1980" s="90">
        <f t="shared" si="145"/>
        <v>0</v>
      </c>
      <c r="G1980" s="92">
        <f t="shared" si="146"/>
        <v>0</v>
      </c>
      <c r="H1980" s="62" t="e">
        <f t="shared" si="147"/>
        <v>#DIV/0!</v>
      </c>
      <c r="I1980" s="57"/>
      <c r="J1980" s="57"/>
      <c r="K1980" s="57"/>
      <c r="L1980" s="57"/>
      <c r="M1980" s="58"/>
      <c r="N1980" s="57"/>
      <c r="O1980" s="57"/>
      <c r="P1980" s="57"/>
      <c r="Q1980" s="57"/>
      <c r="R1980" s="57"/>
      <c r="S1980" s="61"/>
      <c r="T1980" s="57"/>
      <c r="U1980" s="57"/>
      <c r="V1980" s="57"/>
      <c r="W1980" s="57"/>
      <c r="X1980" s="57"/>
      <c r="Y1980" s="57"/>
      <c r="Z1980" s="57"/>
      <c r="AA1980" s="57"/>
      <c r="AB1980" s="57"/>
      <c r="AC1980" s="57"/>
      <c r="AD1980" s="57"/>
      <c r="AE1980" s="57"/>
      <c r="AF1980" s="57"/>
      <c r="AG1980" s="57"/>
      <c r="AH1980" s="57"/>
      <c r="AI1980" s="57"/>
      <c r="AJ1980" s="57"/>
      <c r="AK1980" s="57"/>
      <c r="AL1980" s="57"/>
      <c r="AM1980" s="57"/>
      <c r="AN1980" s="57"/>
      <c r="AO1980" s="57"/>
      <c r="AP1980" s="57"/>
      <c r="AQ1980" s="57"/>
      <c r="AR1980" s="57"/>
      <c r="AS1980" s="57"/>
      <c r="AT1980" s="57"/>
      <c r="AU1980" s="57"/>
      <c r="AV1980" s="57"/>
      <c r="AW1980" s="57"/>
      <c r="AX1980" s="57"/>
      <c r="AY1980" s="57"/>
      <c r="AZ1980" s="57"/>
      <c r="BA1980" s="57"/>
      <c r="BB1980" s="57"/>
      <c r="BC1980" s="57"/>
      <c r="BD1980" s="57"/>
      <c r="BE1980" s="57"/>
      <c r="BF1980" s="57"/>
    </row>
    <row r="1981" spans="1:58" x14ac:dyDescent="0.25">
      <c r="A1981" s="53"/>
      <c r="B1981" s="60"/>
      <c r="C1981" s="57">
        <f t="shared" si="144"/>
        <v>0</v>
      </c>
      <c r="D1981" s="56"/>
      <c r="E1981" s="57">
        <f>[1]DETAY!$A$2</f>
        <v>0</v>
      </c>
      <c r="F1981" s="90">
        <f t="shared" si="145"/>
        <v>0</v>
      </c>
      <c r="G1981" s="92">
        <f t="shared" si="146"/>
        <v>0</v>
      </c>
      <c r="H1981" s="62" t="e">
        <f t="shared" si="147"/>
        <v>#DIV/0!</v>
      </c>
      <c r="I1981" s="57"/>
      <c r="J1981" s="57"/>
      <c r="K1981" s="57"/>
      <c r="L1981" s="57"/>
      <c r="M1981" s="58"/>
      <c r="N1981" s="57"/>
      <c r="O1981" s="57"/>
      <c r="P1981" s="57"/>
      <c r="Q1981" s="57"/>
      <c r="R1981" s="57"/>
      <c r="S1981" s="61"/>
      <c r="T1981" s="57"/>
      <c r="U1981" s="57"/>
      <c r="V1981" s="57"/>
      <c r="W1981" s="57"/>
      <c r="X1981" s="57"/>
      <c r="Y1981" s="57"/>
      <c r="Z1981" s="57"/>
      <c r="AA1981" s="57"/>
      <c r="AB1981" s="57"/>
      <c r="AC1981" s="57"/>
      <c r="AD1981" s="57"/>
      <c r="AE1981" s="57"/>
      <c r="AF1981" s="57"/>
      <c r="AG1981" s="57"/>
      <c r="AH1981" s="57"/>
      <c r="AI1981" s="57"/>
      <c r="AJ1981" s="57"/>
      <c r="AK1981" s="57"/>
      <c r="AL1981" s="57"/>
      <c r="AM1981" s="57"/>
      <c r="AN1981" s="57"/>
      <c r="AO1981" s="57"/>
      <c r="AP1981" s="57"/>
      <c r="AQ1981" s="57"/>
      <c r="AR1981" s="57"/>
      <c r="AS1981" s="57"/>
      <c r="AT1981" s="57"/>
      <c r="AU1981" s="57"/>
      <c r="AV1981" s="57"/>
      <c r="AW1981" s="57"/>
      <c r="AX1981" s="57"/>
      <c r="AY1981" s="57"/>
      <c r="AZ1981" s="57"/>
      <c r="BA1981" s="57"/>
      <c r="BB1981" s="57"/>
      <c r="BC1981" s="57"/>
      <c r="BD1981" s="57"/>
      <c r="BE1981" s="57"/>
      <c r="BF1981" s="57"/>
    </row>
    <row r="1982" spans="1:58" x14ac:dyDescent="0.25">
      <c r="A1982" s="53"/>
      <c r="B1982" s="60"/>
      <c r="C1982" s="57">
        <f t="shared" si="144"/>
        <v>0</v>
      </c>
      <c r="D1982" s="56"/>
      <c r="E1982" s="57">
        <f>[1]DETAY!$A$2</f>
        <v>0</v>
      </c>
      <c r="F1982" s="90">
        <f t="shared" si="145"/>
        <v>0</v>
      </c>
      <c r="G1982" s="92">
        <f t="shared" si="146"/>
        <v>0</v>
      </c>
      <c r="H1982" s="62" t="e">
        <f t="shared" si="147"/>
        <v>#DIV/0!</v>
      </c>
      <c r="I1982" s="57"/>
      <c r="J1982" s="57"/>
      <c r="K1982" s="57"/>
      <c r="L1982" s="57"/>
      <c r="M1982" s="58"/>
      <c r="N1982" s="57"/>
      <c r="O1982" s="57"/>
      <c r="P1982" s="57"/>
      <c r="Q1982" s="57"/>
      <c r="R1982" s="57"/>
      <c r="S1982" s="61"/>
      <c r="T1982" s="57"/>
      <c r="U1982" s="57"/>
      <c r="V1982" s="57"/>
      <c r="W1982" s="57"/>
      <c r="X1982" s="57"/>
      <c r="Y1982" s="57"/>
      <c r="Z1982" s="57"/>
      <c r="AA1982" s="57"/>
      <c r="AB1982" s="57"/>
      <c r="AC1982" s="57"/>
      <c r="AD1982" s="57"/>
      <c r="AE1982" s="57"/>
      <c r="AF1982" s="57"/>
      <c r="AG1982" s="57"/>
      <c r="AH1982" s="57"/>
      <c r="AI1982" s="57"/>
      <c r="AJ1982" s="57"/>
      <c r="AK1982" s="57"/>
      <c r="AL1982" s="57"/>
      <c r="AM1982" s="57"/>
      <c r="AN1982" s="57"/>
      <c r="AO1982" s="57"/>
      <c r="AP1982" s="57"/>
      <c r="AQ1982" s="57"/>
      <c r="AR1982" s="57"/>
      <c r="AS1982" s="57"/>
      <c r="AT1982" s="57"/>
      <c r="AU1982" s="57"/>
      <c r="AV1982" s="57"/>
      <c r="AW1982" s="57"/>
      <c r="AX1982" s="57"/>
      <c r="AY1982" s="57"/>
      <c r="AZ1982" s="57"/>
      <c r="BA1982" s="57"/>
      <c r="BB1982" s="57"/>
      <c r="BC1982" s="57"/>
      <c r="BD1982" s="57"/>
      <c r="BE1982" s="57"/>
      <c r="BF1982" s="57"/>
    </row>
    <row r="1983" spans="1:58" x14ac:dyDescent="0.25">
      <c r="A1983" s="53"/>
      <c r="B1983" s="60"/>
      <c r="C1983" s="57">
        <f t="shared" si="144"/>
        <v>0</v>
      </c>
      <c r="D1983" s="56"/>
      <c r="E1983" s="57">
        <f>[1]DETAY!$A$2</f>
        <v>0</v>
      </c>
      <c r="F1983" s="90">
        <f t="shared" si="145"/>
        <v>0</v>
      </c>
      <c r="G1983" s="92">
        <f t="shared" si="146"/>
        <v>0</v>
      </c>
      <c r="H1983" s="62" t="e">
        <f t="shared" si="147"/>
        <v>#DIV/0!</v>
      </c>
      <c r="I1983" s="57"/>
      <c r="J1983" s="57"/>
      <c r="K1983" s="57"/>
      <c r="L1983" s="57"/>
      <c r="M1983" s="58"/>
      <c r="N1983" s="57"/>
      <c r="O1983" s="57"/>
      <c r="P1983" s="57"/>
      <c r="Q1983" s="57"/>
      <c r="R1983" s="57"/>
      <c r="S1983" s="61"/>
      <c r="T1983" s="57"/>
      <c r="U1983" s="57"/>
      <c r="V1983" s="57"/>
      <c r="W1983" s="57"/>
      <c r="X1983" s="57"/>
      <c r="Y1983" s="57"/>
      <c r="Z1983" s="57"/>
      <c r="AA1983" s="57"/>
      <c r="AB1983" s="57"/>
      <c r="AC1983" s="57"/>
      <c r="AD1983" s="57"/>
      <c r="AE1983" s="57"/>
      <c r="AF1983" s="57"/>
      <c r="AG1983" s="57"/>
      <c r="AH1983" s="57"/>
      <c r="AI1983" s="57"/>
      <c r="AJ1983" s="57"/>
      <c r="AK1983" s="57"/>
      <c r="AL1983" s="57"/>
      <c r="AM1983" s="57"/>
      <c r="AN1983" s="57"/>
      <c r="AO1983" s="57"/>
      <c r="AP1983" s="57"/>
      <c r="AQ1983" s="57"/>
      <c r="AR1983" s="57"/>
      <c r="AS1983" s="57"/>
      <c r="AT1983" s="57"/>
      <c r="AU1983" s="57"/>
      <c r="AV1983" s="57"/>
      <c r="AW1983" s="57"/>
      <c r="AX1983" s="57"/>
      <c r="AY1983" s="57"/>
      <c r="AZ1983" s="57"/>
      <c r="BA1983" s="57"/>
      <c r="BB1983" s="57"/>
      <c r="BC1983" s="57"/>
      <c r="BD1983" s="57"/>
      <c r="BE1983" s="57"/>
      <c r="BF1983" s="57"/>
    </row>
    <row r="1984" spans="1:58" x14ac:dyDescent="0.25">
      <c r="A1984" s="53"/>
      <c r="B1984" s="60"/>
      <c r="C1984" s="57">
        <f t="shared" si="144"/>
        <v>0</v>
      </c>
      <c r="D1984" s="56"/>
      <c r="E1984" s="57">
        <f>[1]DETAY!$A$2</f>
        <v>0</v>
      </c>
      <c r="F1984" s="90">
        <f t="shared" si="145"/>
        <v>0</v>
      </c>
      <c r="G1984" s="92">
        <f t="shared" si="146"/>
        <v>0</v>
      </c>
      <c r="H1984" s="62" t="e">
        <f t="shared" si="147"/>
        <v>#DIV/0!</v>
      </c>
      <c r="I1984" s="57"/>
      <c r="J1984" s="57"/>
      <c r="K1984" s="57"/>
      <c r="L1984" s="57"/>
      <c r="M1984" s="58"/>
      <c r="N1984" s="57"/>
      <c r="O1984" s="57"/>
      <c r="P1984" s="57"/>
      <c r="Q1984" s="57"/>
      <c r="R1984" s="57"/>
      <c r="S1984" s="61"/>
      <c r="T1984" s="57"/>
      <c r="U1984" s="57"/>
      <c r="V1984" s="57"/>
      <c r="W1984" s="57"/>
      <c r="X1984" s="57"/>
      <c r="Y1984" s="57"/>
      <c r="Z1984" s="57"/>
      <c r="AA1984" s="57"/>
      <c r="AB1984" s="57"/>
      <c r="AC1984" s="57"/>
      <c r="AD1984" s="57"/>
      <c r="AE1984" s="57"/>
      <c r="AF1984" s="57"/>
      <c r="AG1984" s="57"/>
      <c r="AH1984" s="57"/>
      <c r="AI1984" s="57"/>
      <c r="AJ1984" s="57"/>
      <c r="AK1984" s="57"/>
      <c r="AL1984" s="57"/>
      <c r="AM1984" s="57"/>
      <c r="AN1984" s="57"/>
      <c r="AO1984" s="57"/>
      <c r="AP1984" s="57"/>
      <c r="AQ1984" s="57"/>
      <c r="AR1984" s="57"/>
      <c r="AS1984" s="57"/>
      <c r="AT1984" s="57"/>
      <c r="AU1984" s="57"/>
      <c r="AV1984" s="57"/>
      <c r="AW1984" s="57"/>
      <c r="AX1984" s="57"/>
      <c r="AY1984" s="57"/>
      <c r="AZ1984" s="57"/>
      <c r="BA1984" s="57"/>
      <c r="BB1984" s="57"/>
      <c r="BC1984" s="57"/>
      <c r="BD1984" s="57"/>
      <c r="BE1984" s="57"/>
      <c r="BF1984" s="57"/>
    </row>
    <row r="1985" spans="1:58" x14ac:dyDescent="0.25">
      <c r="A1985" s="53"/>
      <c r="B1985" s="60"/>
      <c r="C1985" s="57">
        <f t="shared" si="144"/>
        <v>0</v>
      </c>
      <c r="D1985" s="56"/>
      <c r="E1985" s="57">
        <f>[1]DETAY!$A$2</f>
        <v>0</v>
      </c>
      <c r="F1985" s="90">
        <f t="shared" si="145"/>
        <v>0</v>
      </c>
      <c r="G1985" s="92">
        <f t="shared" si="146"/>
        <v>0</v>
      </c>
      <c r="H1985" s="62" t="e">
        <f t="shared" si="147"/>
        <v>#DIV/0!</v>
      </c>
      <c r="I1985" s="57"/>
      <c r="J1985" s="57"/>
      <c r="K1985" s="57"/>
      <c r="L1985" s="57"/>
      <c r="M1985" s="58"/>
      <c r="N1985" s="57"/>
      <c r="O1985" s="57"/>
      <c r="P1985" s="57"/>
      <c r="Q1985" s="57"/>
      <c r="R1985" s="57"/>
      <c r="S1985" s="61"/>
      <c r="T1985" s="57"/>
      <c r="U1985" s="57"/>
      <c r="V1985" s="57"/>
      <c r="W1985" s="57"/>
      <c r="X1985" s="57"/>
      <c r="Y1985" s="57"/>
      <c r="Z1985" s="57"/>
      <c r="AA1985" s="57"/>
      <c r="AB1985" s="57"/>
      <c r="AC1985" s="57"/>
      <c r="AD1985" s="57"/>
      <c r="AE1985" s="57"/>
      <c r="AF1985" s="57"/>
      <c r="AG1985" s="57"/>
      <c r="AH1985" s="57"/>
      <c r="AI1985" s="57"/>
      <c r="AJ1985" s="57"/>
      <c r="AK1985" s="57"/>
      <c r="AL1985" s="57"/>
      <c r="AM1985" s="57"/>
      <c r="AN1985" s="57"/>
      <c r="AO1985" s="57"/>
      <c r="AP1985" s="57"/>
      <c r="AQ1985" s="57"/>
      <c r="AR1985" s="57"/>
      <c r="AS1985" s="57"/>
      <c r="AT1985" s="57"/>
      <c r="AU1985" s="57"/>
      <c r="AV1985" s="57"/>
      <c r="AW1985" s="57"/>
      <c r="AX1985" s="57"/>
      <c r="AY1985" s="57"/>
      <c r="AZ1985" s="57"/>
      <c r="BA1985" s="57"/>
      <c r="BB1985" s="57"/>
      <c r="BC1985" s="57"/>
      <c r="BD1985" s="57"/>
      <c r="BE1985" s="57"/>
      <c r="BF1985" s="57"/>
    </row>
    <row r="1986" spans="1:58" x14ac:dyDescent="0.25">
      <c r="A1986" s="53"/>
      <c r="B1986" s="60"/>
      <c r="C1986" s="57">
        <f t="shared" si="144"/>
        <v>0</v>
      </c>
      <c r="D1986" s="56"/>
      <c r="E1986" s="57">
        <f>[1]DETAY!$A$2</f>
        <v>0</v>
      </c>
      <c r="F1986" s="90">
        <f t="shared" si="145"/>
        <v>0</v>
      </c>
      <c r="G1986" s="92">
        <f t="shared" si="146"/>
        <v>0</v>
      </c>
      <c r="H1986" s="62" t="e">
        <f t="shared" si="147"/>
        <v>#DIV/0!</v>
      </c>
      <c r="I1986" s="57"/>
      <c r="J1986" s="57"/>
      <c r="K1986" s="57"/>
      <c r="L1986" s="57"/>
      <c r="M1986" s="58"/>
      <c r="N1986" s="57"/>
      <c r="O1986" s="57"/>
      <c r="P1986" s="57"/>
      <c r="Q1986" s="57"/>
      <c r="R1986" s="57"/>
      <c r="S1986" s="61"/>
      <c r="T1986" s="57"/>
      <c r="U1986" s="57"/>
      <c r="V1986" s="57"/>
      <c r="W1986" s="57"/>
      <c r="X1986" s="57"/>
      <c r="Y1986" s="57"/>
      <c r="Z1986" s="57"/>
      <c r="AA1986" s="57"/>
      <c r="AB1986" s="57"/>
      <c r="AC1986" s="57"/>
      <c r="AD1986" s="57"/>
      <c r="AE1986" s="57"/>
      <c r="AF1986" s="57"/>
      <c r="AG1986" s="57"/>
      <c r="AH1986" s="57"/>
      <c r="AI1986" s="57"/>
      <c r="AJ1986" s="57"/>
      <c r="AK1986" s="57"/>
      <c r="AL1986" s="57"/>
      <c r="AM1986" s="57"/>
      <c r="AN1986" s="57"/>
      <c r="AO1986" s="57"/>
      <c r="AP1986" s="57"/>
      <c r="AQ1986" s="57"/>
      <c r="AR1986" s="57"/>
      <c r="AS1986" s="57"/>
      <c r="AT1986" s="57"/>
      <c r="AU1986" s="57"/>
      <c r="AV1986" s="57"/>
      <c r="AW1986" s="57"/>
      <c r="AX1986" s="57"/>
      <c r="AY1986" s="57"/>
      <c r="AZ1986" s="57"/>
      <c r="BA1986" s="57"/>
      <c r="BB1986" s="57"/>
      <c r="BC1986" s="57"/>
      <c r="BD1986" s="57"/>
      <c r="BE1986" s="57"/>
      <c r="BF1986" s="57"/>
    </row>
    <row r="1987" spans="1:58" x14ac:dyDescent="0.25">
      <c r="A1987" s="53"/>
      <c r="B1987" s="60"/>
      <c r="C1987" s="57">
        <f t="shared" si="144"/>
        <v>0</v>
      </c>
      <c r="D1987" s="56"/>
      <c r="E1987" s="57">
        <f>[1]DETAY!$A$2</f>
        <v>0</v>
      </c>
      <c r="F1987" s="90">
        <f t="shared" si="145"/>
        <v>0</v>
      </c>
      <c r="G1987" s="92">
        <f t="shared" si="146"/>
        <v>0</v>
      </c>
      <c r="H1987" s="62" t="e">
        <f t="shared" si="147"/>
        <v>#DIV/0!</v>
      </c>
      <c r="I1987" s="57"/>
      <c r="J1987" s="57"/>
      <c r="K1987" s="57"/>
      <c r="L1987" s="57"/>
      <c r="M1987" s="58"/>
      <c r="N1987" s="57"/>
      <c r="O1987" s="57"/>
      <c r="P1987" s="57"/>
      <c r="Q1987" s="57"/>
      <c r="R1987" s="57"/>
      <c r="S1987" s="61"/>
      <c r="T1987" s="57"/>
      <c r="U1987" s="57"/>
      <c r="V1987" s="57"/>
      <c r="W1987" s="57"/>
      <c r="X1987" s="57"/>
      <c r="Y1987" s="57"/>
      <c r="Z1987" s="57"/>
      <c r="AA1987" s="57"/>
      <c r="AB1987" s="57"/>
      <c r="AC1987" s="57"/>
      <c r="AD1987" s="57"/>
      <c r="AE1987" s="57"/>
      <c r="AF1987" s="57"/>
      <c r="AG1987" s="57"/>
      <c r="AH1987" s="57"/>
      <c r="AI1987" s="57"/>
      <c r="AJ1987" s="57"/>
      <c r="AK1987" s="57"/>
      <c r="AL1987" s="57"/>
      <c r="AM1987" s="57"/>
      <c r="AN1987" s="57"/>
      <c r="AO1987" s="57"/>
      <c r="AP1987" s="57"/>
      <c r="AQ1987" s="57"/>
      <c r="AR1987" s="57"/>
      <c r="AS1987" s="57"/>
      <c r="AT1987" s="57"/>
      <c r="AU1987" s="57"/>
      <c r="AV1987" s="57"/>
      <c r="AW1987" s="57"/>
      <c r="AX1987" s="57"/>
      <c r="AY1987" s="57"/>
      <c r="AZ1987" s="57"/>
      <c r="BA1987" s="57"/>
      <c r="BB1987" s="57"/>
      <c r="BC1987" s="57"/>
      <c r="BD1987" s="57"/>
      <c r="BE1987" s="57"/>
      <c r="BF1987" s="57"/>
    </row>
    <row r="1988" spans="1:58" x14ac:dyDescent="0.25">
      <c r="A1988" s="53"/>
      <c r="B1988" s="60"/>
      <c r="C1988" s="57">
        <f t="shared" si="144"/>
        <v>0</v>
      </c>
      <c r="D1988" s="56"/>
      <c r="E1988" s="57">
        <f>[1]DETAY!$A$2</f>
        <v>0</v>
      </c>
      <c r="F1988" s="90">
        <f t="shared" si="145"/>
        <v>0</v>
      </c>
      <c r="G1988" s="92">
        <f t="shared" si="146"/>
        <v>0</v>
      </c>
      <c r="H1988" s="62" t="e">
        <f t="shared" si="147"/>
        <v>#DIV/0!</v>
      </c>
      <c r="I1988" s="57"/>
      <c r="J1988" s="57"/>
      <c r="K1988" s="57"/>
      <c r="L1988" s="57"/>
      <c r="M1988" s="58"/>
      <c r="N1988" s="57"/>
      <c r="O1988" s="57"/>
      <c r="P1988" s="57"/>
      <c r="Q1988" s="57"/>
      <c r="R1988" s="57"/>
      <c r="S1988" s="61"/>
      <c r="T1988" s="57"/>
      <c r="U1988" s="57"/>
      <c r="V1988" s="57"/>
      <c r="W1988" s="57"/>
      <c r="X1988" s="57"/>
      <c r="Y1988" s="57"/>
      <c r="Z1988" s="57"/>
      <c r="AA1988" s="57"/>
      <c r="AB1988" s="57"/>
      <c r="AC1988" s="57"/>
      <c r="AD1988" s="57"/>
      <c r="AE1988" s="57"/>
      <c r="AF1988" s="57"/>
      <c r="AG1988" s="57"/>
      <c r="AH1988" s="57"/>
      <c r="AI1988" s="57"/>
      <c r="AJ1988" s="57"/>
      <c r="AK1988" s="57"/>
      <c r="AL1988" s="57"/>
      <c r="AM1988" s="57"/>
      <c r="AN1988" s="57"/>
      <c r="AO1988" s="57"/>
      <c r="AP1988" s="57"/>
      <c r="AQ1988" s="57"/>
      <c r="AR1988" s="57"/>
      <c r="AS1988" s="57"/>
      <c r="AT1988" s="57"/>
      <c r="AU1988" s="57"/>
      <c r="AV1988" s="57"/>
      <c r="AW1988" s="57"/>
      <c r="AX1988" s="57"/>
      <c r="AY1988" s="57"/>
      <c r="AZ1988" s="57"/>
      <c r="BA1988" s="57"/>
      <c r="BB1988" s="57"/>
      <c r="BC1988" s="57"/>
      <c r="BD1988" s="57"/>
      <c r="BE1988" s="57"/>
      <c r="BF1988" s="57"/>
    </row>
    <row r="1989" spans="1:58" x14ac:dyDescent="0.25">
      <c r="A1989" s="53"/>
      <c r="B1989" s="60"/>
      <c r="C1989" s="57">
        <f t="shared" si="144"/>
        <v>0</v>
      </c>
      <c r="D1989" s="56"/>
      <c r="E1989" s="57">
        <f>[1]DETAY!$A$2</f>
        <v>0</v>
      </c>
      <c r="F1989" s="90">
        <f t="shared" si="145"/>
        <v>0</v>
      </c>
      <c r="G1989" s="92">
        <f t="shared" si="146"/>
        <v>0</v>
      </c>
      <c r="H1989" s="62" t="e">
        <f t="shared" si="147"/>
        <v>#DIV/0!</v>
      </c>
      <c r="I1989" s="57"/>
      <c r="J1989" s="57"/>
      <c r="K1989" s="57"/>
      <c r="L1989" s="57"/>
      <c r="M1989" s="58"/>
      <c r="N1989" s="57"/>
      <c r="O1989" s="57"/>
      <c r="P1989" s="57"/>
      <c r="Q1989" s="57"/>
      <c r="R1989" s="57"/>
      <c r="S1989" s="61"/>
      <c r="T1989" s="57"/>
      <c r="U1989" s="57"/>
      <c r="V1989" s="57"/>
      <c r="W1989" s="57"/>
      <c r="X1989" s="57"/>
      <c r="Y1989" s="57"/>
      <c r="Z1989" s="57"/>
      <c r="AA1989" s="57"/>
      <c r="AB1989" s="57"/>
      <c r="AC1989" s="57"/>
      <c r="AD1989" s="57"/>
      <c r="AE1989" s="57"/>
      <c r="AF1989" s="57"/>
      <c r="AG1989" s="57"/>
      <c r="AH1989" s="57"/>
      <c r="AI1989" s="57"/>
      <c r="AJ1989" s="57"/>
      <c r="AK1989" s="57"/>
      <c r="AL1989" s="57"/>
      <c r="AM1989" s="57"/>
      <c r="AN1989" s="57"/>
      <c r="AO1989" s="57"/>
      <c r="AP1989" s="57"/>
      <c r="AQ1989" s="57"/>
      <c r="AR1989" s="57"/>
      <c r="AS1989" s="57"/>
      <c r="AT1989" s="57"/>
      <c r="AU1989" s="57"/>
      <c r="AV1989" s="57"/>
      <c r="AW1989" s="57"/>
      <c r="AX1989" s="57"/>
      <c r="AY1989" s="57"/>
      <c r="AZ1989" s="57"/>
      <c r="BA1989" s="57"/>
      <c r="BB1989" s="57"/>
      <c r="BC1989" s="57"/>
      <c r="BD1989" s="57"/>
      <c r="BE1989" s="57"/>
      <c r="BF1989" s="57"/>
    </row>
    <row r="1990" spans="1:58" x14ac:dyDescent="0.25">
      <c r="A1990" s="53"/>
      <c r="B1990" s="60"/>
      <c r="C1990" s="57">
        <f t="shared" si="144"/>
        <v>0</v>
      </c>
      <c r="D1990" s="56"/>
      <c r="E1990" s="57">
        <f>[1]DETAY!$A$2</f>
        <v>0</v>
      </c>
      <c r="F1990" s="90">
        <f t="shared" si="145"/>
        <v>0</v>
      </c>
      <c r="G1990" s="92">
        <f t="shared" si="146"/>
        <v>0</v>
      </c>
      <c r="H1990" s="62" t="e">
        <f t="shared" si="147"/>
        <v>#DIV/0!</v>
      </c>
      <c r="I1990" s="57"/>
      <c r="J1990" s="57"/>
      <c r="K1990" s="57"/>
      <c r="L1990" s="57"/>
      <c r="M1990" s="58"/>
      <c r="N1990" s="57"/>
      <c r="O1990" s="57"/>
      <c r="P1990" s="57"/>
      <c r="Q1990" s="57"/>
      <c r="R1990" s="57"/>
      <c r="S1990" s="61"/>
      <c r="T1990" s="57"/>
      <c r="U1990" s="57"/>
      <c r="V1990" s="57"/>
      <c r="W1990" s="57"/>
      <c r="X1990" s="57"/>
      <c r="Y1990" s="57"/>
      <c r="Z1990" s="57"/>
      <c r="AA1990" s="57"/>
      <c r="AB1990" s="57"/>
      <c r="AC1990" s="57"/>
      <c r="AD1990" s="57"/>
      <c r="AE1990" s="57"/>
      <c r="AF1990" s="57"/>
      <c r="AG1990" s="57"/>
      <c r="AH1990" s="57"/>
      <c r="AI1990" s="57"/>
      <c r="AJ1990" s="57"/>
      <c r="AK1990" s="57"/>
      <c r="AL1990" s="57"/>
      <c r="AM1990" s="57"/>
      <c r="AN1990" s="57"/>
      <c r="AO1990" s="57"/>
      <c r="AP1990" s="57"/>
      <c r="AQ1990" s="57"/>
      <c r="AR1990" s="57"/>
      <c r="AS1990" s="57"/>
      <c r="AT1990" s="57"/>
      <c r="AU1990" s="57"/>
      <c r="AV1990" s="57"/>
      <c r="AW1990" s="57"/>
      <c r="AX1990" s="57"/>
      <c r="AY1990" s="57"/>
      <c r="AZ1990" s="57"/>
      <c r="BA1990" s="57"/>
      <c r="BB1990" s="57"/>
      <c r="BC1990" s="57"/>
      <c r="BD1990" s="57"/>
      <c r="BE1990" s="57"/>
      <c r="BF1990" s="57"/>
    </row>
    <row r="1991" spans="1:58" x14ac:dyDescent="0.25">
      <c r="A1991" s="53"/>
      <c r="B1991" s="60"/>
      <c r="C1991" s="57">
        <f t="shared" si="144"/>
        <v>0</v>
      </c>
      <c r="D1991" s="56"/>
      <c r="E1991" s="57">
        <f>[1]DETAY!$A$2</f>
        <v>0</v>
      </c>
      <c r="F1991" s="90">
        <f t="shared" si="145"/>
        <v>0</v>
      </c>
      <c r="G1991" s="92">
        <f t="shared" si="146"/>
        <v>0</v>
      </c>
      <c r="H1991" s="62" t="e">
        <f t="shared" si="147"/>
        <v>#DIV/0!</v>
      </c>
      <c r="I1991" s="57"/>
      <c r="J1991" s="57"/>
      <c r="K1991" s="57"/>
      <c r="L1991" s="57"/>
      <c r="M1991" s="58"/>
      <c r="N1991" s="57"/>
      <c r="O1991" s="57"/>
      <c r="P1991" s="57"/>
      <c r="Q1991" s="57"/>
      <c r="R1991" s="57"/>
      <c r="S1991" s="61"/>
      <c r="T1991" s="57"/>
      <c r="U1991" s="57"/>
      <c r="V1991" s="57"/>
      <c r="W1991" s="57"/>
      <c r="X1991" s="57"/>
      <c r="Y1991" s="57"/>
      <c r="Z1991" s="57"/>
      <c r="AA1991" s="57"/>
      <c r="AB1991" s="57"/>
      <c r="AC1991" s="57"/>
      <c r="AD1991" s="57"/>
      <c r="AE1991" s="57"/>
      <c r="AF1991" s="57"/>
      <c r="AG1991" s="57"/>
      <c r="AH1991" s="57"/>
      <c r="AI1991" s="57"/>
      <c r="AJ1991" s="57"/>
      <c r="AK1991" s="57"/>
      <c r="AL1991" s="57"/>
      <c r="AM1991" s="57"/>
      <c r="AN1991" s="57"/>
      <c r="AO1991" s="57"/>
      <c r="AP1991" s="57"/>
      <c r="AQ1991" s="57"/>
      <c r="AR1991" s="57"/>
      <c r="AS1991" s="57"/>
      <c r="AT1991" s="57"/>
      <c r="AU1991" s="57"/>
      <c r="AV1991" s="57"/>
      <c r="AW1991" s="57"/>
      <c r="AX1991" s="57"/>
      <c r="AY1991" s="57"/>
      <c r="AZ1991" s="57"/>
      <c r="BA1991" s="57"/>
      <c r="BB1991" s="57"/>
      <c r="BC1991" s="57"/>
      <c r="BD1991" s="57"/>
      <c r="BE1991" s="57"/>
      <c r="BF1991" s="57"/>
    </row>
    <row r="1992" spans="1:58" x14ac:dyDescent="0.25">
      <c r="A1992" s="53"/>
      <c r="B1992" s="60"/>
      <c r="C1992" s="57">
        <f t="shared" ref="C1992:C2041" si="148">WEEKNUM(B1992)</f>
        <v>0</v>
      </c>
      <c r="D1992" s="56"/>
      <c r="E1992" s="57">
        <f>[1]DETAY!$A$2</f>
        <v>0</v>
      </c>
      <c r="F1992" s="90">
        <f t="shared" ref="F1992:F2041" si="149">D1992-G1992</f>
        <v>0</v>
      </c>
      <c r="G1992" s="92">
        <f t="shared" ref="G1992:G2041" si="150">SUBTOTAL(9,I1992:BD1992)</f>
        <v>0</v>
      </c>
      <c r="H1992" s="62" t="e">
        <f t="shared" ref="H1992:H2041" si="151">F1992/D1992</f>
        <v>#DIV/0!</v>
      </c>
      <c r="I1992" s="57"/>
      <c r="J1992" s="57"/>
      <c r="K1992" s="57"/>
      <c r="L1992" s="57"/>
      <c r="M1992" s="58"/>
      <c r="N1992" s="57"/>
      <c r="O1992" s="57"/>
      <c r="P1992" s="57"/>
      <c r="Q1992" s="57"/>
      <c r="R1992" s="57"/>
      <c r="S1992" s="61"/>
      <c r="T1992" s="57"/>
      <c r="U1992" s="57"/>
      <c r="V1992" s="57"/>
      <c r="W1992" s="57"/>
      <c r="X1992" s="57"/>
      <c r="Y1992" s="57"/>
      <c r="Z1992" s="57"/>
      <c r="AA1992" s="57"/>
      <c r="AB1992" s="57"/>
      <c r="AC1992" s="57"/>
      <c r="AD1992" s="57"/>
      <c r="AE1992" s="57"/>
      <c r="AF1992" s="57"/>
      <c r="AG1992" s="57"/>
      <c r="AH1992" s="57"/>
      <c r="AI1992" s="57"/>
      <c r="AJ1992" s="57"/>
      <c r="AK1992" s="57"/>
      <c r="AL1992" s="57"/>
      <c r="AM1992" s="57"/>
      <c r="AN1992" s="57"/>
      <c r="AO1992" s="57"/>
      <c r="AP1992" s="57"/>
      <c r="AQ1992" s="57"/>
      <c r="AR1992" s="57"/>
      <c r="AS1992" s="57"/>
      <c r="AT1992" s="57"/>
      <c r="AU1992" s="57"/>
      <c r="AV1992" s="57"/>
      <c r="AW1992" s="57"/>
      <c r="AX1992" s="57"/>
      <c r="AY1992" s="57"/>
      <c r="AZ1992" s="57"/>
      <c r="BA1992" s="57"/>
      <c r="BB1992" s="57"/>
      <c r="BC1992" s="57"/>
      <c r="BD1992" s="57"/>
      <c r="BE1992" s="57"/>
      <c r="BF1992" s="57"/>
    </row>
    <row r="1993" spans="1:58" x14ac:dyDescent="0.25">
      <c r="A1993" s="53"/>
      <c r="B1993" s="60"/>
      <c r="C1993" s="57">
        <f t="shared" si="148"/>
        <v>0</v>
      </c>
      <c r="D1993" s="56"/>
      <c r="E1993" s="57">
        <f>[1]DETAY!$A$2</f>
        <v>0</v>
      </c>
      <c r="F1993" s="90">
        <f t="shared" si="149"/>
        <v>0</v>
      </c>
      <c r="G1993" s="92">
        <f t="shared" si="150"/>
        <v>0</v>
      </c>
      <c r="H1993" s="62" t="e">
        <f t="shared" si="151"/>
        <v>#DIV/0!</v>
      </c>
      <c r="I1993" s="57"/>
      <c r="J1993" s="57"/>
      <c r="K1993" s="57"/>
      <c r="L1993" s="57"/>
      <c r="M1993" s="58"/>
      <c r="N1993" s="57"/>
      <c r="O1993" s="57"/>
      <c r="P1993" s="57"/>
      <c r="Q1993" s="57"/>
      <c r="R1993" s="57"/>
      <c r="S1993" s="61"/>
      <c r="T1993" s="57"/>
      <c r="U1993" s="57"/>
      <c r="V1993" s="57"/>
      <c r="W1993" s="57"/>
      <c r="X1993" s="57"/>
      <c r="Y1993" s="57"/>
      <c r="Z1993" s="57"/>
      <c r="AA1993" s="57"/>
      <c r="AB1993" s="57"/>
      <c r="AC1993" s="57"/>
      <c r="AD1993" s="57"/>
      <c r="AE1993" s="57"/>
      <c r="AF1993" s="57"/>
      <c r="AG1993" s="57"/>
      <c r="AH1993" s="57"/>
      <c r="AI1993" s="57"/>
      <c r="AJ1993" s="57"/>
      <c r="AK1993" s="57"/>
      <c r="AL1993" s="57"/>
      <c r="AM1993" s="57"/>
      <c r="AN1993" s="57"/>
      <c r="AO1993" s="57"/>
      <c r="AP1993" s="57"/>
      <c r="AQ1993" s="57"/>
      <c r="AR1993" s="57"/>
      <c r="AS1993" s="57"/>
      <c r="AT1993" s="57"/>
      <c r="AU1993" s="57"/>
      <c r="AV1993" s="57"/>
      <c r="AW1993" s="57"/>
      <c r="AX1993" s="57"/>
      <c r="AY1993" s="57"/>
      <c r="AZ1993" s="57"/>
      <c r="BA1993" s="57"/>
      <c r="BB1993" s="57"/>
      <c r="BC1993" s="57"/>
      <c r="BD1993" s="57"/>
      <c r="BE1993" s="57"/>
      <c r="BF1993" s="57"/>
    </row>
    <row r="1994" spans="1:58" x14ac:dyDescent="0.25">
      <c r="A1994" s="53"/>
      <c r="B1994" s="60"/>
      <c r="C1994" s="57">
        <f t="shared" si="148"/>
        <v>0</v>
      </c>
      <c r="D1994" s="56"/>
      <c r="E1994" s="57">
        <f>[1]DETAY!$A$2</f>
        <v>0</v>
      </c>
      <c r="F1994" s="90">
        <f t="shared" si="149"/>
        <v>0</v>
      </c>
      <c r="G1994" s="92">
        <f t="shared" si="150"/>
        <v>0</v>
      </c>
      <c r="H1994" s="62" t="e">
        <f t="shared" si="151"/>
        <v>#DIV/0!</v>
      </c>
      <c r="I1994" s="57"/>
      <c r="J1994" s="57"/>
      <c r="K1994" s="57"/>
      <c r="L1994" s="57"/>
      <c r="M1994" s="58"/>
      <c r="N1994" s="57"/>
      <c r="O1994" s="57"/>
      <c r="P1994" s="57"/>
      <c r="Q1994" s="57"/>
      <c r="R1994" s="57"/>
      <c r="S1994" s="61"/>
      <c r="T1994" s="57"/>
      <c r="U1994" s="57"/>
      <c r="V1994" s="57"/>
      <c r="W1994" s="57"/>
      <c r="X1994" s="57"/>
      <c r="Y1994" s="57"/>
      <c r="Z1994" s="57"/>
      <c r="AA1994" s="57"/>
      <c r="AB1994" s="57"/>
      <c r="AC1994" s="57"/>
      <c r="AD1994" s="57"/>
      <c r="AE1994" s="57"/>
      <c r="AF1994" s="57"/>
      <c r="AG1994" s="57"/>
      <c r="AH1994" s="57"/>
      <c r="AI1994" s="57"/>
      <c r="AJ1994" s="57"/>
      <c r="AK1994" s="57"/>
      <c r="AL1994" s="57"/>
      <c r="AM1994" s="57"/>
      <c r="AN1994" s="57"/>
      <c r="AO1994" s="57"/>
      <c r="AP1994" s="57"/>
      <c r="AQ1994" s="57"/>
      <c r="AR1994" s="57"/>
      <c r="AS1994" s="57"/>
      <c r="AT1994" s="57"/>
      <c r="AU1994" s="57"/>
      <c r="AV1994" s="57"/>
      <c r="AW1994" s="57"/>
      <c r="AX1994" s="57"/>
      <c r="AY1994" s="57"/>
      <c r="AZ1994" s="57"/>
      <c r="BA1994" s="57"/>
      <c r="BB1994" s="57"/>
      <c r="BC1994" s="57"/>
      <c r="BD1994" s="57"/>
      <c r="BE1994" s="57"/>
      <c r="BF1994" s="57"/>
    </row>
    <row r="1995" spans="1:58" x14ac:dyDescent="0.25">
      <c r="A1995" s="53"/>
      <c r="B1995" s="60"/>
      <c r="C1995" s="57">
        <f t="shared" si="148"/>
        <v>0</v>
      </c>
      <c r="D1995" s="56"/>
      <c r="E1995" s="57">
        <f>[1]DETAY!$A$2</f>
        <v>0</v>
      </c>
      <c r="F1995" s="90">
        <f t="shared" si="149"/>
        <v>0</v>
      </c>
      <c r="G1995" s="92">
        <f t="shared" si="150"/>
        <v>0</v>
      </c>
      <c r="H1995" s="62" t="e">
        <f t="shared" si="151"/>
        <v>#DIV/0!</v>
      </c>
      <c r="I1995" s="57"/>
      <c r="J1995" s="57"/>
      <c r="K1995" s="57"/>
      <c r="L1995" s="57"/>
      <c r="M1995" s="58"/>
      <c r="N1995" s="57"/>
      <c r="O1995" s="57"/>
      <c r="P1995" s="57"/>
      <c r="Q1995" s="57"/>
      <c r="R1995" s="57"/>
      <c r="S1995" s="61"/>
      <c r="T1995" s="57"/>
      <c r="U1995" s="57"/>
      <c r="V1995" s="57"/>
      <c r="W1995" s="57"/>
      <c r="X1995" s="57"/>
      <c r="Y1995" s="57"/>
      <c r="Z1995" s="57"/>
      <c r="AA1995" s="57"/>
      <c r="AB1995" s="57"/>
      <c r="AC1995" s="57"/>
      <c r="AD1995" s="57"/>
      <c r="AE1995" s="57"/>
      <c r="AF1995" s="57"/>
      <c r="AG1995" s="57"/>
      <c r="AH1995" s="57"/>
      <c r="AI1995" s="57"/>
      <c r="AJ1995" s="57"/>
      <c r="AK1995" s="57"/>
      <c r="AL1995" s="57"/>
      <c r="AM1995" s="57"/>
      <c r="AN1995" s="57"/>
      <c r="AO1995" s="57"/>
      <c r="AP1995" s="57"/>
      <c r="AQ1995" s="57"/>
      <c r="AR1995" s="57"/>
      <c r="AS1995" s="57"/>
      <c r="AT1995" s="57"/>
      <c r="AU1995" s="57"/>
      <c r="AV1995" s="57"/>
      <c r="AW1995" s="57"/>
      <c r="AX1995" s="57"/>
      <c r="AY1995" s="57"/>
      <c r="AZ1995" s="57"/>
      <c r="BA1995" s="57"/>
      <c r="BB1995" s="57"/>
      <c r="BC1995" s="57"/>
      <c r="BD1995" s="57"/>
      <c r="BE1995" s="57"/>
      <c r="BF1995" s="57"/>
    </row>
    <row r="1996" spans="1:58" x14ac:dyDescent="0.25">
      <c r="A1996" s="53"/>
      <c r="B1996" s="60"/>
      <c r="C1996" s="57">
        <f t="shared" si="148"/>
        <v>0</v>
      </c>
      <c r="D1996" s="56"/>
      <c r="E1996" s="57">
        <f>[1]DETAY!$A$2</f>
        <v>0</v>
      </c>
      <c r="F1996" s="90">
        <f t="shared" si="149"/>
        <v>0</v>
      </c>
      <c r="G1996" s="92">
        <f t="shared" si="150"/>
        <v>0</v>
      </c>
      <c r="H1996" s="62" t="e">
        <f t="shared" si="151"/>
        <v>#DIV/0!</v>
      </c>
      <c r="I1996" s="57"/>
      <c r="J1996" s="57"/>
      <c r="K1996" s="57"/>
      <c r="L1996" s="57"/>
      <c r="M1996" s="58"/>
      <c r="N1996" s="57"/>
      <c r="O1996" s="57"/>
      <c r="P1996" s="57"/>
      <c r="Q1996" s="57"/>
      <c r="R1996" s="57"/>
      <c r="S1996" s="61"/>
      <c r="T1996" s="57"/>
      <c r="U1996" s="57"/>
      <c r="V1996" s="57"/>
      <c r="W1996" s="57"/>
      <c r="X1996" s="57"/>
      <c r="Y1996" s="57"/>
      <c r="Z1996" s="57"/>
      <c r="AA1996" s="57"/>
      <c r="AB1996" s="57"/>
      <c r="AC1996" s="57"/>
      <c r="AD1996" s="57"/>
      <c r="AE1996" s="57"/>
      <c r="AF1996" s="57"/>
      <c r="AG1996" s="57"/>
      <c r="AH1996" s="57"/>
      <c r="AI1996" s="57"/>
      <c r="AJ1996" s="57"/>
      <c r="AK1996" s="57"/>
      <c r="AL1996" s="57"/>
      <c r="AM1996" s="57"/>
      <c r="AN1996" s="57"/>
      <c r="AO1996" s="57"/>
      <c r="AP1996" s="57"/>
      <c r="AQ1996" s="57"/>
      <c r="AR1996" s="57"/>
      <c r="AS1996" s="57"/>
      <c r="AT1996" s="57"/>
      <c r="AU1996" s="57"/>
      <c r="AV1996" s="57"/>
      <c r="AW1996" s="57"/>
      <c r="AX1996" s="57"/>
      <c r="AY1996" s="57"/>
      <c r="AZ1996" s="57"/>
      <c r="BA1996" s="57"/>
      <c r="BB1996" s="57"/>
      <c r="BC1996" s="57"/>
      <c r="BD1996" s="57"/>
      <c r="BE1996" s="57"/>
      <c r="BF1996" s="57"/>
    </row>
    <row r="1997" spans="1:58" x14ac:dyDescent="0.25">
      <c r="A1997" s="53"/>
      <c r="B1997" s="60"/>
      <c r="C1997" s="57">
        <f t="shared" si="148"/>
        <v>0</v>
      </c>
      <c r="D1997" s="56"/>
      <c r="E1997" s="57">
        <f>[1]DETAY!$A$2</f>
        <v>0</v>
      </c>
      <c r="F1997" s="90">
        <f t="shared" si="149"/>
        <v>0</v>
      </c>
      <c r="G1997" s="92">
        <f t="shared" si="150"/>
        <v>0</v>
      </c>
      <c r="H1997" s="62" t="e">
        <f t="shared" si="151"/>
        <v>#DIV/0!</v>
      </c>
      <c r="I1997" s="57"/>
      <c r="J1997" s="57"/>
      <c r="K1997" s="57"/>
      <c r="L1997" s="57"/>
      <c r="M1997" s="58"/>
      <c r="N1997" s="57"/>
      <c r="O1997" s="57"/>
      <c r="P1997" s="57"/>
      <c r="Q1997" s="57"/>
      <c r="R1997" s="57"/>
      <c r="S1997" s="61"/>
      <c r="T1997" s="57"/>
      <c r="U1997" s="57"/>
      <c r="V1997" s="57"/>
      <c r="W1997" s="57"/>
      <c r="X1997" s="57"/>
      <c r="Y1997" s="57"/>
      <c r="Z1997" s="57"/>
      <c r="AA1997" s="57"/>
      <c r="AB1997" s="57"/>
      <c r="AC1997" s="57"/>
      <c r="AD1997" s="57"/>
      <c r="AE1997" s="57"/>
      <c r="AF1997" s="57"/>
      <c r="AG1997" s="57"/>
      <c r="AH1997" s="57"/>
      <c r="AI1997" s="57"/>
      <c r="AJ1997" s="57"/>
      <c r="AK1997" s="57"/>
      <c r="AL1997" s="57"/>
      <c r="AM1997" s="57"/>
      <c r="AN1997" s="57"/>
      <c r="AO1997" s="57"/>
      <c r="AP1997" s="57"/>
      <c r="AQ1997" s="57"/>
      <c r="AR1997" s="57"/>
      <c r="AS1997" s="57"/>
      <c r="AT1997" s="57"/>
      <c r="AU1997" s="57"/>
      <c r="AV1997" s="57"/>
      <c r="AW1997" s="57"/>
      <c r="AX1997" s="57"/>
      <c r="AY1997" s="57"/>
      <c r="AZ1997" s="57"/>
      <c r="BA1997" s="57"/>
      <c r="BB1997" s="57"/>
      <c r="BC1997" s="57"/>
      <c r="BD1997" s="57"/>
      <c r="BE1997" s="57"/>
      <c r="BF1997" s="57"/>
    </row>
    <row r="1998" spans="1:58" x14ac:dyDescent="0.25">
      <c r="A1998" s="53"/>
      <c r="B1998" s="60"/>
      <c r="C1998" s="57">
        <f t="shared" si="148"/>
        <v>0</v>
      </c>
      <c r="D1998" s="56"/>
      <c r="E1998" s="57">
        <f>[1]DETAY!$A$2</f>
        <v>0</v>
      </c>
      <c r="F1998" s="90">
        <f t="shared" si="149"/>
        <v>0</v>
      </c>
      <c r="G1998" s="92">
        <f t="shared" si="150"/>
        <v>0</v>
      </c>
      <c r="H1998" s="62" t="e">
        <f t="shared" si="151"/>
        <v>#DIV/0!</v>
      </c>
      <c r="I1998" s="57"/>
      <c r="J1998" s="57"/>
      <c r="K1998" s="57"/>
      <c r="L1998" s="57"/>
      <c r="M1998" s="58"/>
      <c r="N1998" s="57"/>
      <c r="O1998" s="57"/>
      <c r="P1998" s="57"/>
      <c r="Q1998" s="57"/>
      <c r="R1998" s="57"/>
      <c r="S1998" s="61"/>
      <c r="T1998" s="57"/>
      <c r="U1998" s="57"/>
      <c r="V1998" s="57"/>
      <c r="W1998" s="57"/>
      <c r="X1998" s="57"/>
      <c r="Y1998" s="57"/>
      <c r="Z1998" s="57"/>
      <c r="AA1998" s="57"/>
      <c r="AB1998" s="57"/>
      <c r="AC1998" s="57"/>
      <c r="AD1998" s="57"/>
      <c r="AE1998" s="57"/>
      <c r="AF1998" s="57"/>
      <c r="AG1998" s="57"/>
      <c r="AH1998" s="57"/>
      <c r="AI1998" s="57"/>
      <c r="AJ1998" s="57"/>
      <c r="AK1998" s="57"/>
      <c r="AL1998" s="57"/>
      <c r="AM1998" s="57"/>
      <c r="AN1998" s="57"/>
      <c r="AO1998" s="57"/>
      <c r="AP1998" s="57"/>
      <c r="AQ1998" s="57"/>
      <c r="AR1998" s="57"/>
      <c r="AS1998" s="57"/>
      <c r="AT1998" s="57"/>
      <c r="AU1998" s="57"/>
      <c r="AV1998" s="57"/>
      <c r="AW1998" s="57"/>
      <c r="AX1998" s="57"/>
      <c r="AY1998" s="57"/>
      <c r="AZ1998" s="57"/>
      <c r="BA1998" s="57"/>
      <c r="BB1998" s="57"/>
      <c r="BC1998" s="57"/>
      <c r="BD1998" s="57"/>
      <c r="BE1998" s="57"/>
      <c r="BF1998" s="57"/>
    </row>
    <row r="1999" spans="1:58" x14ac:dyDescent="0.25">
      <c r="A1999" s="53"/>
      <c r="B1999" s="60"/>
      <c r="C1999" s="57">
        <f t="shared" si="148"/>
        <v>0</v>
      </c>
      <c r="D1999" s="56"/>
      <c r="E1999" s="57">
        <f>[1]DETAY!$A$2</f>
        <v>0</v>
      </c>
      <c r="F1999" s="90">
        <f t="shared" si="149"/>
        <v>0</v>
      </c>
      <c r="G1999" s="92">
        <f t="shared" si="150"/>
        <v>0</v>
      </c>
      <c r="H1999" s="62" t="e">
        <f t="shared" si="151"/>
        <v>#DIV/0!</v>
      </c>
      <c r="I1999" s="57"/>
      <c r="J1999" s="57"/>
      <c r="K1999" s="57"/>
      <c r="L1999" s="57"/>
      <c r="M1999" s="58"/>
      <c r="N1999" s="57"/>
      <c r="O1999" s="57"/>
      <c r="P1999" s="57"/>
      <c r="Q1999" s="57"/>
      <c r="R1999" s="57"/>
      <c r="S1999" s="61"/>
      <c r="T1999" s="57"/>
      <c r="U1999" s="57"/>
      <c r="V1999" s="57"/>
      <c r="W1999" s="57"/>
      <c r="X1999" s="57"/>
      <c r="Y1999" s="57"/>
      <c r="Z1999" s="57"/>
      <c r="AA1999" s="57"/>
      <c r="AB1999" s="57"/>
      <c r="AC1999" s="57"/>
      <c r="AD1999" s="57"/>
      <c r="AE1999" s="57"/>
      <c r="AF1999" s="57"/>
      <c r="AG1999" s="57"/>
      <c r="AH1999" s="57"/>
      <c r="AI1999" s="57"/>
      <c r="AJ1999" s="57"/>
      <c r="AK1999" s="57"/>
      <c r="AL1999" s="57"/>
      <c r="AM1999" s="57"/>
      <c r="AN1999" s="57"/>
      <c r="AO1999" s="57"/>
      <c r="AP1999" s="57"/>
      <c r="AQ1999" s="57"/>
      <c r="AR1999" s="57"/>
      <c r="AS1999" s="57"/>
      <c r="AT1999" s="57"/>
      <c r="AU1999" s="57"/>
      <c r="AV1999" s="57"/>
      <c r="AW1999" s="57"/>
      <c r="AX1999" s="57"/>
      <c r="AY1999" s="57"/>
      <c r="AZ1999" s="57"/>
      <c r="BA1999" s="57"/>
      <c r="BB1999" s="57"/>
      <c r="BC1999" s="57"/>
      <c r="BD1999" s="57"/>
      <c r="BE1999" s="57"/>
      <c r="BF1999" s="57"/>
    </row>
    <row r="2000" spans="1:58" x14ac:dyDescent="0.25">
      <c r="A2000" s="53"/>
      <c r="B2000" s="60"/>
      <c r="C2000" s="57">
        <f t="shared" si="148"/>
        <v>0</v>
      </c>
      <c r="D2000" s="56"/>
      <c r="E2000" s="57">
        <f>[1]DETAY!$A$2</f>
        <v>0</v>
      </c>
      <c r="F2000" s="90">
        <f t="shared" si="149"/>
        <v>0</v>
      </c>
      <c r="G2000" s="92">
        <f t="shared" si="150"/>
        <v>0</v>
      </c>
      <c r="H2000" s="62" t="e">
        <f t="shared" si="151"/>
        <v>#DIV/0!</v>
      </c>
      <c r="I2000" s="57"/>
      <c r="J2000" s="57"/>
      <c r="K2000" s="57"/>
      <c r="L2000" s="57"/>
      <c r="M2000" s="58"/>
      <c r="N2000" s="57"/>
      <c r="O2000" s="57"/>
      <c r="P2000" s="57"/>
      <c r="Q2000" s="57"/>
      <c r="R2000" s="57"/>
      <c r="S2000" s="61"/>
      <c r="T2000" s="57"/>
      <c r="U2000" s="57"/>
      <c r="V2000" s="57"/>
      <c r="W2000" s="57"/>
      <c r="X2000" s="57"/>
      <c r="Y2000" s="57"/>
      <c r="Z2000" s="57"/>
      <c r="AA2000" s="57"/>
      <c r="AB2000" s="57"/>
      <c r="AC2000" s="57"/>
      <c r="AD2000" s="57"/>
      <c r="AE2000" s="57"/>
      <c r="AF2000" s="57"/>
      <c r="AG2000" s="57"/>
      <c r="AH2000" s="57"/>
      <c r="AI2000" s="57"/>
      <c r="AJ2000" s="57"/>
      <c r="AK2000" s="57"/>
      <c r="AL2000" s="57"/>
      <c r="AM2000" s="57"/>
      <c r="AN2000" s="57"/>
      <c r="AO2000" s="57"/>
      <c r="AP2000" s="57"/>
      <c r="AQ2000" s="57"/>
      <c r="AR2000" s="57"/>
      <c r="AS2000" s="57"/>
      <c r="AT2000" s="57"/>
      <c r="AU2000" s="57"/>
      <c r="AV2000" s="57"/>
      <c r="AW2000" s="57"/>
      <c r="AX2000" s="57"/>
      <c r="AY2000" s="57"/>
      <c r="AZ2000" s="57"/>
      <c r="BA2000" s="57"/>
      <c r="BB2000" s="57"/>
      <c r="BC2000" s="57"/>
      <c r="BD2000" s="57"/>
      <c r="BE2000" s="57"/>
      <c r="BF2000" s="57"/>
    </row>
    <row r="2001" spans="1:58" x14ac:dyDescent="0.25">
      <c r="A2001" s="53"/>
      <c r="B2001" s="60"/>
      <c r="C2001" s="57">
        <f t="shared" si="148"/>
        <v>0</v>
      </c>
      <c r="D2001" s="56"/>
      <c r="E2001" s="57">
        <f>[1]DETAY!$A$2</f>
        <v>0</v>
      </c>
      <c r="F2001" s="90">
        <f t="shared" si="149"/>
        <v>0</v>
      </c>
      <c r="G2001" s="92">
        <f t="shared" si="150"/>
        <v>0</v>
      </c>
      <c r="H2001" s="62" t="e">
        <f t="shared" si="151"/>
        <v>#DIV/0!</v>
      </c>
      <c r="I2001" s="57"/>
      <c r="J2001" s="57"/>
      <c r="K2001" s="57"/>
      <c r="L2001" s="57"/>
      <c r="M2001" s="58"/>
      <c r="N2001" s="57"/>
      <c r="O2001" s="57"/>
      <c r="P2001" s="57"/>
      <c r="Q2001" s="57"/>
      <c r="R2001" s="57"/>
      <c r="S2001" s="61"/>
      <c r="T2001" s="57"/>
      <c r="U2001" s="57"/>
      <c r="V2001" s="57"/>
      <c r="W2001" s="57"/>
      <c r="X2001" s="57"/>
      <c r="Y2001" s="57"/>
      <c r="Z2001" s="57"/>
      <c r="AA2001" s="57"/>
      <c r="AB2001" s="57"/>
      <c r="AC2001" s="57"/>
      <c r="AD2001" s="57"/>
      <c r="AE2001" s="57"/>
      <c r="AF2001" s="57"/>
      <c r="AG2001" s="57"/>
      <c r="AH2001" s="57"/>
      <c r="AI2001" s="57"/>
      <c r="AJ2001" s="57"/>
      <c r="AK2001" s="57"/>
      <c r="AL2001" s="57"/>
      <c r="AM2001" s="57"/>
      <c r="AN2001" s="57"/>
      <c r="AO2001" s="57"/>
      <c r="AP2001" s="57"/>
      <c r="AQ2001" s="57"/>
      <c r="AR2001" s="57"/>
      <c r="AS2001" s="57"/>
      <c r="AT2001" s="57"/>
      <c r="AU2001" s="57"/>
      <c r="AV2001" s="57"/>
      <c r="AW2001" s="57"/>
      <c r="AX2001" s="57"/>
      <c r="AY2001" s="57"/>
      <c r="AZ2001" s="57"/>
      <c r="BA2001" s="57"/>
      <c r="BB2001" s="57"/>
      <c r="BC2001" s="57"/>
      <c r="BD2001" s="57"/>
      <c r="BE2001" s="57"/>
      <c r="BF2001" s="57"/>
    </row>
    <row r="2002" spans="1:58" x14ac:dyDescent="0.25">
      <c r="A2002" s="53"/>
      <c r="B2002" s="60"/>
      <c r="C2002" s="57">
        <f t="shared" si="148"/>
        <v>0</v>
      </c>
      <c r="D2002" s="56"/>
      <c r="E2002" s="57">
        <f>[1]DETAY!$A$2</f>
        <v>0</v>
      </c>
      <c r="F2002" s="90">
        <f t="shared" si="149"/>
        <v>0</v>
      </c>
      <c r="G2002" s="92">
        <f t="shared" si="150"/>
        <v>0</v>
      </c>
      <c r="H2002" s="62" t="e">
        <f t="shared" si="151"/>
        <v>#DIV/0!</v>
      </c>
      <c r="I2002" s="57"/>
      <c r="J2002" s="57"/>
      <c r="K2002" s="57"/>
      <c r="L2002" s="57"/>
      <c r="M2002" s="58"/>
      <c r="N2002" s="57"/>
      <c r="O2002" s="57"/>
      <c r="P2002" s="57"/>
      <c r="Q2002" s="57"/>
      <c r="R2002" s="57"/>
      <c r="S2002" s="61"/>
      <c r="T2002" s="57"/>
      <c r="U2002" s="57"/>
      <c r="V2002" s="57"/>
      <c r="W2002" s="57"/>
      <c r="X2002" s="57"/>
      <c r="Y2002" s="57"/>
      <c r="Z2002" s="57"/>
      <c r="AA2002" s="57"/>
      <c r="AB2002" s="57"/>
      <c r="AC2002" s="57"/>
      <c r="AD2002" s="57"/>
      <c r="AE2002" s="57"/>
      <c r="AF2002" s="57"/>
      <c r="AG2002" s="57"/>
      <c r="AH2002" s="57"/>
      <c r="AI2002" s="57"/>
      <c r="AJ2002" s="57"/>
      <c r="AK2002" s="57"/>
      <c r="AL2002" s="57"/>
      <c r="AM2002" s="57"/>
      <c r="AN2002" s="57"/>
      <c r="AO2002" s="57"/>
      <c r="AP2002" s="57"/>
      <c r="AQ2002" s="57"/>
      <c r="AR2002" s="57"/>
      <c r="AS2002" s="57"/>
      <c r="AT2002" s="57"/>
      <c r="AU2002" s="57"/>
      <c r="AV2002" s="57"/>
      <c r="AW2002" s="57"/>
      <c r="AX2002" s="57"/>
      <c r="AY2002" s="57"/>
      <c r="AZ2002" s="57"/>
      <c r="BA2002" s="57"/>
      <c r="BB2002" s="57"/>
      <c r="BC2002" s="57"/>
      <c r="BD2002" s="57"/>
      <c r="BE2002" s="57"/>
      <c r="BF2002" s="57"/>
    </row>
    <row r="2003" spans="1:58" x14ac:dyDescent="0.25">
      <c r="A2003" s="53"/>
      <c r="B2003" s="60"/>
      <c r="C2003" s="57">
        <f t="shared" si="148"/>
        <v>0</v>
      </c>
      <c r="D2003" s="56"/>
      <c r="E2003" s="57">
        <f>[1]DETAY!$A$2</f>
        <v>0</v>
      </c>
      <c r="F2003" s="90">
        <f t="shared" si="149"/>
        <v>0</v>
      </c>
      <c r="G2003" s="92">
        <f t="shared" si="150"/>
        <v>0</v>
      </c>
      <c r="H2003" s="62" t="e">
        <f t="shared" si="151"/>
        <v>#DIV/0!</v>
      </c>
      <c r="I2003" s="57"/>
      <c r="J2003" s="57"/>
      <c r="K2003" s="57"/>
      <c r="L2003" s="57"/>
      <c r="M2003" s="58"/>
      <c r="N2003" s="57"/>
      <c r="O2003" s="57"/>
      <c r="P2003" s="57"/>
      <c r="Q2003" s="57"/>
      <c r="R2003" s="57"/>
      <c r="S2003" s="61"/>
      <c r="T2003" s="57"/>
      <c r="U2003" s="57"/>
      <c r="V2003" s="57"/>
      <c r="W2003" s="57"/>
      <c r="X2003" s="57"/>
      <c r="Y2003" s="57"/>
      <c r="Z2003" s="57"/>
      <c r="AA2003" s="57"/>
      <c r="AB2003" s="57"/>
      <c r="AC2003" s="57"/>
      <c r="AD2003" s="57"/>
      <c r="AE2003" s="57"/>
      <c r="AF2003" s="57"/>
      <c r="AG2003" s="57"/>
      <c r="AH2003" s="57"/>
      <c r="AI2003" s="57"/>
      <c r="AJ2003" s="57"/>
      <c r="AK2003" s="57"/>
      <c r="AL2003" s="57"/>
      <c r="AM2003" s="57"/>
      <c r="AN2003" s="57"/>
      <c r="AO2003" s="57"/>
      <c r="AP2003" s="57"/>
      <c r="AQ2003" s="57"/>
      <c r="AR2003" s="57"/>
      <c r="AS2003" s="57"/>
      <c r="AT2003" s="57"/>
      <c r="AU2003" s="57"/>
      <c r="AV2003" s="57"/>
      <c r="AW2003" s="57"/>
      <c r="AX2003" s="57"/>
      <c r="AY2003" s="57"/>
      <c r="AZ2003" s="57"/>
      <c r="BA2003" s="57"/>
      <c r="BB2003" s="57"/>
      <c r="BC2003" s="57"/>
      <c r="BD2003" s="57"/>
      <c r="BE2003" s="57"/>
      <c r="BF2003" s="57"/>
    </row>
    <row r="2004" spans="1:58" x14ac:dyDescent="0.25">
      <c r="A2004" s="53"/>
      <c r="B2004" s="60"/>
      <c r="C2004" s="57">
        <f t="shared" si="148"/>
        <v>0</v>
      </c>
      <c r="D2004" s="56"/>
      <c r="E2004" s="57">
        <f>[1]DETAY!$A$2</f>
        <v>0</v>
      </c>
      <c r="F2004" s="90">
        <f t="shared" si="149"/>
        <v>0</v>
      </c>
      <c r="G2004" s="92">
        <f t="shared" si="150"/>
        <v>0</v>
      </c>
      <c r="H2004" s="62" t="e">
        <f t="shared" si="151"/>
        <v>#DIV/0!</v>
      </c>
      <c r="I2004" s="57"/>
      <c r="J2004" s="57"/>
      <c r="K2004" s="57"/>
      <c r="L2004" s="57"/>
      <c r="M2004" s="58"/>
      <c r="N2004" s="57"/>
      <c r="O2004" s="57"/>
      <c r="P2004" s="57"/>
      <c r="Q2004" s="57"/>
      <c r="R2004" s="57"/>
      <c r="S2004" s="61"/>
      <c r="T2004" s="57"/>
      <c r="U2004" s="57"/>
      <c r="V2004" s="57"/>
      <c r="W2004" s="57"/>
      <c r="X2004" s="57"/>
      <c r="Y2004" s="57"/>
      <c r="Z2004" s="57"/>
      <c r="AA2004" s="57"/>
      <c r="AB2004" s="57"/>
      <c r="AC2004" s="57"/>
      <c r="AD2004" s="57"/>
      <c r="AE2004" s="57"/>
      <c r="AF2004" s="57"/>
      <c r="AG2004" s="57"/>
      <c r="AH2004" s="57"/>
      <c r="AI2004" s="57"/>
      <c r="AJ2004" s="57"/>
      <c r="AK2004" s="57"/>
      <c r="AL2004" s="57"/>
      <c r="AM2004" s="57"/>
      <c r="AN2004" s="57"/>
      <c r="AO2004" s="57"/>
      <c r="AP2004" s="57"/>
      <c r="AQ2004" s="57"/>
      <c r="AR2004" s="57"/>
      <c r="AS2004" s="57"/>
      <c r="AT2004" s="57"/>
      <c r="AU2004" s="57"/>
      <c r="AV2004" s="57"/>
      <c r="AW2004" s="57"/>
      <c r="AX2004" s="57"/>
      <c r="AY2004" s="57"/>
      <c r="AZ2004" s="57"/>
      <c r="BA2004" s="57"/>
      <c r="BB2004" s="57"/>
      <c r="BC2004" s="57"/>
      <c r="BD2004" s="57"/>
      <c r="BE2004" s="57"/>
      <c r="BF2004" s="57"/>
    </row>
    <row r="2005" spans="1:58" x14ac:dyDescent="0.25">
      <c r="A2005" s="53"/>
      <c r="B2005" s="60"/>
      <c r="C2005" s="57">
        <f t="shared" si="148"/>
        <v>0</v>
      </c>
      <c r="D2005" s="56"/>
      <c r="E2005" s="57">
        <f>[1]DETAY!$A$2</f>
        <v>0</v>
      </c>
      <c r="F2005" s="90">
        <f t="shared" si="149"/>
        <v>0</v>
      </c>
      <c r="G2005" s="92">
        <f t="shared" si="150"/>
        <v>0</v>
      </c>
      <c r="H2005" s="62" t="e">
        <f t="shared" si="151"/>
        <v>#DIV/0!</v>
      </c>
      <c r="I2005" s="57"/>
      <c r="J2005" s="57"/>
      <c r="K2005" s="57"/>
      <c r="L2005" s="57"/>
      <c r="M2005" s="58"/>
      <c r="N2005" s="57"/>
      <c r="O2005" s="57"/>
      <c r="P2005" s="57"/>
      <c r="Q2005" s="57"/>
      <c r="R2005" s="57"/>
      <c r="S2005" s="61"/>
      <c r="T2005" s="57"/>
      <c r="U2005" s="57"/>
      <c r="V2005" s="57"/>
      <c r="W2005" s="57"/>
      <c r="X2005" s="57"/>
      <c r="Y2005" s="57"/>
      <c r="Z2005" s="57"/>
      <c r="AA2005" s="57"/>
      <c r="AB2005" s="57"/>
      <c r="AC2005" s="57"/>
      <c r="AD2005" s="57"/>
      <c r="AE2005" s="57"/>
      <c r="AF2005" s="57"/>
      <c r="AG2005" s="57"/>
      <c r="AH2005" s="57"/>
      <c r="AI2005" s="57"/>
      <c r="AJ2005" s="57"/>
      <c r="AK2005" s="57"/>
      <c r="AL2005" s="57"/>
      <c r="AM2005" s="57"/>
      <c r="AN2005" s="57"/>
      <c r="AO2005" s="57"/>
      <c r="AP2005" s="57"/>
      <c r="AQ2005" s="57"/>
      <c r="AR2005" s="57"/>
      <c r="AS2005" s="57"/>
      <c r="AT2005" s="57"/>
      <c r="AU2005" s="57"/>
      <c r="AV2005" s="57"/>
      <c r="AW2005" s="57"/>
      <c r="AX2005" s="57"/>
      <c r="AY2005" s="57"/>
      <c r="AZ2005" s="57"/>
      <c r="BA2005" s="57"/>
      <c r="BB2005" s="57"/>
      <c r="BC2005" s="57"/>
      <c r="BD2005" s="57"/>
      <c r="BE2005" s="57"/>
      <c r="BF2005" s="57"/>
    </row>
    <row r="2006" spans="1:58" x14ac:dyDescent="0.25">
      <c r="A2006" s="53"/>
      <c r="B2006" s="60"/>
      <c r="C2006" s="57">
        <f t="shared" si="148"/>
        <v>0</v>
      </c>
      <c r="D2006" s="56"/>
      <c r="E2006" s="57">
        <f>[1]DETAY!$A$2</f>
        <v>0</v>
      </c>
      <c r="F2006" s="90">
        <f t="shared" si="149"/>
        <v>0</v>
      </c>
      <c r="G2006" s="92">
        <f t="shared" si="150"/>
        <v>0</v>
      </c>
      <c r="H2006" s="62" t="e">
        <f t="shared" si="151"/>
        <v>#DIV/0!</v>
      </c>
      <c r="I2006" s="57"/>
      <c r="J2006" s="57"/>
      <c r="K2006" s="57"/>
      <c r="L2006" s="57"/>
      <c r="M2006" s="58"/>
      <c r="N2006" s="57"/>
      <c r="O2006" s="57"/>
      <c r="P2006" s="57"/>
      <c r="Q2006" s="57"/>
      <c r="R2006" s="57"/>
      <c r="S2006" s="61"/>
      <c r="T2006" s="57"/>
      <c r="U2006" s="57"/>
      <c r="V2006" s="57"/>
      <c r="W2006" s="57"/>
      <c r="X2006" s="57"/>
      <c r="Y2006" s="57"/>
      <c r="Z2006" s="57"/>
      <c r="AA2006" s="57"/>
      <c r="AB2006" s="57"/>
      <c r="AC2006" s="57"/>
      <c r="AD2006" s="57"/>
      <c r="AE2006" s="57"/>
      <c r="AF2006" s="57"/>
      <c r="AG2006" s="57"/>
      <c r="AH2006" s="57"/>
      <c r="AI2006" s="57"/>
      <c r="AJ2006" s="57"/>
      <c r="AK2006" s="57"/>
      <c r="AL2006" s="57"/>
      <c r="AM2006" s="57"/>
      <c r="AN2006" s="57"/>
      <c r="AO2006" s="57"/>
      <c r="AP2006" s="57"/>
      <c r="AQ2006" s="57"/>
      <c r="AR2006" s="57"/>
      <c r="AS2006" s="57"/>
      <c r="AT2006" s="57"/>
      <c r="AU2006" s="57"/>
      <c r="AV2006" s="57"/>
      <c r="AW2006" s="57"/>
      <c r="AX2006" s="57"/>
      <c r="AY2006" s="57"/>
      <c r="AZ2006" s="57"/>
      <c r="BA2006" s="57"/>
      <c r="BB2006" s="57"/>
      <c r="BC2006" s="57"/>
      <c r="BD2006" s="57"/>
      <c r="BE2006" s="57"/>
      <c r="BF2006" s="57"/>
    </row>
    <row r="2007" spans="1:58" x14ac:dyDescent="0.25">
      <c r="A2007" s="53"/>
      <c r="B2007" s="60"/>
      <c r="C2007" s="57">
        <f t="shared" si="148"/>
        <v>0</v>
      </c>
      <c r="D2007" s="56"/>
      <c r="E2007" s="57">
        <f>[1]DETAY!$A$2</f>
        <v>0</v>
      </c>
      <c r="F2007" s="90">
        <f t="shared" si="149"/>
        <v>0</v>
      </c>
      <c r="G2007" s="92">
        <f t="shared" si="150"/>
        <v>0</v>
      </c>
      <c r="H2007" s="62" t="e">
        <f t="shared" si="151"/>
        <v>#DIV/0!</v>
      </c>
      <c r="I2007" s="57"/>
      <c r="J2007" s="57"/>
      <c r="K2007" s="57"/>
      <c r="L2007" s="57"/>
      <c r="M2007" s="58"/>
      <c r="N2007" s="57"/>
      <c r="O2007" s="57"/>
      <c r="P2007" s="57"/>
      <c r="Q2007" s="57"/>
      <c r="R2007" s="57"/>
      <c r="S2007" s="61"/>
      <c r="T2007" s="57"/>
      <c r="U2007" s="57"/>
      <c r="V2007" s="57"/>
      <c r="W2007" s="57"/>
      <c r="X2007" s="57"/>
      <c r="Y2007" s="57"/>
      <c r="Z2007" s="57"/>
      <c r="AA2007" s="57"/>
      <c r="AB2007" s="57"/>
      <c r="AC2007" s="57"/>
      <c r="AD2007" s="57"/>
      <c r="AE2007" s="57"/>
      <c r="AF2007" s="57"/>
      <c r="AG2007" s="57"/>
      <c r="AH2007" s="57"/>
      <c r="AI2007" s="57"/>
      <c r="AJ2007" s="57"/>
      <c r="AK2007" s="57"/>
      <c r="AL2007" s="57"/>
      <c r="AM2007" s="57"/>
      <c r="AN2007" s="57"/>
      <c r="AO2007" s="57"/>
      <c r="AP2007" s="57"/>
      <c r="AQ2007" s="57"/>
      <c r="AR2007" s="57"/>
      <c r="AS2007" s="57"/>
      <c r="AT2007" s="57"/>
      <c r="AU2007" s="57"/>
      <c r="AV2007" s="57"/>
      <c r="AW2007" s="57"/>
      <c r="AX2007" s="57"/>
      <c r="AY2007" s="57"/>
      <c r="AZ2007" s="57"/>
      <c r="BA2007" s="57"/>
      <c r="BB2007" s="57"/>
      <c r="BC2007" s="57"/>
      <c r="BD2007" s="57"/>
      <c r="BE2007" s="57"/>
      <c r="BF2007" s="57"/>
    </row>
    <row r="2008" spans="1:58" x14ac:dyDescent="0.25">
      <c r="A2008" s="53"/>
      <c r="B2008" s="60"/>
      <c r="C2008" s="57">
        <f t="shared" si="148"/>
        <v>0</v>
      </c>
      <c r="D2008" s="56"/>
      <c r="E2008" s="57">
        <f>[1]DETAY!$A$2</f>
        <v>0</v>
      </c>
      <c r="F2008" s="90">
        <f t="shared" si="149"/>
        <v>0</v>
      </c>
      <c r="G2008" s="92">
        <f t="shared" si="150"/>
        <v>0</v>
      </c>
      <c r="H2008" s="62" t="e">
        <f t="shared" si="151"/>
        <v>#DIV/0!</v>
      </c>
      <c r="I2008" s="57"/>
      <c r="J2008" s="57"/>
      <c r="K2008" s="57"/>
      <c r="L2008" s="57"/>
      <c r="M2008" s="58"/>
      <c r="N2008" s="57"/>
      <c r="O2008" s="57"/>
      <c r="P2008" s="57"/>
      <c r="Q2008" s="57"/>
      <c r="R2008" s="57"/>
      <c r="S2008" s="61"/>
      <c r="T2008" s="57"/>
      <c r="U2008" s="57"/>
      <c r="V2008" s="57"/>
      <c r="W2008" s="57"/>
      <c r="X2008" s="57"/>
      <c r="Y2008" s="57"/>
      <c r="Z2008" s="57"/>
      <c r="AA2008" s="57"/>
      <c r="AB2008" s="57"/>
      <c r="AC2008" s="57"/>
      <c r="AD2008" s="57"/>
      <c r="AE2008" s="57"/>
      <c r="AF2008" s="57"/>
      <c r="AG2008" s="57"/>
      <c r="AH2008" s="57"/>
      <c r="AI2008" s="57"/>
      <c r="AJ2008" s="57"/>
      <c r="AK2008" s="57"/>
      <c r="AL2008" s="57"/>
      <c r="AM2008" s="57"/>
      <c r="AN2008" s="57"/>
      <c r="AO2008" s="57"/>
      <c r="AP2008" s="57"/>
      <c r="AQ2008" s="57"/>
      <c r="AR2008" s="57"/>
      <c r="AS2008" s="57"/>
      <c r="AT2008" s="57"/>
      <c r="AU2008" s="57"/>
      <c r="AV2008" s="57"/>
      <c r="AW2008" s="57"/>
      <c r="AX2008" s="57"/>
      <c r="AY2008" s="57"/>
      <c r="AZ2008" s="57"/>
      <c r="BA2008" s="57"/>
      <c r="BB2008" s="57"/>
      <c r="BC2008" s="57"/>
      <c r="BD2008" s="57"/>
      <c r="BE2008" s="57"/>
      <c r="BF2008" s="57"/>
    </row>
    <row r="2009" spans="1:58" x14ac:dyDescent="0.25">
      <c r="A2009" s="53"/>
      <c r="B2009" s="60"/>
      <c r="C2009" s="57">
        <f t="shared" si="148"/>
        <v>0</v>
      </c>
      <c r="D2009" s="56"/>
      <c r="E2009" s="57">
        <f>[1]DETAY!$A$2</f>
        <v>0</v>
      </c>
      <c r="F2009" s="90">
        <f t="shared" si="149"/>
        <v>0</v>
      </c>
      <c r="G2009" s="92">
        <f t="shared" si="150"/>
        <v>0</v>
      </c>
      <c r="H2009" s="62" t="e">
        <f t="shared" si="151"/>
        <v>#DIV/0!</v>
      </c>
      <c r="I2009" s="57"/>
      <c r="J2009" s="57"/>
      <c r="K2009" s="57"/>
      <c r="L2009" s="57"/>
      <c r="M2009" s="58"/>
      <c r="N2009" s="57"/>
      <c r="O2009" s="57"/>
      <c r="P2009" s="57"/>
      <c r="Q2009" s="57"/>
      <c r="R2009" s="57"/>
      <c r="S2009" s="61"/>
      <c r="T2009" s="57"/>
      <c r="U2009" s="57"/>
      <c r="V2009" s="57"/>
      <c r="W2009" s="57"/>
      <c r="X2009" s="57"/>
      <c r="Y2009" s="57"/>
      <c r="Z2009" s="57"/>
      <c r="AA2009" s="57"/>
      <c r="AB2009" s="57"/>
      <c r="AC2009" s="57"/>
      <c r="AD2009" s="57"/>
      <c r="AE2009" s="57"/>
      <c r="AF2009" s="57"/>
      <c r="AG2009" s="57"/>
      <c r="AH2009" s="57"/>
      <c r="AI2009" s="57"/>
      <c r="AJ2009" s="57"/>
      <c r="AK2009" s="57"/>
      <c r="AL2009" s="57"/>
      <c r="AM2009" s="57"/>
      <c r="AN2009" s="57"/>
      <c r="AO2009" s="57"/>
      <c r="AP2009" s="57"/>
      <c r="AQ2009" s="57"/>
      <c r="AR2009" s="57"/>
      <c r="AS2009" s="57"/>
      <c r="AT2009" s="57"/>
      <c r="AU2009" s="57"/>
      <c r="AV2009" s="57"/>
      <c r="AW2009" s="57"/>
      <c r="AX2009" s="57"/>
      <c r="AY2009" s="57"/>
      <c r="AZ2009" s="57"/>
      <c r="BA2009" s="57"/>
      <c r="BB2009" s="57"/>
      <c r="BC2009" s="57"/>
      <c r="BD2009" s="57"/>
      <c r="BE2009" s="57"/>
      <c r="BF2009" s="57"/>
    </row>
    <row r="2010" spans="1:58" x14ac:dyDescent="0.25">
      <c r="A2010" s="53"/>
      <c r="B2010" s="60"/>
      <c r="C2010" s="57">
        <f t="shared" si="148"/>
        <v>0</v>
      </c>
      <c r="D2010" s="56"/>
      <c r="E2010" s="57">
        <f>[1]DETAY!$A$2</f>
        <v>0</v>
      </c>
      <c r="F2010" s="90">
        <f t="shared" si="149"/>
        <v>0</v>
      </c>
      <c r="G2010" s="92">
        <f t="shared" si="150"/>
        <v>0</v>
      </c>
      <c r="H2010" s="62" t="e">
        <f t="shared" si="151"/>
        <v>#DIV/0!</v>
      </c>
      <c r="I2010" s="57"/>
      <c r="J2010" s="57"/>
      <c r="K2010" s="57"/>
      <c r="L2010" s="57"/>
      <c r="M2010" s="58"/>
      <c r="N2010" s="57"/>
      <c r="O2010" s="57"/>
      <c r="P2010" s="57"/>
      <c r="Q2010" s="57"/>
      <c r="R2010" s="57"/>
      <c r="S2010" s="61"/>
      <c r="T2010" s="57"/>
      <c r="U2010" s="57"/>
      <c r="V2010" s="57"/>
      <c r="W2010" s="57"/>
      <c r="X2010" s="57"/>
      <c r="Y2010" s="57"/>
      <c r="Z2010" s="57"/>
      <c r="AA2010" s="57"/>
      <c r="AB2010" s="57"/>
      <c r="AC2010" s="57"/>
      <c r="AD2010" s="57"/>
      <c r="AE2010" s="57"/>
      <c r="AF2010" s="57"/>
      <c r="AG2010" s="57"/>
      <c r="AH2010" s="57"/>
      <c r="AI2010" s="57"/>
      <c r="AJ2010" s="57"/>
      <c r="AK2010" s="57"/>
      <c r="AL2010" s="57"/>
      <c r="AM2010" s="57"/>
      <c r="AN2010" s="57"/>
      <c r="AO2010" s="57"/>
      <c r="AP2010" s="57"/>
      <c r="AQ2010" s="57"/>
      <c r="AR2010" s="57"/>
      <c r="AS2010" s="57"/>
      <c r="AT2010" s="57"/>
      <c r="AU2010" s="57"/>
      <c r="AV2010" s="57"/>
      <c r="AW2010" s="57"/>
      <c r="AX2010" s="57"/>
      <c r="AY2010" s="57"/>
      <c r="AZ2010" s="57"/>
      <c r="BA2010" s="57"/>
      <c r="BB2010" s="57"/>
      <c r="BC2010" s="57"/>
      <c r="BD2010" s="57"/>
      <c r="BE2010" s="57"/>
      <c r="BF2010" s="57"/>
    </row>
    <row r="2011" spans="1:58" x14ac:dyDescent="0.25">
      <c r="A2011" s="53"/>
      <c r="B2011" s="60"/>
      <c r="C2011" s="57">
        <f t="shared" si="148"/>
        <v>0</v>
      </c>
      <c r="D2011" s="56"/>
      <c r="E2011" s="57">
        <f>[1]DETAY!$A$2</f>
        <v>0</v>
      </c>
      <c r="F2011" s="90">
        <f t="shared" si="149"/>
        <v>0</v>
      </c>
      <c r="G2011" s="92">
        <f t="shared" si="150"/>
        <v>0</v>
      </c>
      <c r="H2011" s="62" t="e">
        <f t="shared" si="151"/>
        <v>#DIV/0!</v>
      </c>
      <c r="I2011" s="57"/>
      <c r="J2011" s="57"/>
      <c r="K2011" s="57"/>
      <c r="L2011" s="57"/>
      <c r="M2011" s="58"/>
      <c r="N2011" s="57"/>
      <c r="O2011" s="57"/>
      <c r="P2011" s="57"/>
      <c r="Q2011" s="57"/>
      <c r="R2011" s="57"/>
      <c r="S2011" s="61"/>
      <c r="T2011" s="57"/>
      <c r="U2011" s="57"/>
      <c r="V2011" s="57"/>
      <c r="W2011" s="57"/>
      <c r="X2011" s="57"/>
      <c r="Y2011" s="57"/>
      <c r="Z2011" s="57"/>
      <c r="AA2011" s="57"/>
      <c r="AB2011" s="57"/>
      <c r="AC2011" s="57"/>
      <c r="AD2011" s="57"/>
      <c r="AE2011" s="57"/>
      <c r="AF2011" s="57"/>
      <c r="AG2011" s="57"/>
      <c r="AH2011" s="57"/>
      <c r="AI2011" s="57"/>
      <c r="AJ2011" s="57"/>
      <c r="AK2011" s="57"/>
      <c r="AL2011" s="57"/>
      <c r="AM2011" s="57"/>
      <c r="AN2011" s="57"/>
      <c r="AO2011" s="57"/>
      <c r="AP2011" s="57"/>
      <c r="AQ2011" s="57"/>
      <c r="AR2011" s="57"/>
      <c r="AS2011" s="57"/>
      <c r="AT2011" s="57"/>
      <c r="AU2011" s="57"/>
      <c r="AV2011" s="57"/>
      <c r="AW2011" s="57"/>
      <c r="AX2011" s="57"/>
      <c r="AY2011" s="57"/>
      <c r="AZ2011" s="57"/>
      <c r="BA2011" s="57"/>
      <c r="BB2011" s="57"/>
      <c r="BC2011" s="57"/>
      <c r="BD2011" s="57"/>
      <c r="BE2011" s="57"/>
      <c r="BF2011" s="57"/>
    </row>
    <row r="2012" spans="1:58" x14ac:dyDescent="0.25">
      <c r="A2012" s="53"/>
      <c r="B2012" s="60"/>
      <c r="C2012" s="57">
        <f t="shared" si="148"/>
        <v>0</v>
      </c>
      <c r="D2012" s="56"/>
      <c r="E2012" s="57">
        <f>[1]DETAY!$A$2</f>
        <v>0</v>
      </c>
      <c r="F2012" s="90">
        <f t="shared" si="149"/>
        <v>0</v>
      </c>
      <c r="G2012" s="92">
        <f t="shared" si="150"/>
        <v>0</v>
      </c>
      <c r="H2012" s="62" t="e">
        <f t="shared" si="151"/>
        <v>#DIV/0!</v>
      </c>
      <c r="I2012" s="57"/>
      <c r="J2012" s="57"/>
      <c r="K2012" s="57"/>
      <c r="L2012" s="57"/>
      <c r="M2012" s="58"/>
      <c r="N2012" s="57"/>
      <c r="O2012" s="57"/>
      <c r="P2012" s="57"/>
      <c r="Q2012" s="57"/>
      <c r="R2012" s="57"/>
      <c r="S2012" s="61"/>
      <c r="T2012" s="57"/>
      <c r="U2012" s="57"/>
      <c r="V2012" s="57"/>
      <c r="W2012" s="57"/>
      <c r="X2012" s="57"/>
      <c r="Y2012" s="57"/>
      <c r="Z2012" s="57"/>
      <c r="AA2012" s="57"/>
      <c r="AB2012" s="57"/>
      <c r="AC2012" s="57"/>
      <c r="AD2012" s="57"/>
      <c r="AE2012" s="57"/>
      <c r="AF2012" s="57"/>
      <c r="AG2012" s="57"/>
      <c r="AH2012" s="57"/>
      <c r="AI2012" s="57"/>
      <c r="AJ2012" s="57"/>
      <c r="AK2012" s="57"/>
      <c r="AL2012" s="57"/>
      <c r="AM2012" s="57"/>
      <c r="AN2012" s="57"/>
      <c r="AO2012" s="57"/>
      <c r="AP2012" s="57"/>
      <c r="AQ2012" s="57"/>
      <c r="AR2012" s="57"/>
      <c r="AS2012" s="57"/>
      <c r="AT2012" s="57"/>
      <c r="AU2012" s="57"/>
      <c r="AV2012" s="57"/>
      <c r="AW2012" s="57"/>
      <c r="AX2012" s="57"/>
      <c r="AY2012" s="57"/>
      <c r="AZ2012" s="57"/>
      <c r="BA2012" s="57"/>
      <c r="BB2012" s="57"/>
      <c r="BC2012" s="57"/>
      <c r="BD2012" s="57"/>
      <c r="BE2012" s="57"/>
      <c r="BF2012" s="57"/>
    </row>
    <row r="2013" spans="1:58" x14ac:dyDescent="0.25">
      <c r="A2013" s="53"/>
      <c r="B2013" s="60"/>
      <c r="C2013" s="57">
        <f t="shared" si="148"/>
        <v>0</v>
      </c>
      <c r="D2013" s="56"/>
      <c r="E2013" s="57">
        <f>[1]DETAY!$A$2</f>
        <v>0</v>
      </c>
      <c r="F2013" s="90">
        <f t="shared" si="149"/>
        <v>0</v>
      </c>
      <c r="G2013" s="92">
        <f t="shared" si="150"/>
        <v>0</v>
      </c>
      <c r="H2013" s="62" t="e">
        <f t="shared" si="151"/>
        <v>#DIV/0!</v>
      </c>
      <c r="I2013" s="57"/>
      <c r="J2013" s="57"/>
      <c r="K2013" s="57"/>
      <c r="L2013" s="57"/>
      <c r="M2013" s="58"/>
      <c r="N2013" s="57"/>
      <c r="O2013" s="57"/>
      <c r="P2013" s="57"/>
      <c r="Q2013" s="57"/>
      <c r="R2013" s="57"/>
      <c r="S2013" s="61"/>
      <c r="T2013" s="57"/>
      <c r="U2013" s="57"/>
      <c r="V2013" s="57"/>
      <c r="W2013" s="57"/>
      <c r="X2013" s="57"/>
      <c r="Y2013" s="57"/>
      <c r="Z2013" s="57"/>
      <c r="AA2013" s="57"/>
      <c r="AB2013" s="57"/>
      <c r="AC2013" s="57"/>
      <c r="AD2013" s="57"/>
      <c r="AE2013" s="57"/>
      <c r="AF2013" s="57"/>
      <c r="AG2013" s="57"/>
      <c r="AH2013" s="57"/>
      <c r="AI2013" s="57"/>
      <c r="AJ2013" s="57"/>
      <c r="AK2013" s="57"/>
      <c r="AL2013" s="57"/>
      <c r="AM2013" s="57"/>
      <c r="AN2013" s="57"/>
      <c r="AO2013" s="57"/>
      <c r="AP2013" s="57"/>
      <c r="AQ2013" s="57"/>
      <c r="AR2013" s="57"/>
      <c r="AS2013" s="57"/>
      <c r="AT2013" s="57"/>
      <c r="AU2013" s="57"/>
      <c r="AV2013" s="57"/>
      <c r="AW2013" s="57"/>
      <c r="AX2013" s="57"/>
      <c r="AY2013" s="57"/>
      <c r="AZ2013" s="57"/>
      <c r="BA2013" s="57"/>
      <c r="BB2013" s="57"/>
      <c r="BC2013" s="57"/>
      <c r="BD2013" s="57"/>
      <c r="BE2013" s="57"/>
      <c r="BF2013" s="57"/>
    </row>
    <row r="2014" spans="1:58" x14ac:dyDescent="0.25">
      <c r="A2014" s="53"/>
      <c r="B2014" s="60"/>
      <c r="C2014" s="57">
        <f t="shared" si="148"/>
        <v>0</v>
      </c>
      <c r="D2014" s="56"/>
      <c r="E2014" s="57">
        <f>[1]DETAY!$A$2</f>
        <v>0</v>
      </c>
      <c r="F2014" s="90">
        <f t="shared" si="149"/>
        <v>0</v>
      </c>
      <c r="G2014" s="92">
        <f t="shared" si="150"/>
        <v>0</v>
      </c>
      <c r="H2014" s="62" t="e">
        <f t="shared" si="151"/>
        <v>#DIV/0!</v>
      </c>
      <c r="I2014" s="57"/>
      <c r="J2014" s="57"/>
      <c r="K2014" s="57"/>
      <c r="L2014" s="57"/>
      <c r="M2014" s="58"/>
      <c r="N2014" s="57"/>
      <c r="O2014" s="57"/>
      <c r="P2014" s="57"/>
      <c r="Q2014" s="57"/>
      <c r="R2014" s="57"/>
      <c r="S2014" s="61"/>
      <c r="T2014" s="57"/>
      <c r="U2014" s="57"/>
      <c r="V2014" s="57"/>
      <c r="W2014" s="57"/>
      <c r="X2014" s="57"/>
      <c r="Y2014" s="57"/>
      <c r="Z2014" s="57"/>
      <c r="AA2014" s="57"/>
      <c r="AB2014" s="57"/>
      <c r="AC2014" s="57"/>
      <c r="AD2014" s="57"/>
      <c r="AE2014" s="57"/>
      <c r="AF2014" s="57"/>
      <c r="AG2014" s="57"/>
      <c r="AH2014" s="57"/>
      <c r="AI2014" s="57"/>
      <c r="AJ2014" s="57"/>
      <c r="AK2014" s="57"/>
      <c r="AL2014" s="57"/>
      <c r="AM2014" s="57"/>
      <c r="AN2014" s="57"/>
      <c r="AO2014" s="57"/>
      <c r="AP2014" s="57"/>
      <c r="AQ2014" s="57"/>
      <c r="AR2014" s="57"/>
      <c r="AS2014" s="57"/>
      <c r="AT2014" s="57"/>
      <c r="AU2014" s="57"/>
      <c r="AV2014" s="57"/>
      <c r="AW2014" s="57"/>
      <c r="AX2014" s="57"/>
      <c r="AY2014" s="57"/>
      <c r="AZ2014" s="57"/>
      <c r="BA2014" s="57"/>
      <c r="BB2014" s="57"/>
      <c r="BC2014" s="57"/>
      <c r="BD2014" s="57"/>
      <c r="BE2014" s="57"/>
      <c r="BF2014" s="57"/>
    </row>
    <row r="2015" spans="1:58" x14ac:dyDescent="0.25">
      <c r="A2015" s="53"/>
      <c r="B2015" s="60"/>
      <c r="C2015" s="57">
        <f t="shared" si="148"/>
        <v>0</v>
      </c>
      <c r="D2015" s="56"/>
      <c r="E2015" s="57">
        <f>[1]DETAY!$A$2</f>
        <v>0</v>
      </c>
      <c r="F2015" s="90">
        <f t="shared" si="149"/>
        <v>0</v>
      </c>
      <c r="G2015" s="92">
        <f t="shared" si="150"/>
        <v>0</v>
      </c>
      <c r="H2015" s="62" t="e">
        <f t="shared" si="151"/>
        <v>#DIV/0!</v>
      </c>
      <c r="I2015" s="57"/>
      <c r="J2015" s="57"/>
      <c r="K2015" s="57"/>
      <c r="L2015" s="57"/>
      <c r="M2015" s="58"/>
      <c r="N2015" s="57"/>
      <c r="O2015" s="57"/>
      <c r="P2015" s="57"/>
      <c r="Q2015" s="57"/>
      <c r="R2015" s="57"/>
      <c r="S2015" s="61"/>
      <c r="T2015" s="57"/>
      <c r="U2015" s="57"/>
      <c r="V2015" s="57"/>
      <c r="W2015" s="57"/>
      <c r="X2015" s="57"/>
      <c r="Y2015" s="57"/>
      <c r="Z2015" s="57"/>
      <c r="AA2015" s="57"/>
      <c r="AB2015" s="57"/>
      <c r="AC2015" s="57"/>
      <c r="AD2015" s="57"/>
      <c r="AE2015" s="57"/>
      <c r="AF2015" s="57"/>
      <c r="AG2015" s="57"/>
      <c r="AH2015" s="57"/>
      <c r="AI2015" s="57"/>
      <c r="AJ2015" s="57"/>
      <c r="AK2015" s="57"/>
      <c r="AL2015" s="57"/>
      <c r="AM2015" s="57"/>
      <c r="AN2015" s="57"/>
      <c r="AO2015" s="57"/>
      <c r="AP2015" s="57"/>
      <c r="AQ2015" s="57"/>
      <c r="AR2015" s="57"/>
      <c r="AS2015" s="57"/>
      <c r="AT2015" s="57"/>
      <c r="AU2015" s="57"/>
      <c r="AV2015" s="57"/>
      <c r="AW2015" s="57"/>
      <c r="AX2015" s="57"/>
      <c r="AY2015" s="57"/>
      <c r="AZ2015" s="57"/>
      <c r="BA2015" s="57"/>
      <c r="BB2015" s="57"/>
      <c r="BC2015" s="57"/>
      <c r="BD2015" s="57"/>
      <c r="BE2015" s="57"/>
      <c r="BF2015" s="57"/>
    </row>
    <row r="2016" spans="1:58" x14ac:dyDescent="0.25">
      <c r="A2016" s="53"/>
      <c r="B2016" s="60"/>
      <c r="C2016" s="57">
        <f t="shared" si="148"/>
        <v>0</v>
      </c>
      <c r="D2016" s="56"/>
      <c r="E2016" s="57">
        <f>[1]DETAY!$A$2</f>
        <v>0</v>
      </c>
      <c r="F2016" s="90">
        <f t="shared" si="149"/>
        <v>0</v>
      </c>
      <c r="G2016" s="92">
        <f t="shared" si="150"/>
        <v>0</v>
      </c>
      <c r="H2016" s="62" t="e">
        <f t="shared" si="151"/>
        <v>#DIV/0!</v>
      </c>
      <c r="I2016" s="57"/>
      <c r="J2016" s="57"/>
      <c r="K2016" s="57"/>
      <c r="L2016" s="57"/>
      <c r="M2016" s="58"/>
      <c r="N2016" s="57"/>
      <c r="O2016" s="57"/>
      <c r="P2016" s="57"/>
      <c r="Q2016" s="57"/>
      <c r="R2016" s="57"/>
      <c r="S2016" s="61"/>
      <c r="T2016" s="57"/>
      <c r="U2016" s="57"/>
      <c r="V2016" s="57"/>
      <c r="W2016" s="57"/>
      <c r="X2016" s="57"/>
      <c r="Y2016" s="57"/>
      <c r="Z2016" s="57"/>
      <c r="AA2016" s="57"/>
      <c r="AB2016" s="57"/>
      <c r="AC2016" s="57"/>
      <c r="AD2016" s="57"/>
      <c r="AE2016" s="57"/>
      <c r="AF2016" s="57"/>
      <c r="AG2016" s="57"/>
      <c r="AH2016" s="57"/>
      <c r="AI2016" s="57"/>
      <c r="AJ2016" s="57"/>
      <c r="AK2016" s="57"/>
      <c r="AL2016" s="57"/>
      <c r="AM2016" s="57"/>
      <c r="AN2016" s="57"/>
      <c r="AO2016" s="57"/>
      <c r="AP2016" s="57"/>
      <c r="AQ2016" s="57"/>
      <c r="AR2016" s="57"/>
      <c r="AS2016" s="57"/>
      <c r="AT2016" s="57"/>
      <c r="AU2016" s="57"/>
      <c r="AV2016" s="57"/>
      <c r="AW2016" s="57"/>
      <c r="AX2016" s="57"/>
      <c r="AY2016" s="57"/>
      <c r="AZ2016" s="57"/>
      <c r="BA2016" s="57"/>
      <c r="BB2016" s="57"/>
      <c r="BC2016" s="57"/>
      <c r="BD2016" s="57"/>
      <c r="BE2016" s="57"/>
      <c r="BF2016" s="57"/>
    </row>
    <row r="2017" spans="1:58" x14ac:dyDescent="0.25">
      <c r="A2017" s="53"/>
      <c r="B2017" s="60"/>
      <c r="C2017" s="57">
        <f t="shared" si="148"/>
        <v>0</v>
      </c>
      <c r="D2017" s="56"/>
      <c r="E2017" s="57">
        <f>[1]DETAY!$A$2</f>
        <v>0</v>
      </c>
      <c r="F2017" s="90">
        <f t="shared" si="149"/>
        <v>0</v>
      </c>
      <c r="G2017" s="92">
        <f t="shared" si="150"/>
        <v>0</v>
      </c>
      <c r="H2017" s="62" t="e">
        <f t="shared" si="151"/>
        <v>#DIV/0!</v>
      </c>
      <c r="I2017" s="57"/>
      <c r="J2017" s="57"/>
      <c r="K2017" s="57"/>
      <c r="L2017" s="57"/>
      <c r="M2017" s="58"/>
      <c r="N2017" s="57"/>
      <c r="O2017" s="57"/>
      <c r="P2017" s="57"/>
      <c r="Q2017" s="57"/>
      <c r="R2017" s="57"/>
      <c r="S2017" s="61"/>
      <c r="T2017" s="57"/>
      <c r="U2017" s="57"/>
      <c r="V2017" s="57"/>
      <c r="W2017" s="57"/>
      <c r="X2017" s="57"/>
      <c r="Y2017" s="57"/>
      <c r="Z2017" s="57"/>
      <c r="AA2017" s="57"/>
      <c r="AB2017" s="57"/>
      <c r="AC2017" s="57"/>
      <c r="AD2017" s="57"/>
      <c r="AE2017" s="57"/>
      <c r="AF2017" s="57"/>
      <c r="AG2017" s="57"/>
      <c r="AH2017" s="57"/>
      <c r="AI2017" s="57"/>
      <c r="AJ2017" s="57"/>
      <c r="AK2017" s="57"/>
      <c r="AL2017" s="57"/>
      <c r="AM2017" s="57"/>
      <c r="AN2017" s="57"/>
      <c r="AO2017" s="57"/>
      <c r="AP2017" s="57"/>
      <c r="AQ2017" s="57"/>
      <c r="AR2017" s="57"/>
      <c r="AS2017" s="57"/>
      <c r="AT2017" s="57"/>
      <c r="AU2017" s="57"/>
      <c r="AV2017" s="57"/>
      <c r="AW2017" s="57"/>
      <c r="AX2017" s="57"/>
      <c r="AY2017" s="57"/>
      <c r="AZ2017" s="57"/>
      <c r="BA2017" s="57"/>
      <c r="BB2017" s="57"/>
      <c r="BC2017" s="57"/>
      <c r="BD2017" s="57"/>
      <c r="BE2017" s="57"/>
      <c r="BF2017" s="57"/>
    </row>
    <row r="2018" spans="1:58" x14ac:dyDescent="0.25">
      <c r="A2018" s="53"/>
      <c r="B2018" s="60"/>
      <c r="C2018" s="57">
        <f t="shared" si="148"/>
        <v>0</v>
      </c>
      <c r="D2018" s="56"/>
      <c r="E2018" s="57">
        <f>[1]DETAY!$A$2</f>
        <v>0</v>
      </c>
      <c r="F2018" s="90">
        <f t="shared" si="149"/>
        <v>0</v>
      </c>
      <c r="G2018" s="92">
        <f t="shared" si="150"/>
        <v>0</v>
      </c>
      <c r="H2018" s="62" t="e">
        <f t="shared" si="151"/>
        <v>#DIV/0!</v>
      </c>
      <c r="I2018" s="57"/>
      <c r="J2018" s="57"/>
      <c r="K2018" s="57"/>
      <c r="L2018" s="57"/>
      <c r="M2018" s="58"/>
      <c r="N2018" s="57"/>
      <c r="O2018" s="57"/>
      <c r="P2018" s="57"/>
      <c r="Q2018" s="57"/>
      <c r="R2018" s="57"/>
      <c r="S2018" s="61"/>
      <c r="T2018" s="57"/>
      <c r="U2018" s="57"/>
      <c r="V2018" s="57"/>
      <c r="W2018" s="57"/>
      <c r="X2018" s="57"/>
      <c r="Y2018" s="57"/>
      <c r="Z2018" s="57"/>
      <c r="AA2018" s="57"/>
      <c r="AB2018" s="57"/>
      <c r="AC2018" s="57"/>
      <c r="AD2018" s="57"/>
      <c r="AE2018" s="57"/>
      <c r="AF2018" s="57"/>
      <c r="AG2018" s="57"/>
      <c r="AH2018" s="57"/>
      <c r="AI2018" s="57"/>
      <c r="AJ2018" s="57"/>
      <c r="AK2018" s="57"/>
      <c r="AL2018" s="57"/>
      <c r="AM2018" s="57"/>
      <c r="AN2018" s="57"/>
      <c r="AO2018" s="57"/>
      <c r="AP2018" s="57"/>
      <c r="AQ2018" s="57"/>
      <c r="AR2018" s="57"/>
      <c r="AS2018" s="57"/>
      <c r="AT2018" s="57"/>
      <c r="AU2018" s="57"/>
      <c r="AV2018" s="57"/>
      <c r="AW2018" s="57"/>
      <c r="AX2018" s="57"/>
      <c r="AY2018" s="57"/>
      <c r="AZ2018" s="57"/>
      <c r="BA2018" s="57"/>
      <c r="BB2018" s="57"/>
      <c r="BC2018" s="57"/>
      <c r="BD2018" s="57"/>
      <c r="BE2018" s="57"/>
      <c r="BF2018" s="57"/>
    </row>
    <row r="2019" spans="1:58" x14ac:dyDescent="0.25">
      <c r="A2019" s="53"/>
      <c r="B2019" s="60"/>
      <c r="C2019" s="57">
        <f t="shared" si="148"/>
        <v>0</v>
      </c>
      <c r="D2019" s="56"/>
      <c r="E2019" s="57">
        <f>[1]DETAY!$A$2</f>
        <v>0</v>
      </c>
      <c r="F2019" s="90">
        <f t="shared" si="149"/>
        <v>0</v>
      </c>
      <c r="G2019" s="92">
        <f t="shared" si="150"/>
        <v>0</v>
      </c>
      <c r="H2019" s="62" t="e">
        <f t="shared" si="151"/>
        <v>#DIV/0!</v>
      </c>
      <c r="I2019" s="57"/>
      <c r="J2019" s="57"/>
      <c r="K2019" s="57"/>
      <c r="L2019" s="57"/>
      <c r="M2019" s="58"/>
      <c r="N2019" s="57"/>
      <c r="O2019" s="57"/>
      <c r="P2019" s="57"/>
      <c r="Q2019" s="57"/>
      <c r="R2019" s="57"/>
      <c r="S2019" s="61"/>
      <c r="T2019" s="57"/>
      <c r="U2019" s="57"/>
      <c r="V2019" s="57"/>
      <c r="W2019" s="57"/>
      <c r="X2019" s="57"/>
      <c r="Y2019" s="57"/>
      <c r="Z2019" s="57"/>
      <c r="AA2019" s="57"/>
      <c r="AB2019" s="57"/>
      <c r="AC2019" s="57"/>
      <c r="AD2019" s="57"/>
      <c r="AE2019" s="57"/>
      <c r="AF2019" s="57"/>
      <c r="AG2019" s="57"/>
      <c r="AH2019" s="57"/>
      <c r="AI2019" s="57"/>
      <c r="AJ2019" s="57"/>
      <c r="AK2019" s="57"/>
      <c r="AL2019" s="57"/>
      <c r="AM2019" s="57"/>
      <c r="AN2019" s="57"/>
      <c r="AO2019" s="57"/>
      <c r="AP2019" s="57"/>
      <c r="AQ2019" s="57"/>
      <c r="AR2019" s="57"/>
      <c r="AS2019" s="57"/>
      <c r="AT2019" s="57"/>
      <c r="AU2019" s="57"/>
      <c r="AV2019" s="57"/>
      <c r="AW2019" s="57"/>
      <c r="AX2019" s="57"/>
      <c r="AY2019" s="57"/>
      <c r="AZ2019" s="57"/>
      <c r="BA2019" s="57"/>
      <c r="BB2019" s="57"/>
      <c r="BC2019" s="57"/>
      <c r="BD2019" s="57"/>
      <c r="BE2019" s="57"/>
      <c r="BF2019" s="57"/>
    </row>
    <row r="2020" spans="1:58" x14ac:dyDescent="0.25">
      <c r="A2020" s="53"/>
      <c r="B2020" s="60"/>
      <c r="C2020" s="57">
        <f t="shared" si="148"/>
        <v>0</v>
      </c>
      <c r="D2020" s="56"/>
      <c r="E2020" s="57">
        <f>[1]DETAY!$A$2</f>
        <v>0</v>
      </c>
      <c r="F2020" s="90">
        <f t="shared" si="149"/>
        <v>0</v>
      </c>
      <c r="G2020" s="92">
        <f t="shared" si="150"/>
        <v>0</v>
      </c>
      <c r="H2020" s="62" t="e">
        <f t="shared" si="151"/>
        <v>#DIV/0!</v>
      </c>
      <c r="I2020" s="57"/>
      <c r="J2020" s="57"/>
      <c r="K2020" s="57"/>
      <c r="L2020" s="57"/>
      <c r="M2020" s="58"/>
      <c r="N2020" s="57"/>
      <c r="O2020" s="57"/>
      <c r="P2020" s="57"/>
      <c r="Q2020" s="57"/>
      <c r="R2020" s="57"/>
      <c r="S2020" s="61"/>
      <c r="T2020" s="57"/>
      <c r="U2020" s="57"/>
      <c r="V2020" s="57"/>
      <c r="W2020" s="57"/>
      <c r="X2020" s="57"/>
      <c r="Y2020" s="57"/>
      <c r="Z2020" s="57"/>
      <c r="AA2020" s="57"/>
      <c r="AB2020" s="57"/>
      <c r="AC2020" s="57"/>
      <c r="AD2020" s="57"/>
      <c r="AE2020" s="57"/>
      <c r="AF2020" s="57"/>
      <c r="AG2020" s="57"/>
      <c r="AH2020" s="57"/>
      <c r="AI2020" s="57"/>
      <c r="AJ2020" s="57"/>
      <c r="AK2020" s="57"/>
      <c r="AL2020" s="57"/>
      <c r="AM2020" s="57"/>
      <c r="AN2020" s="57"/>
      <c r="AO2020" s="57"/>
      <c r="AP2020" s="57"/>
      <c r="AQ2020" s="57"/>
      <c r="AR2020" s="57"/>
      <c r="AS2020" s="57"/>
      <c r="AT2020" s="57"/>
      <c r="AU2020" s="57"/>
      <c r="AV2020" s="57"/>
      <c r="AW2020" s="57"/>
      <c r="AX2020" s="57"/>
      <c r="AY2020" s="57"/>
      <c r="AZ2020" s="57"/>
      <c r="BA2020" s="57"/>
      <c r="BB2020" s="57"/>
      <c r="BC2020" s="57"/>
      <c r="BD2020" s="57"/>
      <c r="BE2020" s="57"/>
      <c r="BF2020" s="57"/>
    </row>
    <row r="2021" spans="1:58" x14ac:dyDescent="0.25">
      <c r="A2021" s="53"/>
      <c r="B2021" s="60"/>
      <c r="C2021" s="57">
        <f t="shared" si="148"/>
        <v>0</v>
      </c>
      <c r="D2021" s="56"/>
      <c r="E2021" s="57">
        <f>[1]DETAY!$A$2</f>
        <v>0</v>
      </c>
      <c r="F2021" s="90">
        <f t="shared" si="149"/>
        <v>0</v>
      </c>
      <c r="G2021" s="92">
        <f t="shared" si="150"/>
        <v>0</v>
      </c>
      <c r="H2021" s="62" t="e">
        <f t="shared" si="151"/>
        <v>#DIV/0!</v>
      </c>
      <c r="I2021" s="57"/>
      <c r="J2021" s="57"/>
      <c r="K2021" s="57"/>
      <c r="L2021" s="57"/>
      <c r="M2021" s="58"/>
      <c r="N2021" s="57"/>
      <c r="O2021" s="57"/>
      <c r="P2021" s="57"/>
      <c r="Q2021" s="57"/>
      <c r="R2021" s="57"/>
      <c r="S2021" s="61"/>
      <c r="T2021" s="57"/>
      <c r="U2021" s="57"/>
      <c r="V2021" s="57"/>
      <c r="W2021" s="57"/>
      <c r="X2021" s="57"/>
      <c r="Y2021" s="57"/>
      <c r="Z2021" s="57"/>
      <c r="AA2021" s="57"/>
      <c r="AB2021" s="57"/>
      <c r="AC2021" s="57"/>
      <c r="AD2021" s="57"/>
      <c r="AE2021" s="57"/>
      <c r="AF2021" s="57"/>
      <c r="AG2021" s="57"/>
      <c r="AH2021" s="57"/>
      <c r="AI2021" s="57"/>
      <c r="AJ2021" s="57"/>
      <c r="AK2021" s="57"/>
      <c r="AL2021" s="57"/>
      <c r="AM2021" s="57"/>
      <c r="AN2021" s="57"/>
      <c r="AO2021" s="57"/>
      <c r="AP2021" s="57"/>
      <c r="AQ2021" s="57"/>
      <c r="AR2021" s="57"/>
      <c r="AS2021" s="57"/>
      <c r="AT2021" s="57"/>
      <c r="AU2021" s="57"/>
      <c r="AV2021" s="57"/>
      <c r="AW2021" s="57"/>
      <c r="AX2021" s="57"/>
      <c r="AY2021" s="57"/>
      <c r="AZ2021" s="57"/>
      <c r="BA2021" s="57"/>
      <c r="BB2021" s="57"/>
      <c r="BC2021" s="57"/>
      <c r="BD2021" s="57"/>
      <c r="BE2021" s="57"/>
      <c r="BF2021" s="57"/>
    </row>
    <row r="2022" spans="1:58" x14ac:dyDescent="0.25">
      <c r="A2022" s="53"/>
      <c r="B2022" s="60"/>
      <c r="C2022" s="57">
        <f t="shared" si="148"/>
        <v>0</v>
      </c>
      <c r="D2022" s="56"/>
      <c r="E2022" s="57">
        <f>[1]DETAY!$A$2</f>
        <v>0</v>
      </c>
      <c r="F2022" s="90">
        <f t="shared" si="149"/>
        <v>0</v>
      </c>
      <c r="G2022" s="92">
        <f t="shared" si="150"/>
        <v>0</v>
      </c>
      <c r="H2022" s="62" t="e">
        <f t="shared" si="151"/>
        <v>#DIV/0!</v>
      </c>
      <c r="I2022" s="57"/>
      <c r="J2022" s="57"/>
      <c r="K2022" s="57"/>
      <c r="L2022" s="57"/>
      <c r="M2022" s="58"/>
      <c r="N2022" s="57"/>
      <c r="O2022" s="57"/>
      <c r="P2022" s="57"/>
      <c r="Q2022" s="57"/>
      <c r="R2022" s="57"/>
      <c r="S2022" s="61"/>
      <c r="T2022" s="57"/>
      <c r="U2022" s="57"/>
      <c r="V2022" s="57"/>
      <c r="W2022" s="57"/>
      <c r="X2022" s="57"/>
      <c r="Y2022" s="57"/>
      <c r="Z2022" s="57"/>
      <c r="AA2022" s="57"/>
      <c r="AB2022" s="57"/>
      <c r="AC2022" s="57"/>
      <c r="AD2022" s="57"/>
      <c r="AE2022" s="57"/>
      <c r="AF2022" s="57"/>
      <c r="AG2022" s="57"/>
      <c r="AH2022" s="57"/>
      <c r="AI2022" s="57"/>
      <c r="AJ2022" s="57"/>
      <c r="AK2022" s="57"/>
      <c r="AL2022" s="57"/>
      <c r="AM2022" s="57"/>
      <c r="AN2022" s="57"/>
      <c r="AO2022" s="57"/>
      <c r="AP2022" s="57"/>
      <c r="AQ2022" s="57"/>
      <c r="AR2022" s="57"/>
      <c r="AS2022" s="57"/>
      <c r="AT2022" s="57"/>
      <c r="AU2022" s="57"/>
      <c r="AV2022" s="57"/>
      <c r="AW2022" s="57"/>
      <c r="AX2022" s="57"/>
      <c r="AY2022" s="57"/>
      <c r="AZ2022" s="57"/>
      <c r="BA2022" s="57"/>
      <c r="BB2022" s="57"/>
      <c r="BC2022" s="57"/>
      <c r="BD2022" s="57"/>
      <c r="BE2022" s="57"/>
      <c r="BF2022" s="57"/>
    </row>
    <row r="2023" spans="1:58" x14ac:dyDescent="0.25">
      <c r="A2023" s="53"/>
      <c r="B2023" s="60"/>
      <c r="C2023" s="57">
        <f t="shared" si="148"/>
        <v>0</v>
      </c>
      <c r="D2023" s="56"/>
      <c r="E2023" s="57">
        <f>[1]DETAY!$A$2</f>
        <v>0</v>
      </c>
      <c r="F2023" s="90">
        <f t="shared" si="149"/>
        <v>0</v>
      </c>
      <c r="G2023" s="92">
        <f t="shared" si="150"/>
        <v>0</v>
      </c>
      <c r="H2023" s="62" t="e">
        <f t="shared" si="151"/>
        <v>#DIV/0!</v>
      </c>
      <c r="I2023" s="57"/>
      <c r="J2023" s="57"/>
      <c r="K2023" s="57"/>
      <c r="L2023" s="57"/>
      <c r="M2023" s="58"/>
      <c r="N2023" s="57"/>
      <c r="O2023" s="57"/>
      <c r="P2023" s="57"/>
      <c r="Q2023" s="57"/>
      <c r="R2023" s="57"/>
      <c r="S2023" s="61"/>
      <c r="T2023" s="57"/>
      <c r="U2023" s="57"/>
      <c r="V2023" s="57"/>
      <c r="W2023" s="57"/>
      <c r="X2023" s="57"/>
      <c r="Y2023" s="57"/>
      <c r="Z2023" s="57"/>
      <c r="AA2023" s="57"/>
      <c r="AB2023" s="57"/>
      <c r="AC2023" s="57"/>
      <c r="AD2023" s="57"/>
      <c r="AE2023" s="57"/>
      <c r="AF2023" s="57"/>
      <c r="AG2023" s="57"/>
      <c r="AH2023" s="57"/>
      <c r="AI2023" s="57"/>
      <c r="AJ2023" s="57"/>
      <c r="AK2023" s="57"/>
      <c r="AL2023" s="57"/>
      <c r="AM2023" s="57"/>
      <c r="AN2023" s="57"/>
      <c r="AO2023" s="57"/>
      <c r="AP2023" s="57"/>
      <c r="AQ2023" s="57"/>
      <c r="AR2023" s="57"/>
      <c r="AS2023" s="57"/>
      <c r="AT2023" s="57"/>
      <c r="AU2023" s="57"/>
      <c r="AV2023" s="57"/>
      <c r="AW2023" s="57"/>
      <c r="AX2023" s="57"/>
      <c r="AY2023" s="57"/>
      <c r="AZ2023" s="57"/>
      <c r="BA2023" s="57"/>
      <c r="BB2023" s="57"/>
      <c r="BC2023" s="57"/>
      <c r="BD2023" s="57"/>
      <c r="BE2023" s="57"/>
      <c r="BF2023" s="57"/>
    </row>
    <row r="2024" spans="1:58" x14ac:dyDescent="0.25">
      <c r="A2024" s="53"/>
      <c r="B2024" s="60"/>
      <c r="C2024" s="57">
        <f t="shared" si="148"/>
        <v>0</v>
      </c>
      <c r="D2024" s="56"/>
      <c r="E2024" s="57">
        <f>[1]DETAY!$A$2</f>
        <v>0</v>
      </c>
      <c r="F2024" s="90">
        <f t="shared" si="149"/>
        <v>0</v>
      </c>
      <c r="G2024" s="92">
        <f t="shared" si="150"/>
        <v>0</v>
      </c>
      <c r="H2024" s="62" t="e">
        <f t="shared" si="151"/>
        <v>#DIV/0!</v>
      </c>
      <c r="I2024" s="57"/>
      <c r="J2024" s="57"/>
      <c r="K2024" s="57"/>
      <c r="L2024" s="57"/>
      <c r="M2024" s="58"/>
      <c r="N2024" s="57"/>
      <c r="O2024" s="57"/>
      <c r="P2024" s="57"/>
      <c r="Q2024" s="57"/>
      <c r="R2024" s="57"/>
      <c r="S2024" s="61"/>
      <c r="T2024" s="57"/>
      <c r="U2024" s="57"/>
      <c r="V2024" s="57"/>
      <c r="W2024" s="57"/>
      <c r="X2024" s="57"/>
      <c r="Y2024" s="57"/>
      <c r="Z2024" s="57"/>
      <c r="AA2024" s="57"/>
      <c r="AB2024" s="57"/>
      <c r="AC2024" s="57"/>
      <c r="AD2024" s="57"/>
      <c r="AE2024" s="57"/>
      <c r="AF2024" s="57"/>
      <c r="AG2024" s="57"/>
      <c r="AH2024" s="57"/>
      <c r="AI2024" s="57"/>
      <c r="AJ2024" s="57"/>
      <c r="AK2024" s="57"/>
      <c r="AL2024" s="57"/>
      <c r="AM2024" s="57"/>
      <c r="AN2024" s="57"/>
      <c r="AO2024" s="57"/>
      <c r="AP2024" s="57"/>
      <c r="AQ2024" s="57"/>
      <c r="AR2024" s="57"/>
      <c r="AS2024" s="57"/>
      <c r="AT2024" s="57"/>
      <c r="AU2024" s="57"/>
      <c r="AV2024" s="57"/>
      <c r="AW2024" s="57"/>
      <c r="AX2024" s="57"/>
      <c r="AY2024" s="57"/>
      <c r="AZ2024" s="57"/>
      <c r="BA2024" s="57"/>
      <c r="BB2024" s="57"/>
      <c r="BC2024" s="57"/>
      <c r="BD2024" s="57"/>
      <c r="BE2024" s="57"/>
      <c r="BF2024" s="57"/>
    </row>
    <row r="2025" spans="1:58" x14ac:dyDescent="0.25">
      <c r="A2025" s="53"/>
      <c r="B2025" s="60"/>
      <c r="C2025" s="57">
        <f t="shared" si="148"/>
        <v>0</v>
      </c>
      <c r="D2025" s="56"/>
      <c r="E2025" s="57">
        <f>[1]DETAY!$A$2</f>
        <v>0</v>
      </c>
      <c r="F2025" s="90">
        <f t="shared" si="149"/>
        <v>0</v>
      </c>
      <c r="G2025" s="92">
        <f t="shared" si="150"/>
        <v>0</v>
      </c>
      <c r="H2025" s="62" t="e">
        <f t="shared" si="151"/>
        <v>#DIV/0!</v>
      </c>
      <c r="I2025" s="57"/>
      <c r="J2025" s="57"/>
      <c r="K2025" s="57"/>
      <c r="L2025" s="57"/>
      <c r="M2025" s="58"/>
      <c r="N2025" s="57"/>
      <c r="O2025" s="57"/>
      <c r="P2025" s="57"/>
      <c r="Q2025" s="57"/>
      <c r="R2025" s="57"/>
      <c r="S2025" s="61"/>
      <c r="T2025" s="57"/>
      <c r="U2025" s="57"/>
      <c r="V2025" s="57"/>
      <c r="W2025" s="57"/>
      <c r="X2025" s="57"/>
      <c r="Y2025" s="57"/>
      <c r="Z2025" s="57"/>
      <c r="AA2025" s="57"/>
      <c r="AB2025" s="57"/>
      <c r="AC2025" s="57"/>
      <c r="AD2025" s="57"/>
      <c r="AE2025" s="57"/>
      <c r="AF2025" s="57"/>
      <c r="AG2025" s="57"/>
      <c r="AH2025" s="57"/>
      <c r="AI2025" s="57"/>
      <c r="AJ2025" s="57"/>
      <c r="AK2025" s="57"/>
      <c r="AL2025" s="57"/>
      <c r="AM2025" s="57"/>
      <c r="AN2025" s="57"/>
      <c r="AO2025" s="57"/>
      <c r="AP2025" s="57"/>
      <c r="AQ2025" s="57"/>
      <c r="AR2025" s="57"/>
      <c r="AS2025" s="57"/>
      <c r="AT2025" s="57"/>
      <c r="AU2025" s="57"/>
      <c r="AV2025" s="57"/>
      <c r="AW2025" s="57"/>
      <c r="AX2025" s="57"/>
      <c r="AY2025" s="57"/>
      <c r="AZ2025" s="57"/>
      <c r="BA2025" s="57"/>
      <c r="BB2025" s="57"/>
      <c r="BC2025" s="57"/>
      <c r="BD2025" s="57"/>
      <c r="BE2025" s="57"/>
      <c r="BF2025" s="57"/>
    </row>
    <row r="2026" spans="1:58" x14ac:dyDescent="0.25">
      <c r="A2026" s="53"/>
      <c r="B2026" s="60"/>
      <c r="C2026" s="57">
        <f t="shared" si="148"/>
        <v>0</v>
      </c>
      <c r="D2026" s="56"/>
      <c r="E2026" s="57">
        <f>[1]DETAY!$A$2</f>
        <v>0</v>
      </c>
      <c r="F2026" s="90">
        <f t="shared" si="149"/>
        <v>0</v>
      </c>
      <c r="G2026" s="92">
        <f t="shared" si="150"/>
        <v>0</v>
      </c>
      <c r="H2026" s="62" t="e">
        <f t="shared" si="151"/>
        <v>#DIV/0!</v>
      </c>
      <c r="I2026" s="57"/>
      <c r="J2026" s="57"/>
      <c r="K2026" s="57"/>
      <c r="L2026" s="57"/>
      <c r="M2026" s="58"/>
      <c r="N2026" s="57"/>
      <c r="O2026" s="57"/>
      <c r="P2026" s="57"/>
      <c r="Q2026" s="57"/>
      <c r="R2026" s="57"/>
      <c r="S2026" s="61"/>
      <c r="T2026" s="57"/>
      <c r="U2026" s="57"/>
      <c r="V2026" s="57"/>
      <c r="W2026" s="57"/>
      <c r="X2026" s="57"/>
      <c r="Y2026" s="57"/>
      <c r="Z2026" s="57"/>
      <c r="AA2026" s="57"/>
      <c r="AB2026" s="57"/>
      <c r="AC2026" s="57"/>
      <c r="AD2026" s="57"/>
      <c r="AE2026" s="57"/>
      <c r="AF2026" s="57"/>
      <c r="AG2026" s="57"/>
      <c r="AH2026" s="57"/>
      <c r="AI2026" s="57"/>
      <c r="AJ2026" s="57"/>
      <c r="AK2026" s="57"/>
      <c r="AL2026" s="57"/>
      <c r="AM2026" s="57"/>
      <c r="AN2026" s="57"/>
      <c r="AO2026" s="57"/>
      <c r="AP2026" s="57"/>
      <c r="AQ2026" s="57"/>
      <c r="AR2026" s="57"/>
      <c r="AS2026" s="57"/>
      <c r="AT2026" s="57"/>
      <c r="AU2026" s="57"/>
      <c r="AV2026" s="57"/>
      <c r="AW2026" s="57"/>
      <c r="AX2026" s="57"/>
      <c r="AY2026" s="57"/>
      <c r="AZ2026" s="57"/>
      <c r="BA2026" s="57"/>
      <c r="BB2026" s="57"/>
      <c r="BC2026" s="57"/>
      <c r="BD2026" s="57"/>
      <c r="BE2026" s="57"/>
      <c r="BF2026" s="57"/>
    </row>
    <row r="2027" spans="1:58" x14ac:dyDescent="0.25">
      <c r="A2027" s="53"/>
      <c r="B2027" s="60"/>
      <c r="C2027" s="57">
        <f t="shared" si="148"/>
        <v>0</v>
      </c>
      <c r="D2027" s="56"/>
      <c r="E2027" s="57">
        <f>[1]DETAY!$A$2</f>
        <v>0</v>
      </c>
      <c r="F2027" s="90">
        <f t="shared" si="149"/>
        <v>0</v>
      </c>
      <c r="G2027" s="92">
        <f t="shared" si="150"/>
        <v>0</v>
      </c>
      <c r="H2027" s="62" t="e">
        <f t="shared" si="151"/>
        <v>#DIV/0!</v>
      </c>
      <c r="I2027" s="57"/>
      <c r="J2027" s="57"/>
      <c r="K2027" s="57"/>
      <c r="L2027" s="57"/>
      <c r="M2027" s="58"/>
      <c r="N2027" s="57"/>
      <c r="O2027" s="57"/>
      <c r="P2027" s="57"/>
      <c r="Q2027" s="57"/>
      <c r="R2027" s="57"/>
      <c r="S2027" s="61"/>
      <c r="T2027" s="57"/>
      <c r="U2027" s="57"/>
      <c r="V2027" s="57"/>
      <c r="W2027" s="57"/>
      <c r="X2027" s="57"/>
      <c r="Y2027" s="57"/>
      <c r="Z2027" s="57"/>
      <c r="AA2027" s="57"/>
      <c r="AB2027" s="57"/>
      <c r="AC2027" s="57"/>
      <c r="AD2027" s="57"/>
      <c r="AE2027" s="57"/>
      <c r="AF2027" s="57"/>
      <c r="AG2027" s="57"/>
      <c r="AH2027" s="57"/>
      <c r="AI2027" s="57"/>
      <c r="AJ2027" s="57"/>
      <c r="AK2027" s="57"/>
      <c r="AL2027" s="57"/>
      <c r="AM2027" s="57"/>
      <c r="AN2027" s="57"/>
      <c r="AO2027" s="57"/>
      <c r="AP2027" s="57"/>
      <c r="AQ2027" s="57"/>
      <c r="AR2027" s="57"/>
      <c r="AS2027" s="57"/>
      <c r="AT2027" s="57"/>
      <c r="AU2027" s="57"/>
      <c r="AV2027" s="57"/>
      <c r="AW2027" s="57"/>
      <c r="AX2027" s="57"/>
      <c r="AY2027" s="57"/>
      <c r="AZ2027" s="57"/>
      <c r="BA2027" s="57"/>
      <c r="BB2027" s="57"/>
      <c r="BC2027" s="57"/>
      <c r="BD2027" s="57"/>
      <c r="BE2027" s="57"/>
      <c r="BF2027" s="57"/>
    </row>
    <row r="2028" spans="1:58" x14ac:dyDescent="0.25">
      <c r="A2028" s="53"/>
      <c r="B2028" s="60"/>
      <c r="C2028" s="57">
        <f t="shared" si="148"/>
        <v>0</v>
      </c>
      <c r="D2028" s="56"/>
      <c r="E2028" s="57">
        <f>[1]DETAY!$A$2</f>
        <v>0</v>
      </c>
      <c r="F2028" s="90">
        <f t="shared" si="149"/>
        <v>0</v>
      </c>
      <c r="G2028" s="92">
        <f t="shared" si="150"/>
        <v>0</v>
      </c>
      <c r="H2028" s="62" t="e">
        <f t="shared" si="151"/>
        <v>#DIV/0!</v>
      </c>
      <c r="I2028" s="57"/>
      <c r="J2028" s="57"/>
      <c r="K2028" s="57"/>
      <c r="L2028" s="57"/>
      <c r="M2028" s="58"/>
      <c r="N2028" s="57"/>
      <c r="O2028" s="57"/>
      <c r="P2028" s="57"/>
      <c r="Q2028" s="57"/>
      <c r="R2028" s="57"/>
      <c r="S2028" s="61"/>
      <c r="T2028" s="57"/>
      <c r="U2028" s="57"/>
      <c r="V2028" s="57"/>
      <c r="W2028" s="57"/>
      <c r="X2028" s="57"/>
      <c r="Y2028" s="57"/>
      <c r="Z2028" s="57"/>
      <c r="AA2028" s="57"/>
      <c r="AB2028" s="57"/>
      <c r="AC2028" s="57"/>
      <c r="AD2028" s="57"/>
      <c r="AE2028" s="57"/>
      <c r="AF2028" s="57"/>
      <c r="AG2028" s="57"/>
      <c r="AH2028" s="57"/>
      <c r="AI2028" s="57"/>
      <c r="AJ2028" s="57"/>
      <c r="AK2028" s="57"/>
      <c r="AL2028" s="57"/>
      <c r="AM2028" s="57"/>
      <c r="AN2028" s="57"/>
      <c r="AO2028" s="57"/>
      <c r="AP2028" s="57"/>
      <c r="AQ2028" s="57"/>
      <c r="AR2028" s="57"/>
      <c r="AS2028" s="57"/>
      <c r="AT2028" s="57"/>
      <c r="AU2028" s="57"/>
      <c r="AV2028" s="57"/>
      <c r="AW2028" s="57"/>
      <c r="AX2028" s="57"/>
      <c r="AY2028" s="57"/>
      <c r="AZ2028" s="57"/>
      <c r="BA2028" s="57"/>
      <c r="BB2028" s="57"/>
      <c r="BC2028" s="57"/>
      <c r="BD2028" s="57"/>
      <c r="BE2028" s="57"/>
      <c r="BF2028" s="57"/>
    </row>
    <row r="2029" spans="1:58" x14ac:dyDescent="0.25">
      <c r="A2029" s="53"/>
      <c r="B2029" s="60"/>
      <c r="C2029" s="57">
        <f t="shared" si="148"/>
        <v>0</v>
      </c>
      <c r="D2029" s="56"/>
      <c r="E2029" s="57">
        <f>[1]DETAY!$A$2</f>
        <v>0</v>
      </c>
      <c r="F2029" s="90">
        <f t="shared" si="149"/>
        <v>0</v>
      </c>
      <c r="G2029" s="92">
        <f t="shared" si="150"/>
        <v>0</v>
      </c>
      <c r="H2029" s="62" t="e">
        <f t="shared" si="151"/>
        <v>#DIV/0!</v>
      </c>
      <c r="I2029" s="57"/>
      <c r="J2029" s="57"/>
      <c r="K2029" s="57"/>
      <c r="L2029" s="57"/>
      <c r="M2029" s="58"/>
      <c r="N2029" s="57"/>
      <c r="O2029" s="57"/>
      <c r="P2029" s="57"/>
      <c r="Q2029" s="57"/>
      <c r="R2029" s="57"/>
      <c r="S2029" s="61"/>
      <c r="T2029" s="57"/>
      <c r="U2029" s="57"/>
      <c r="V2029" s="57"/>
      <c r="W2029" s="57"/>
      <c r="X2029" s="57"/>
      <c r="Y2029" s="57"/>
      <c r="Z2029" s="57"/>
      <c r="AA2029" s="57"/>
      <c r="AB2029" s="57"/>
      <c r="AC2029" s="57"/>
      <c r="AD2029" s="57"/>
      <c r="AE2029" s="57"/>
      <c r="AF2029" s="57"/>
      <c r="AG2029" s="57"/>
      <c r="AH2029" s="57"/>
      <c r="AI2029" s="57"/>
      <c r="AJ2029" s="57"/>
      <c r="AK2029" s="57"/>
      <c r="AL2029" s="57"/>
      <c r="AM2029" s="57"/>
      <c r="AN2029" s="57"/>
      <c r="AO2029" s="57"/>
      <c r="AP2029" s="57"/>
      <c r="AQ2029" s="57"/>
      <c r="AR2029" s="57"/>
      <c r="AS2029" s="57"/>
      <c r="AT2029" s="57"/>
      <c r="AU2029" s="57"/>
      <c r="AV2029" s="57"/>
      <c r="AW2029" s="57"/>
      <c r="AX2029" s="57"/>
      <c r="AY2029" s="57"/>
      <c r="AZ2029" s="57"/>
      <c r="BA2029" s="57"/>
      <c r="BB2029" s="57"/>
      <c r="BC2029" s="57"/>
      <c r="BD2029" s="57"/>
      <c r="BE2029" s="57"/>
      <c r="BF2029" s="57"/>
    </row>
    <row r="2030" spans="1:58" x14ac:dyDescent="0.25">
      <c r="A2030" s="53"/>
      <c r="B2030" s="60"/>
      <c r="C2030" s="57">
        <f t="shared" si="148"/>
        <v>0</v>
      </c>
      <c r="D2030" s="56"/>
      <c r="E2030" s="57">
        <f>[1]DETAY!$A$2</f>
        <v>0</v>
      </c>
      <c r="F2030" s="90">
        <f t="shared" si="149"/>
        <v>0</v>
      </c>
      <c r="G2030" s="92">
        <f t="shared" si="150"/>
        <v>0</v>
      </c>
      <c r="H2030" s="62" t="e">
        <f t="shared" si="151"/>
        <v>#DIV/0!</v>
      </c>
      <c r="I2030" s="57"/>
      <c r="J2030" s="57"/>
      <c r="K2030" s="57"/>
      <c r="L2030" s="57"/>
      <c r="M2030" s="58"/>
      <c r="N2030" s="57"/>
      <c r="O2030" s="57"/>
      <c r="P2030" s="57"/>
      <c r="Q2030" s="57"/>
      <c r="R2030" s="57"/>
      <c r="S2030" s="61"/>
      <c r="T2030" s="57"/>
      <c r="U2030" s="57"/>
      <c r="V2030" s="57"/>
      <c r="W2030" s="57"/>
      <c r="X2030" s="57"/>
      <c r="Y2030" s="57"/>
      <c r="Z2030" s="57"/>
      <c r="AA2030" s="57"/>
      <c r="AB2030" s="57"/>
      <c r="AC2030" s="57"/>
      <c r="AD2030" s="57"/>
      <c r="AE2030" s="57"/>
      <c r="AF2030" s="57"/>
      <c r="AG2030" s="57"/>
      <c r="AH2030" s="57"/>
      <c r="AI2030" s="57"/>
      <c r="AJ2030" s="57"/>
      <c r="AK2030" s="57"/>
      <c r="AL2030" s="57"/>
      <c r="AM2030" s="57"/>
      <c r="AN2030" s="57"/>
      <c r="AO2030" s="57"/>
      <c r="AP2030" s="57"/>
      <c r="AQ2030" s="57"/>
      <c r="AR2030" s="57"/>
      <c r="AS2030" s="57"/>
      <c r="AT2030" s="57"/>
      <c r="AU2030" s="57"/>
      <c r="AV2030" s="57"/>
      <c r="AW2030" s="57"/>
      <c r="AX2030" s="57"/>
      <c r="AY2030" s="57"/>
      <c r="AZ2030" s="57"/>
      <c r="BA2030" s="57"/>
      <c r="BB2030" s="57"/>
      <c r="BC2030" s="57"/>
      <c r="BD2030" s="57"/>
      <c r="BE2030" s="57"/>
      <c r="BF2030" s="57"/>
    </row>
    <row r="2031" spans="1:58" x14ac:dyDescent="0.25">
      <c r="A2031" s="53"/>
      <c r="B2031" s="60"/>
      <c r="C2031" s="57">
        <f t="shared" si="148"/>
        <v>0</v>
      </c>
      <c r="D2031" s="56"/>
      <c r="E2031" s="57">
        <f>[1]DETAY!$A$2</f>
        <v>0</v>
      </c>
      <c r="F2031" s="90">
        <f t="shared" si="149"/>
        <v>0</v>
      </c>
      <c r="G2031" s="92">
        <f t="shared" si="150"/>
        <v>0</v>
      </c>
      <c r="H2031" s="62" t="e">
        <f t="shared" si="151"/>
        <v>#DIV/0!</v>
      </c>
      <c r="I2031" s="57"/>
      <c r="J2031" s="57"/>
      <c r="K2031" s="57"/>
      <c r="L2031" s="57"/>
      <c r="M2031" s="58"/>
      <c r="N2031" s="57"/>
      <c r="O2031" s="57"/>
      <c r="P2031" s="57"/>
      <c r="Q2031" s="57"/>
      <c r="R2031" s="57"/>
      <c r="S2031" s="61"/>
      <c r="T2031" s="57"/>
      <c r="U2031" s="57"/>
      <c r="V2031" s="57"/>
      <c r="W2031" s="57"/>
      <c r="X2031" s="57"/>
      <c r="Y2031" s="57"/>
      <c r="Z2031" s="57"/>
      <c r="AA2031" s="57"/>
      <c r="AB2031" s="57"/>
      <c r="AC2031" s="57"/>
      <c r="AD2031" s="57"/>
      <c r="AE2031" s="57"/>
      <c r="AF2031" s="57"/>
      <c r="AG2031" s="57"/>
      <c r="AH2031" s="57"/>
      <c r="AI2031" s="57"/>
      <c r="AJ2031" s="57"/>
      <c r="AK2031" s="57"/>
      <c r="AL2031" s="57"/>
      <c r="AM2031" s="57"/>
      <c r="AN2031" s="57"/>
      <c r="AO2031" s="57"/>
      <c r="AP2031" s="57"/>
      <c r="AQ2031" s="57"/>
      <c r="AR2031" s="57"/>
      <c r="AS2031" s="57"/>
      <c r="AT2031" s="57"/>
      <c r="AU2031" s="57"/>
      <c r="AV2031" s="57"/>
      <c r="AW2031" s="57"/>
      <c r="AX2031" s="57"/>
      <c r="AY2031" s="57"/>
      <c r="AZ2031" s="57"/>
      <c r="BA2031" s="57"/>
      <c r="BB2031" s="57"/>
      <c r="BC2031" s="57"/>
      <c r="BD2031" s="57"/>
      <c r="BE2031" s="57"/>
      <c r="BF2031" s="57"/>
    </row>
    <row r="2032" spans="1:58" x14ac:dyDescent="0.25">
      <c r="A2032" s="53"/>
      <c r="B2032" s="60"/>
      <c r="C2032" s="57">
        <f t="shared" si="148"/>
        <v>0</v>
      </c>
      <c r="D2032" s="56"/>
      <c r="E2032" s="57">
        <f>[1]DETAY!$A$2</f>
        <v>0</v>
      </c>
      <c r="F2032" s="90">
        <f t="shared" si="149"/>
        <v>0</v>
      </c>
      <c r="G2032" s="92">
        <f t="shared" si="150"/>
        <v>0</v>
      </c>
      <c r="H2032" s="62" t="e">
        <f t="shared" si="151"/>
        <v>#DIV/0!</v>
      </c>
      <c r="I2032" s="57"/>
      <c r="J2032" s="57"/>
      <c r="K2032" s="57"/>
      <c r="L2032" s="57"/>
      <c r="M2032" s="58"/>
      <c r="N2032" s="57"/>
      <c r="O2032" s="57"/>
      <c r="P2032" s="57"/>
      <c r="Q2032" s="57"/>
      <c r="R2032" s="57"/>
      <c r="S2032" s="61"/>
      <c r="T2032" s="57"/>
      <c r="U2032" s="57"/>
      <c r="V2032" s="57"/>
      <c r="W2032" s="57"/>
      <c r="X2032" s="57"/>
      <c r="Y2032" s="57"/>
      <c r="Z2032" s="57"/>
      <c r="AA2032" s="57"/>
      <c r="AB2032" s="57"/>
      <c r="AC2032" s="57"/>
      <c r="AD2032" s="57"/>
      <c r="AE2032" s="57"/>
      <c r="AF2032" s="57"/>
      <c r="AG2032" s="57"/>
      <c r="AH2032" s="57"/>
      <c r="AI2032" s="57"/>
      <c r="AJ2032" s="57"/>
      <c r="AK2032" s="57"/>
      <c r="AL2032" s="57"/>
      <c r="AM2032" s="57"/>
      <c r="AN2032" s="57"/>
      <c r="AO2032" s="57"/>
      <c r="AP2032" s="57"/>
      <c r="AQ2032" s="57"/>
      <c r="AR2032" s="57"/>
      <c r="AS2032" s="57"/>
      <c r="AT2032" s="57"/>
      <c r="AU2032" s="57"/>
      <c r="AV2032" s="57"/>
      <c r="AW2032" s="57"/>
      <c r="AX2032" s="57"/>
      <c r="AY2032" s="57"/>
      <c r="AZ2032" s="57"/>
      <c r="BA2032" s="57"/>
      <c r="BB2032" s="57"/>
      <c r="BC2032" s="57"/>
      <c r="BD2032" s="57"/>
      <c r="BE2032" s="57"/>
      <c r="BF2032" s="57"/>
    </row>
    <row r="2033" spans="1:58" x14ac:dyDescent="0.25">
      <c r="A2033" s="53"/>
      <c r="B2033" s="60"/>
      <c r="C2033" s="57">
        <f t="shared" si="148"/>
        <v>0</v>
      </c>
      <c r="D2033" s="56"/>
      <c r="E2033" s="57">
        <f>[1]DETAY!$A$2</f>
        <v>0</v>
      </c>
      <c r="F2033" s="90">
        <f t="shared" si="149"/>
        <v>0</v>
      </c>
      <c r="G2033" s="92">
        <f t="shared" si="150"/>
        <v>0</v>
      </c>
      <c r="H2033" s="62" t="e">
        <f t="shared" si="151"/>
        <v>#DIV/0!</v>
      </c>
      <c r="I2033" s="57"/>
      <c r="J2033" s="57"/>
      <c r="K2033" s="57"/>
      <c r="L2033" s="57"/>
      <c r="M2033" s="58"/>
      <c r="N2033" s="57"/>
      <c r="O2033" s="57"/>
      <c r="P2033" s="57"/>
      <c r="Q2033" s="57"/>
      <c r="R2033" s="57"/>
      <c r="S2033" s="61"/>
      <c r="T2033" s="57"/>
      <c r="U2033" s="57"/>
      <c r="V2033" s="57"/>
      <c r="W2033" s="57"/>
      <c r="X2033" s="57"/>
      <c r="Y2033" s="57"/>
      <c r="Z2033" s="57"/>
      <c r="AA2033" s="57"/>
      <c r="AB2033" s="57"/>
      <c r="AC2033" s="57"/>
      <c r="AD2033" s="57"/>
      <c r="AE2033" s="57"/>
      <c r="AF2033" s="57"/>
      <c r="AG2033" s="57"/>
      <c r="AH2033" s="57"/>
      <c r="AI2033" s="57"/>
      <c r="AJ2033" s="57"/>
      <c r="AK2033" s="57"/>
      <c r="AL2033" s="57"/>
      <c r="AM2033" s="57"/>
      <c r="AN2033" s="57"/>
      <c r="AO2033" s="57"/>
      <c r="AP2033" s="57"/>
      <c r="AQ2033" s="57"/>
      <c r="AR2033" s="57"/>
      <c r="AS2033" s="57"/>
      <c r="AT2033" s="57"/>
      <c r="AU2033" s="57"/>
      <c r="AV2033" s="57"/>
      <c r="AW2033" s="57"/>
      <c r="AX2033" s="57"/>
      <c r="AY2033" s="57"/>
      <c r="AZ2033" s="57"/>
      <c r="BA2033" s="57"/>
      <c r="BB2033" s="57"/>
      <c r="BC2033" s="57"/>
      <c r="BD2033" s="57"/>
      <c r="BE2033" s="57"/>
      <c r="BF2033" s="57"/>
    </row>
    <row r="2034" spans="1:58" x14ac:dyDescent="0.25">
      <c r="A2034" s="53"/>
      <c r="B2034" s="60"/>
      <c r="C2034" s="57">
        <f t="shared" si="148"/>
        <v>0</v>
      </c>
      <c r="D2034" s="56"/>
      <c r="E2034" s="57">
        <f>[1]DETAY!$A$2</f>
        <v>0</v>
      </c>
      <c r="F2034" s="90">
        <f t="shared" si="149"/>
        <v>0</v>
      </c>
      <c r="G2034" s="92">
        <f t="shared" si="150"/>
        <v>0</v>
      </c>
      <c r="H2034" s="62" t="e">
        <f t="shared" si="151"/>
        <v>#DIV/0!</v>
      </c>
      <c r="I2034" s="57"/>
      <c r="J2034" s="57"/>
      <c r="K2034" s="57"/>
      <c r="L2034" s="57"/>
      <c r="M2034" s="58"/>
      <c r="N2034" s="57"/>
      <c r="O2034" s="57"/>
      <c r="P2034" s="57"/>
      <c r="Q2034" s="57"/>
      <c r="R2034" s="57"/>
      <c r="S2034" s="61"/>
      <c r="T2034" s="57"/>
      <c r="U2034" s="57"/>
      <c r="V2034" s="57"/>
      <c r="W2034" s="57"/>
      <c r="X2034" s="57"/>
      <c r="Y2034" s="57"/>
      <c r="Z2034" s="57"/>
      <c r="AA2034" s="57"/>
      <c r="AB2034" s="57"/>
      <c r="AC2034" s="57"/>
      <c r="AD2034" s="57"/>
      <c r="AE2034" s="57"/>
      <c r="AF2034" s="57"/>
      <c r="AG2034" s="57"/>
      <c r="AH2034" s="57"/>
      <c r="AI2034" s="57"/>
      <c r="AJ2034" s="57"/>
      <c r="AK2034" s="57"/>
      <c r="AL2034" s="57"/>
      <c r="AM2034" s="57"/>
      <c r="AN2034" s="57"/>
      <c r="AO2034" s="57"/>
      <c r="AP2034" s="57"/>
      <c r="AQ2034" s="57"/>
      <c r="AR2034" s="57"/>
      <c r="AS2034" s="57"/>
      <c r="AT2034" s="57"/>
      <c r="AU2034" s="57"/>
      <c r="AV2034" s="57"/>
      <c r="AW2034" s="57"/>
      <c r="AX2034" s="57"/>
      <c r="AY2034" s="57"/>
      <c r="AZ2034" s="57"/>
      <c r="BA2034" s="57"/>
      <c r="BB2034" s="57"/>
      <c r="BC2034" s="57"/>
      <c r="BD2034" s="57"/>
      <c r="BE2034" s="57"/>
      <c r="BF2034" s="57"/>
    </row>
    <row r="2035" spans="1:58" x14ac:dyDescent="0.25">
      <c r="A2035" s="53"/>
      <c r="B2035" s="60"/>
      <c r="C2035" s="57">
        <f t="shared" si="148"/>
        <v>0</v>
      </c>
      <c r="D2035" s="56"/>
      <c r="E2035" s="57">
        <f>[1]DETAY!$A$2</f>
        <v>0</v>
      </c>
      <c r="F2035" s="90">
        <f t="shared" si="149"/>
        <v>0</v>
      </c>
      <c r="G2035" s="92">
        <f t="shared" si="150"/>
        <v>0</v>
      </c>
      <c r="H2035" s="62" t="e">
        <f t="shared" si="151"/>
        <v>#DIV/0!</v>
      </c>
      <c r="I2035" s="57"/>
      <c r="J2035" s="57"/>
      <c r="K2035" s="57"/>
      <c r="L2035" s="57"/>
      <c r="M2035" s="58"/>
      <c r="N2035" s="57"/>
      <c r="O2035" s="57"/>
      <c r="P2035" s="57"/>
      <c r="Q2035" s="57"/>
      <c r="R2035" s="57"/>
      <c r="S2035" s="61"/>
      <c r="T2035" s="57"/>
      <c r="U2035" s="57"/>
      <c r="V2035" s="57"/>
      <c r="W2035" s="57"/>
      <c r="X2035" s="57"/>
      <c r="Y2035" s="57"/>
      <c r="Z2035" s="57"/>
      <c r="AA2035" s="57"/>
      <c r="AB2035" s="57"/>
      <c r="AC2035" s="57"/>
      <c r="AD2035" s="57"/>
      <c r="AE2035" s="57"/>
      <c r="AF2035" s="57"/>
      <c r="AG2035" s="57"/>
      <c r="AH2035" s="57"/>
      <c r="AI2035" s="57"/>
      <c r="AJ2035" s="57"/>
      <c r="AK2035" s="57"/>
      <c r="AL2035" s="57"/>
      <c r="AM2035" s="57"/>
      <c r="AN2035" s="57"/>
      <c r="AO2035" s="57"/>
      <c r="AP2035" s="57"/>
      <c r="AQ2035" s="57"/>
      <c r="AR2035" s="57"/>
      <c r="AS2035" s="57"/>
      <c r="AT2035" s="57"/>
      <c r="AU2035" s="57"/>
      <c r="AV2035" s="57"/>
      <c r="AW2035" s="57"/>
      <c r="AX2035" s="57"/>
      <c r="AY2035" s="57"/>
      <c r="AZ2035" s="57"/>
      <c r="BA2035" s="57"/>
      <c r="BB2035" s="57"/>
      <c r="BC2035" s="57"/>
      <c r="BD2035" s="57"/>
      <c r="BE2035" s="57"/>
      <c r="BF2035" s="57"/>
    </row>
    <row r="2036" spans="1:58" x14ac:dyDescent="0.25">
      <c r="A2036" s="53"/>
      <c r="B2036" s="60"/>
      <c r="C2036" s="57">
        <f t="shared" si="148"/>
        <v>0</v>
      </c>
      <c r="D2036" s="56"/>
      <c r="E2036" s="57">
        <f>[1]DETAY!$A$2</f>
        <v>0</v>
      </c>
      <c r="F2036" s="90">
        <f t="shared" si="149"/>
        <v>0</v>
      </c>
      <c r="G2036" s="92">
        <f t="shared" si="150"/>
        <v>0</v>
      </c>
      <c r="H2036" s="62" t="e">
        <f t="shared" si="151"/>
        <v>#DIV/0!</v>
      </c>
      <c r="I2036" s="57"/>
      <c r="J2036" s="57"/>
      <c r="K2036" s="57"/>
      <c r="L2036" s="57"/>
      <c r="M2036" s="58"/>
      <c r="N2036" s="57"/>
      <c r="O2036" s="57"/>
      <c r="P2036" s="57"/>
      <c r="Q2036" s="57"/>
      <c r="R2036" s="57"/>
      <c r="S2036" s="61"/>
      <c r="T2036" s="57"/>
      <c r="U2036" s="57"/>
      <c r="V2036" s="57"/>
      <c r="W2036" s="57"/>
      <c r="X2036" s="57"/>
      <c r="Y2036" s="57"/>
      <c r="Z2036" s="57"/>
      <c r="AA2036" s="57"/>
      <c r="AB2036" s="57"/>
      <c r="AC2036" s="57"/>
      <c r="AD2036" s="57"/>
      <c r="AE2036" s="57"/>
      <c r="AF2036" s="57"/>
      <c r="AG2036" s="57"/>
      <c r="AH2036" s="57"/>
      <c r="AI2036" s="57"/>
      <c r="AJ2036" s="57"/>
      <c r="AK2036" s="57"/>
      <c r="AL2036" s="57"/>
      <c r="AM2036" s="57"/>
      <c r="AN2036" s="57"/>
      <c r="AO2036" s="57"/>
      <c r="AP2036" s="57"/>
      <c r="AQ2036" s="57"/>
      <c r="AR2036" s="57"/>
      <c r="AS2036" s="57"/>
      <c r="AT2036" s="57"/>
      <c r="AU2036" s="57"/>
      <c r="AV2036" s="57"/>
      <c r="AW2036" s="57"/>
      <c r="AX2036" s="57"/>
      <c r="AY2036" s="57"/>
      <c r="AZ2036" s="57"/>
      <c r="BA2036" s="57"/>
      <c r="BB2036" s="57"/>
      <c r="BC2036" s="57"/>
      <c r="BD2036" s="57"/>
      <c r="BE2036" s="57"/>
      <c r="BF2036" s="57"/>
    </row>
    <row r="2037" spans="1:58" x14ac:dyDescent="0.25">
      <c r="A2037" s="53"/>
      <c r="B2037" s="60"/>
      <c r="C2037" s="57">
        <f t="shared" si="148"/>
        <v>0</v>
      </c>
      <c r="D2037" s="56"/>
      <c r="E2037" s="57">
        <f>[1]DETAY!$A$2</f>
        <v>0</v>
      </c>
      <c r="F2037" s="90">
        <f t="shared" si="149"/>
        <v>0</v>
      </c>
      <c r="G2037" s="92">
        <f t="shared" si="150"/>
        <v>0</v>
      </c>
      <c r="H2037" s="62" t="e">
        <f t="shared" si="151"/>
        <v>#DIV/0!</v>
      </c>
      <c r="I2037" s="57"/>
      <c r="J2037" s="57"/>
      <c r="K2037" s="57"/>
      <c r="L2037" s="57"/>
      <c r="M2037" s="58"/>
      <c r="N2037" s="57"/>
      <c r="O2037" s="57"/>
      <c r="P2037" s="57"/>
      <c r="Q2037" s="57"/>
      <c r="R2037" s="57"/>
      <c r="S2037" s="61"/>
      <c r="T2037" s="57"/>
      <c r="U2037" s="57"/>
      <c r="V2037" s="57"/>
      <c r="W2037" s="57"/>
      <c r="X2037" s="57"/>
      <c r="Y2037" s="57"/>
      <c r="Z2037" s="57"/>
      <c r="AA2037" s="57"/>
      <c r="AB2037" s="57"/>
      <c r="AC2037" s="57"/>
      <c r="AD2037" s="57"/>
      <c r="AE2037" s="57"/>
      <c r="AF2037" s="57"/>
      <c r="AG2037" s="57"/>
      <c r="AH2037" s="57"/>
      <c r="AI2037" s="57"/>
      <c r="AJ2037" s="57"/>
      <c r="AK2037" s="57"/>
      <c r="AL2037" s="57"/>
      <c r="AM2037" s="57"/>
      <c r="AN2037" s="57"/>
      <c r="AO2037" s="57"/>
      <c r="AP2037" s="57"/>
      <c r="AQ2037" s="57"/>
      <c r="AR2037" s="57"/>
      <c r="AS2037" s="57"/>
      <c r="AT2037" s="57"/>
      <c r="AU2037" s="57"/>
      <c r="AV2037" s="57"/>
      <c r="AW2037" s="57"/>
      <c r="AX2037" s="57"/>
      <c r="AY2037" s="57"/>
      <c r="AZ2037" s="57"/>
      <c r="BA2037" s="57"/>
      <c r="BB2037" s="57"/>
      <c r="BC2037" s="57"/>
      <c r="BD2037" s="57"/>
      <c r="BE2037" s="57"/>
      <c r="BF2037" s="57"/>
    </row>
    <row r="2038" spans="1:58" x14ac:dyDescent="0.25">
      <c r="A2038" s="53"/>
      <c r="B2038" s="60"/>
      <c r="C2038" s="57">
        <f t="shared" si="148"/>
        <v>0</v>
      </c>
      <c r="D2038" s="56"/>
      <c r="E2038" s="57">
        <f>[1]DETAY!$A$2</f>
        <v>0</v>
      </c>
      <c r="F2038" s="90">
        <f t="shared" si="149"/>
        <v>0</v>
      </c>
      <c r="G2038" s="92">
        <f t="shared" si="150"/>
        <v>0</v>
      </c>
      <c r="H2038" s="62" t="e">
        <f t="shared" si="151"/>
        <v>#DIV/0!</v>
      </c>
      <c r="I2038" s="57"/>
      <c r="J2038" s="57"/>
      <c r="K2038" s="57"/>
      <c r="L2038" s="57"/>
      <c r="M2038" s="58"/>
      <c r="N2038" s="57"/>
      <c r="O2038" s="57"/>
      <c r="P2038" s="57"/>
      <c r="Q2038" s="57"/>
      <c r="R2038" s="57"/>
      <c r="S2038" s="61"/>
      <c r="T2038" s="57"/>
      <c r="U2038" s="57"/>
      <c r="V2038" s="57"/>
      <c r="W2038" s="57"/>
      <c r="X2038" s="57"/>
      <c r="Y2038" s="57"/>
      <c r="Z2038" s="57"/>
      <c r="AA2038" s="57"/>
      <c r="AB2038" s="57"/>
      <c r="AC2038" s="57"/>
      <c r="AD2038" s="57"/>
      <c r="AE2038" s="57"/>
      <c r="AF2038" s="57"/>
      <c r="AG2038" s="57"/>
      <c r="AH2038" s="57"/>
      <c r="AI2038" s="57"/>
      <c r="AJ2038" s="57"/>
      <c r="AK2038" s="57"/>
      <c r="AL2038" s="57"/>
      <c r="AM2038" s="57"/>
      <c r="AN2038" s="57"/>
      <c r="AO2038" s="57"/>
      <c r="AP2038" s="57"/>
      <c r="AQ2038" s="57"/>
      <c r="AR2038" s="57"/>
      <c r="AS2038" s="57"/>
      <c r="AT2038" s="57"/>
      <c r="AU2038" s="57"/>
      <c r="AV2038" s="57"/>
      <c r="AW2038" s="57"/>
      <c r="AX2038" s="57"/>
      <c r="AY2038" s="57"/>
      <c r="AZ2038" s="57"/>
      <c r="BA2038" s="57"/>
      <c r="BB2038" s="57"/>
      <c r="BC2038" s="57"/>
      <c r="BD2038" s="57"/>
      <c r="BE2038" s="57"/>
      <c r="BF2038" s="57"/>
    </row>
    <row r="2039" spans="1:58" x14ac:dyDescent="0.25">
      <c r="A2039" s="53"/>
      <c r="B2039" s="60"/>
      <c r="C2039" s="57">
        <f t="shared" si="148"/>
        <v>0</v>
      </c>
      <c r="D2039" s="56"/>
      <c r="E2039" s="57">
        <f>[1]DETAY!$A$2</f>
        <v>0</v>
      </c>
      <c r="F2039" s="90">
        <f t="shared" si="149"/>
        <v>0</v>
      </c>
      <c r="G2039" s="92">
        <f t="shared" si="150"/>
        <v>0</v>
      </c>
      <c r="H2039" s="62" t="e">
        <f t="shared" si="151"/>
        <v>#DIV/0!</v>
      </c>
      <c r="I2039" s="57"/>
      <c r="J2039" s="57"/>
      <c r="K2039" s="57"/>
      <c r="L2039" s="57"/>
      <c r="M2039" s="58"/>
      <c r="N2039" s="57"/>
      <c r="O2039" s="57"/>
      <c r="P2039" s="57"/>
      <c r="Q2039" s="57"/>
      <c r="R2039" s="57"/>
      <c r="S2039" s="61"/>
      <c r="T2039" s="57"/>
      <c r="U2039" s="57"/>
      <c r="V2039" s="57"/>
      <c r="W2039" s="57"/>
      <c r="X2039" s="57"/>
      <c r="Y2039" s="57"/>
      <c r="Z2039" s="57"/>
      <c r="AA2039" s="57"/>
      <c r="AB2039" s="57"/>
      <c r="AC2039" s="57"/>
      <c r="AD2039" s="57"/>
      <c r="AE2039" s="57"/>
      <c r="AF2039" s="57"/>
      <c r="AG2039" s="57"/>
      <c r="AH2039" s="57"/>
      <c r="AI2039" s="57"/>
      <c r="AJ2039" s="57"/>
      <c r="AK2039" s="57"/>
      <c r="AL2039" s="57"/>
      <c r="AM2039" s="57"/>
      <c r="AN2039" s="57"/>
      <c r="AO2039" s="57"/>
      <c r="AP2039" s="57"/>
      <c r="AQ2039" s="57"/>
      <c r="AR2039" s="57"/>
      <c r="AS2039" s="57"/>
      <c r="AT2039" s="57"/>
      <c r="AU2039" s="57"/>
      <c r="AV2039" s="57"/>
      <c r="AW2039" s="57"/>
      <c r="AX2039" s="57"/>
      <c r="AY2039" s="57"/>
      <c r="AZ2039" s="57"/>
      <c r="BA2039" s="57"/>
      <c r="BB2039" s="57"/>
      <c r="BC2039" s="57"/>
      <c r="BD2039" s="57"/>
      <c r="BE2039" s="57"/>
      <c r="BF2039" s="57"/>
    </row>
    <row r="2040" spans="1:58" x14ac:dyDescent="0.25">
      <c r="A2040" s="53"/>
      <c r="B2040" s="60"/>
      <c r="C2040" s="57">
        <f t="shared" si="148"/>
        <v>0</v>
      </c>
      <c r="D2040" s="56"/>
      <c r="E2040" s="57">
        <f>[1]DETAY!$A$2</f>
        <v>0</v>
      </c>
      <c r="F2040" s="90">
        <f t="shared" si="149"/>
        <v>0</v>
      </c>
      <c r="G2040" s="92">
        <f t="shared" si="150"/>
        <v>0</v>
      </c>
      <c r="H2040" s="62" t="e">
        <f t="shared" si="151"/>
        <v>#DIV/0!</v>
      </c>
      <c r="I2040" s="57"/>
      <c r="J2040" s="57"/>
      <c r="K2040" s="57"/>
      <c r="L2040" s="57"/>
      <c r="M2040" s="58"/>
      <c r="N2040" s="57"/>
      <c r="O2040" s="57"/>
      <c r="P2040" s="57"/>
      <c r="Q2040" s="57"/>
      <c r="R2040" s="57"/>
      <c r="S2040" s="61"/>
      <c r="T2040" s="57"/>
      <c r="U2040" s="57"/>
      <c r="V2040" s="57"/>
      <c r="W2040" s="57"/>
      <c r="X2040" s="57"/>
      <c r="Y2040" s="57"/>
      <c r="Z2040" s="57"/>
      <c r="AA2040" s="57"/>
      <c r="AB2040" s="57"/>
      <c r="AC2040" s="57"/>
      <c r="AD2040" s="57"/>
      <c r="AE2040" s="57"/>
      <c r="AF2040" s="57"/>
      <c r="AG2040" s="57"/>
      <c r="AH2040" s="57"/>
      <c r="AI2040" s="57"/>
      <c r="AJ2040" s="57"/>
      <c r="AK2040" s="57"/>
      <c r="AL2040" s="57"/>
      <c r="AM2040" s="57"/>
      <c r="AN2040" s="57"/>
      <c r="AO2040" s="57"/>
      <c r="AP2040" s="57"/>
      <c r="AQ2040" s="57"/>
      <c r="AR2040" s="57"/>
      <c r="AS2040" s="57"/>
      <c r="AT2040" s="57"/>
      <c r="AU2040" s="57"/>
      <c r="AV2040" s="57"/>
      <c r="AW2040" s="57"/>
      <c r="AX2040" s="57"/>
      <c r="AY2040" s="57"/>
      <c r="AZ2040" s="57"/>
      <c r="BA2040" s="57"/>
      <c r="BB2040" s="57"/>
      <c r="BC2040" s="57"/>
      <c r="BD2040" s="57"/>
      <c r="BE2040" s="57"/>
      <c r="BF2040" s="57"/>
    </row>
    <row r="2041" spans="1:58" x14ac:dyDescent="0.25">
      <c r="A2041" s="53"/>
      <c r="B2041" s="60"/>
      <c r="C2041" s="57">
        <f t="shared" si="148"/>
        <v>0</v>
      </c>
      <c r="D2041" s="56"/>
      <c r="E2041" s="57">
        <f>[1]DETAY!$A$2</f>
        <v>0</v>
      </c>
      <c r="F2041" s="90">
        <f t="shared" si="149"/>
        <v>0</v>
      </c>
      <c r="G2041" s="92">
        <f t="shared" si="150"/>
        <v>0</v>
      </c>
      <c r="H2041" s="62" t="e">
        <f t="shared" si="151"/>
        <v>#DIV/0!</v>
      </c>
      <c r="I2041" s="57"/>
      <c r="J2041" s="57"/>
      <c r="K2041" s="57"/>
      <c r="L2041" s="57"/>
      <c r="M2041" s="58"/>
      <c r="N2041" s="57"/>
      <c r="O2041" s="57"/>
      <c r="P2041" s="57"/>
      <c r="Q2041" s="57"/>
      <c r="R2041" s="57"/>
      <c r="S2041" s="61"/>
      <c r="T2041" s="57"/>
      <c r="U2041" s="57"/>
      <c r="V2041" s="57"/>
      <c r="W2041" s="57"/>
      <c r="X2041" s="57"/>
      <c r="Y2041" s="57"/>
      <c r="Z2041" s="57"/>
      <c r="AA2041" s="57"/>
      <c r="AB2041" s="57"/>
      <c r="AC2041" s="57"/>
      <c r="AD2041" s="57"/>
      <c r="AE2041" s="57"/>
      <c r="AF2041" s="57"/>
      <c r="AG2041" s="57"/>
      <c r="AH2041" s="57"/>
      <c r="AI2041" s="57"/>
      <c r="AJ2041" s="57"/>
      <c r="AK2041" s="57"/>
      <c r="AL2041" s="57"/>
      <c r="AM2041" s="57"/>
      <c r="AN2041" s="57"/>
      <c r="AO2041" s="57"/>
      <c r="AP2041" s="57"/>
      <c r="AQ2041" s="57"/>
      <c r="AR2041" s="57"/>
      <c r="AS2041" s="57"/>
      <c r="AT2041" s="57"/>
      <c r="AU2041" s="57"/>
      <c r="AV2041" s="57"/>
      <c r="AW2041" s="57"/>
      <c r="AX2041" s="57"/>
      <c r="AY2041" s="57"/>
      <c r="AZ2041" s="57"/>
      <c r="BA2041" s="57"/>
      <c r="BB2041" s="57"/>
      <c r="BC2041" s="57"/>
      <c r="BD2041" s="57"/>
      <c r="BE2041" s="57"/>
      <c r="BF2041" s="57"/>
    </row>
  </sheetData>
  <conditionalFormatting sqref="A2:BF1287">
    <cfRule type="expression" dxfId="1" priority="1">
      <formula>"VE=(SATIR()=HÜCRE(""sat"");SÜTUN()=hücre(""SÜT""))"</formula>
    </cfRule>
    <cfRule type="expression" dxfId="0" priority="2">
      <formula>OR(ROW()=CELL("sat"),COLUMN()=CELL("SÜT"))</formula>
    </cfRule>
  </conditionalFormatting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Hüseyin TUNCAY</dc:creator>
  <cp:lastModifiedBy>User</cp:lastModifiedBy>
  <cp:lastPrinted>2026-07-05T11:10:55Z</cp:lastPrinted>
  <dcterms:created xsi:type="dcterms:W3CDTF">2026-07-05T11:05:38Z</dcterms:created>
  <dcterms:modified xsi:type="dcterms:W3CDTF">2026-07-08T05:54:35Z</dcterms:modified>
</cp:coreProperties>
</file>